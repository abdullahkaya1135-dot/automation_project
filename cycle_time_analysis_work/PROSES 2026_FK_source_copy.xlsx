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Fileserver\production\ÜRETİM RAPOR FK\PROSES-YARDIMCI SİSTEMLER\"/>
    </mc:Choice>
  </mc:AlternateContent>
  <xr:revisionPtr revIDLastSave="0" documentId="13_ncr:1_{B0C26612-CFFA-42C0-9CBC-CF10299CB727}" xr6:coauthVersionLast="47" xr6:coauthVersionMax="47" xr10:uidLastSave="{00000000-0000-0000-0000-000000000000}"/>
  <bookViews>
    <workbookView xWindow="-108" yWindow="-108" windowWidth="23256" windowHeight="12456" firstSheet="2" activeTab="10" xr2:uid="{00000000-000D-0000-FFFF-FFFF00000000}"/>
  </bookViews>
  <sheets>
    <sheet name="FK_ÜRÜN_ÇEVRİM _DETAY" sheetId="21" r:id="rId1"/>
    <sheet name="PROSES ENJEKSİYON" sheetId="9" r:id="rId2"/>
    <sheet name="FK_ÜRÜN_ÇEVRİM" sheetId="13" r:id="rId3"/>
    <sheet name="salon 2" sheetId="16" r:id="rId4"/>
    <sheet name="salon 1" sheetId="17" r:id="rId5"/>
    <sheet name="FK_ÇEVRİM " sheetId="12" r:id="rId6"/>
    <sheet name="ESKİ" sheetId="18" r:id="rId7"/>
    <sheet name="Form" sheetId="5" r:id="rId8"/>
    <sheet name="Sayfa1" sheetId="19" r:id="rId9"/>
    <sheet name="Grafik1" sheetId="20" r:id="rId10"/>
    <sheet name="Sayfa2" sheetId="22" r:id="rId11"/>
  </sheets>
  <externalReferences>
    <externalReference r:id="rId12"/>
  </externalReferences>
  <definedNames>
    <definedName name="_xlnm._FilterDatabase" localSheetId="6" hidden="1">ESKİ!$A$1:$Z$1465</definedName>
    <definedName name="_xlnm._FilterDatabase" localSheetId="5" hidden="1">'FK_ÇEVRİM '!$A$1:$L$1</definedName>
    <definedName name="_xlnm._FilterDatabase" localSheetId="2" hidden="1">FK_ÜRÜN_ÇEVRİM!$A$2:$Q$47</definedName>
    <definedName name="_xlnm._FilterDatabase" localSheetId="0" hidden="1">'FK_ÜRÜN_ÇEVRİM _DETAY'!$A$2:$AA$25</definedName>
    <definedName name="_xlnm._FilterDatabase" localSheetId="1" hidden="1">'PROSES ENJEKSİYON'!$A$1:$Z$27</definedName>
    <definedName name="_xlnm.Print_Area" localSheetId="6">ESKİ!$F$1:$Y$25</definedName>
    <definedName name="_xlnm.Print_Area" localSheetId="7">Form!$A$1:$S$46</definedName>
    <definedName name="_xlnm.Print_Area" localSheetId="1">'PROSES ENJEKSİYON'!$F$1:$Y$1</definedName>
    <definedName name="_xlnm.Print_Area" localSheetId="4">'salon 1'!$A$1:$S$24</definedName>
    <definedName name="_xlnm.Print_Area" localSheetId="3">'salon 2'!$A$1:$S$23</definedName>
    <definedName name="_xlnm.Print_Titles" localSheetId="6">ESKİ!$F:$G</definedName>
    <definedName name="_xlnm.Print_Titles" localSheetId="7">Form!$A:$A</definedName>
    <definedName name="_xlnm.Print_Titles" localSheetId="1">'PROSES ENJEKSİYON'!$F:$G</definedName>
    <definedName name="_xlnm.Print_Titles" localSheetId="4">'salon 1'!$A:$A</definedName>
    <definedName name="_xlnm.Print_Titles" localSheetId="3">'salon 2'!$A:$A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74" i="21" l="1" a="1"/>
  <c r="AE74" i="21" s="1"/>
  <c r="AD74" i="21"/>
  <c r="AD74" i="21" a="1"/>
  <c r="AC74" i="21"/>
  <c r="AC74" i="21" a="1"/>
  <c r="AB74" i="21"/>
  <c r="AB74" i="21" a="1"/>
  <c r="AA74" i="21"/>
  <c r="AA74" i="21" a="1"/>
  <c r="Z74" i="21"/>
  <c r="Z74" i="21" a="1"/>
  <c r="Y74" i="21" a="1"/>
  <c r="Y74" i="21" s="1"/>
  <c r="X74" i="21"/>
  <c r="X74" i="21" a="1"/>
  <c r="W74" i="21"/>
  <c r="W74" i="21" a="1"/>
  <c r="V74" i="21"/>
  <c r="V74" i="21" a="1"/>
  <c r="U74" i="21"/>
  <c r="U74" i="21" a="1"/>
  <c r="T74" i="21"/>
  <c r="T74" i="21" a="1"/>
  <c r="S74" i="21" a="1"/>
  <c r="S74" i="21" s="1"/>
  <c r="R74" i="21"/>
  <c r="R74" i="21" a="1"/>
  <c r="Q74" i="21"/>
  <c r="Q74" i="21" a="1"/>
  <c r="P74" i="21"/>
  <c r="P74" i="21" a="1"/>
  <c r="O74" i="21"/>
  <c r="O74" i="21" a="1"/>
  <c r="N74" i="21"/>
  <c r="N74" i="21" a="1"/>
  <c r="M74" i="21" a="1"/>
  <c r="M74" i="21" s="1"/>
  <c r="L74" i="21"/>
  <c r="L74" i="21" a="1"/>
  <c r="K74" i="21"/>
  <c r="K74" i="21" a="1"/>
  <c r="J74" i="21"/>
  <c r="J74" i="21" a="1"/>
  <c r="I74" i="21"/>
  <c r="I74" i="21" a="1"/>
  <c r="H74" i="21"/>
  <c r="H74" i="21" a="1"/>
  <c r="AE73" i="21" a="1"/>
  <c r="AE73" i="21" s="1"/>
  <c r="AD73" i="21" a="1"/>
  <c r="AD73" i="21" s="1"/>
  <c r="AC73" i="21" a="1"/>
  <c r="AC73" i="21" s="1"/>
  <c r="AB73" i="21" a="1"/>
  <c r="AB73" i="21" s="1"/>
  <c r="AA73" i="21"/>
  <c r="AA73" i="21" a="1"/>
  <c r="Z73" i="21"/>
  <c r="Z73" i="21" a="1"/>
  <c r="Y73" i="21" a="1"/>
  <c r="Y73" i="21" s="1"/>
  <c r="X73" i="21"/>
  <c r="X73" i="21" a="1"/>
  <c r="W73" i="21"/>
  <c r="W73" i="21" a="1"/>
  <c r="V73" i="21"/>
  <c r="V73" i="21" a="1"/>
  <c r="U73" i="21"/>
  <c r="U73" i="21" a="1"/>
  <c r="T73" i="21"/>
  <c r="T73" i="21" a="1"/>
  <c r="S73" i="21" a="1"/>
  <c r="S73" i="21" s="1"/>
  <c r="R73" i="21"/>
  <c r="R73" i="21" a="1"/>
  <c r="Q73" i="21"/>
  <c r="Q73" i="21" a="1"/>
  <c r="P73" i="21" a="1"/>
  <c r="P73" i="21" s="1"/>
  <c r="O73" i="21" a="1"/>
  <c r="O73" i="21" s="1"/>
  <c r="N73" i="21"/>
  <c r="N73" i="21" a="1"/>
  <c r="M73" i="21" a="1"/>
  <c r="M73" i="21" s="1"/>
  <c r="L73" i="21" a="1"/>
  <c r="L73" i="21" s="1"/>
  <c r="K73" i="21"/>
  <c r="K73" i="21" a="1"/>
  <c r="J73" i="21"/>
  <c r="J73" i="21" a="1"/>
  <c r="I73" i="21"/>
  <c r="I73" i="21" a="1"/>
  <c r="H73" i="21"/>
  <c r="H73" i="21" a="1"/>
  <c r="AA72" i="21" a="1"/>
  <c r="AA72" i="21" s="1"/>
  <c r="Z72" i="21" a="1"/>
  <c r="Z72" i="21" s="1"/>
  <c r="Y72" i="21" a="1"/>
  <c r="Y72" i="21" s="1"/>
  <c r="X72" i="21" a="1"/>
  <c r="X72" i="21" s="1"/>
  <c r="W72" i="21" a="1"/>
  <c r="W72" i="21" s="1"/>
  <c r="V72" i="21"/>
  <c r="V72" i="21" a="1"/>
  <c r="U72" i="21" a="1"/>
  <c r="U72" i="21" s="1"/>
  <c r="T72" i="21"/>
  <c r="T72" i="21" a="1"/>
  <c r="S72" i="21" a="1"/>
  <c r="S72" i="21" s="1"/>
  <c r="R72" i="21"/>
  <c r="R72" i="21" a="1"/>
  <c r="Q72" i="21"/>
  <c r="Q72" i="21" a="1"/>
  <c r="P72" i="21"/>
  <c r="P72" i="21" a="1"/>
  <c r="O72" i="21"/>
  <c r="O72" i="21" a="1"/>
  <c r="N72" i="21" a="1"/>
  <c r="N72" i="21" s="1"/>
  <c r="M72" i="21" a="1"/>
  <c r="M72" i="21" s="1"/>
  <c r="L72" i="21"/>
  <c r="L72" i="21" a="1"/>
  <c r="K72" i="21" a="1"/>
  <c r="K72" i="21" s="1"/>
  <c r="J72" i="21" a="1"/>
  <c r="J72" i="21" s="1"/>
  <c r="I72" i="21"/>
  <c r="I72" i="21" a="1"/>
  <c r="H72" i="21" a="1"/>
  <c r="H72" i="21" s="1"/>
  <c r="AA71" i="21"/>
  <c r="AA71" i="21" a="1"/>
  <c r="Z71" i="21"/>
  <c r="Z71" i="21" a="1"/>
  <c r="Y71" i="21" a="1"/>
  <c r="Y71" i="21" s="1"/>
  <c r="X71" i="21"/>
  <c r="X71" i="21" a="1"/>
  <c r="W71" i="21"/>
  <c r="W71" i="21" a="1"/>
  <c r="V71" i="21" a="1"/>
  <c r="V71" i="21" s="1"/>
  <c r="U71" i="21" a="1"/>
  <c r="U71" i="21" s="1"/>
  <c r="T71" i="21"/>
  <c r="T71" i="21" a="1"/>
  <c r="S71" i="21" a="1"/>
  <c r="S71" i="21" s="1"/>
  <c r="R71" i="21" a="1"/>
  <c r="R71" i="21" s="1"/>
  <c r="Q71" i="21" a="1"/>
  <c r="Q71" i="21" s="1"/>
  <c r="P71" i="21"/>
  <c r="P71" i="21" a="1"/>
  <c r="O71" i="21"/>
  <c r="O71" i="21" a="1"/>
  <c r="N71" i="21"/>
  <c r="N71" i="21" a="1"/>
  <c r="M71" i="21" a="1"/>
  <c r="M71" i="21" s="1"/>
  <c r="L71" i="21" a="1"/>
  <c r="L71" i="21" s="1"/>
  <c r="K71" i="21"/>
  <c r="K71" i="21" a="1"/>
  <c r="J71" i="21"/>
  <c r="J71" i="21" a="1"/>
  <c r="I71" i="21" a="1"/>
  <c r="I71" i="21" s="1"/>
  <c r="H71" i="21" a="1"/>
  <c r="H71" i="21" s="1"/>
  <c r="AA70" i="21"/>
  <c r="AA70" i="21" a="1"/>
  <c r="Z70" i="21"/>
  <c r="Z70" i="21" a="1"/>
  <c r="Y70" i="21" a="1"/>
  <c r="Y70" i="21" s="1"/>
  <c r="X70" i="21"/>
  <c r="X70" i="21" a="1"/>
  <c r="W70" i="21" a="1"/>
  <c r="W70" i="21" s="1"/>
  <c r="V70" i="21"/>
  <c r="V70" i="21" a="1"/>
  <c r="U70" i="21"/>
  <c r="AC70" i="21" s="1" a="1"/>
  <c r="AC70" i="21" s="1"/>
  <c r="U70" i="21" a="1"/>
  <c r="T70" i="21" a="1"/>
  <c r="T70" i="21" s="1"/>
  <c r="S70" i="21" a="1"/>
  <c r="S70" i="21" s="1"/>
  <c r="R70" i="21"/>
  <c r="R70" i="21" a="1"/>
  <c r="Q70" i="21"/>
  <c r="Q70" i="21" a="1"/>
  <c r="P70" i="21" a="1"/>
  <c r="P70" i="21" s="1"/>
  <c r="O70" i="21" a="1"/>
  <c r="O70" i="21" s="1"/>
  <c r="N70" i="21"/>
  <c r="N70" i="21" a="1"/>
  <c r="M70" i="21" a="1"/>
  <c r="M70" i="21" s="1"/>
  <c r="L70" i="21" a="1"/>
  <c r="L70" i="21" s="1"/>
  <c r="K70" i="21"/>
  <c r="K70" i="21" a="1"/>
  <c r="J70" i="21" a="1"/>
  <c r="J70" i="21" s="1"/>
  <c r="I70" i="21"/>
  <c r="I70" i="21" a="1"/>
  <c r="H70" i="21"/>
  <c r="H70" i="21" a="1"/>
  <c r="AA69" i="21" a="1"/>
  <c r="AA69" i="21" s="1"/>
  <c r="Z69" i="21" a="1"/>
  <c r="Z69" i="21" s="1"/>
  <c r="Y69" i="21" a="1"/>
  <c r="Y69" i="21" s="1"/>
  <c r="X69" i="21" a="1"/>
  <c r="X69" i="21" s="1"/>
  <c r="W69" i="21" a="1"/>
  <c r="W69" i="21" s="1"/>
  <c r="V69" i="21"/>
  <c r="V69" i="21" a="1"/>
  <c r="U69" i="21" a="1"/>
  <c r="U69" i="21" s="1"/>
  <c r="T69" i="21"/>
  <c r="T69" i="21" a="1"/>
  <c r="S69" i="21" a="1"/>
  <c r="S69" i="21" s="1"/>
  <c r="R69" i="21"/>
  <c r="R69" i="21" a="1"/>
  <c r="Q69" i="21"/>
  <c r="Q69" i="21" a="1"/>
  <c r="P69" i="21"/>
  <c r="P69" i="21" a="1"/>
  <c r="O69" i="21"/>
  <c r="O69" i="21" a="1"/>
  <c r="N69" i="21" a="1"/>
  <c r="N69" i="21" s="1"/>
  <c r="M69" i="21" a="1"/>
  <c r="M69" i="21" s="1"/>
  <c r="L69" i="21"/>
  <c r="L69" i="21" a="1"/>
  <c r="K69" i="21" a="1"/>
  <c r="K69" i="21" s="1"/>
  <c r="J69" i="21" a="1"/>
  <c r="J69" i="21" s="1"/>
  <c r="I69" i="21"/>
  <c r="I69" i="21" a="1"/>
  <c r="H69" i="21" a="1"/>
  <c r="H69" i="21" s="1"/>
  <c r="AA68" i="21"/>
  <c r="AA68" i="21" a="1"/>
  <c r="Z68" i="21"/>
  <c r="Z68" i="21" a="1"/>
  <c r="Y68" i="21" a="1"/>
  <c r="Y68" i="21" s="1"/>
  <c r="X68" i="21"/>
  <c r="X68" i="21" a="1"/>
  <c r="W68" i="21"/>
  <c r="W68" i="21" a="1"/>
  <c r="V68" i="21" a="1"/>
  <c r="V68" i="21" s="1"/>
  <c r="U68" i="21" a="1"/>
  <c r="U68" i="21" s="1"/>
  <c r="T68" i="21"/>
  <c r="T68" i="21" a="1"/>
  <c r="S68" i="21" a="1"/>
  <c r="S68" i="21" s="1"/>
  <c r="R68" i="21" a="1"/>
  <c r="R68" i="21" s="1"/>
  <c r="Q68" i="21" a="1"/>
  <c r="Q68" i="21" s="1"/>
  <c r="P68" i="21"/>
  <c r="P68" i="21" a="1"/>
  <c r="O68" i="21"/>
  <c r="O68" i="21" a="1"/>
  <c r="N68" i="21"/>
  <c r="N68" i="21" a="1"/>
  <c r="M68" i="21" a="1"/>
  <c r="M68" i="21" s="1"/>
  <c r="L68" i="21" a="1"/>
  <c r="L68" i="21" s="1"/>
  <c r="K68" i="21"/>
  <c r="K68" i="21" a="1"/>
  <c r="J68" i="21"/>
  <c r="J68" i="21" a="1"/>
  <c r="I68" i="21" a="1"/>
  <c r="I68" i="21" s="1"/>
  <c r="H68" i="21" a="1"/>
  <c r="H68" i="21" s="1"/>
  <c r="AA67" i="21"/>
  <c r="AA67" i="21" a="1"/>
  <c r="Z67" i="21"/>
  <c r="Z67" i="21" a="1"/>
  <c r="Y67" i="21" a="1"/>
  <c r="Y67" i="21" s="1"/>
  <c r="X67" i="21"/>
  <c r="X67" i="21" a="1"/>
  <c r="W67" i="21" a="1"/>
  <c r="W67" i="21" s="1"/>
  <c r="V67" i="21"/>
  <c r="V67" i="21" a="1"/>
  <c r="U67" i="21"/>
  <c r="AC67" i="21" s="1" a="1"/>
  <c r="AC67" i="21" s="1"/>
  <c r="U67" i="21" a="1"/>
  <c r="T67" i="21" a="1"/>
  <c r="T67" i="21" s="1"/>
  <c r="S67" i="21" a="1"/>
  <c r="S67" i="21" s="1"/>
  <c r="R67" i="21"/>
  <c r="R67" i="21" a="1"/>
  <c r="Q67" i="21"/>
  <c r="Q67" i="21" a="1"/>
  <c r="P67" i="21" a="1"/>
  <c r="P67" i="21" s="1"/>
  <c r="O67" i="21" a="1"/>
  <c r="O67" i="21" s="1"/>
  <c r="N67" i="21"/>
  <c r="N67" i="21" a="1"/>
  <c r="M67" i="21" a="1"/>
  <c r="M67" i="21" s="1"/>
  <c r="L67" i="21" a="1"/>
  <c r="L67" i="21" s="1"/>
  <c r="K67" i="21"/>
  <c r="K67" i="21" a="1"/>
  <c r="J67" i="21" a="1"/>
  <c r="J67" i="21" s="1"/>
  <c r="I67" i="21"/>
  <c r="I67" i="21" a="1"/>
  <c r="H67" i="21"/>
  <c r="H67" i="21" a="1"/>
  <c r="AA66" i="21" a="1"/>
  <c r="AA66" i="21" s="1"/>
  <c r="Z66" i="21" a="1"/>
  <c r="Z66" i="21" s="1"/>
  <c r="Y66" i="21" a="1"/>
  <c r="Y66" i="21" s="1"/>
  <c r="X66" i="21" a="1"/>
  <c r="X66" i="21" s="1"/>
  <c r="W66" i="21" a="1"/>
  <c r="W66" i="21" s="1"/>
  <c r="V66" i="21" a="1"/>
  <c r="V66" i="21" s="1"/>
  <c r="U66" i="21" a="1"/>
  <c r="U66" i="21" s="1"/>
  <c r="T66" i="21"/>
  <c r="T66" i="21" a="1"/>
  <c r="S66" i="21" a="1"/>
  <c r="S66" i="21" s="1"/>
  <c r="R66" i="21"/>
  <c r="R66" i="21" a="1"/>
  <c r="Q66" i="21"/>
  <c r="Q66" i="21" a="1"/>
  <c r="P66" i="21"/>
  <c r="P66" i="21" a="1"/>
  <c r="O66" i="21"/>
  <c r="O66" i="21" a="1"/>
  <c r="N66" i="21" a="1"/>
  <c r="N66" i="21" s="1"/>
  <c r="M66" i="21" a="1"/>
  <c r="M66" i="21" s="1"/>
  <c r="L66" i="21" a="1"/>
  <c r="L66" i="21" s="1"/>
  <c r="K66" i="21" a="1"/>
  <c r="K66" i="21" s="1"/>
  <c r="J66" i="21" a="1"/>
  <c r="J66" i="21" s="1"/>
  <c r="I66" i="21" a="1"/>
  <c r="I66" i="21" s="1"/>
  <c r="H66" i="21" a="1"/>
  <c r="H66" i="21" s="1"/>
  <c r="AA65" i="21"/>
  <c r="AA65" i="21" a="1"/>
  <c r="Z65" i="21"/>
  <c r="Z65" i="21" a="1"/>
  <c r="Y65" i="21" a="1"/>
  <c r="Y65" i="21" s="1"/>
  <c r="X65" i="21"/>
  <c r="X65" i="21" a="1"/>
  <c r="W65" i="21" a="1"/>
  <c r="W65" i="21" s="1"/>
  <c r="V65" i="21" a="1"/>
  <c r="V65" i="21" s="1"/>
  <c r="U65" i="21" a="1"/>
  <c r="U65" i="21" s="1"/>
  <c r="T65" i="21" a="1"/>
  <c r="T65" i="21" s="1"/>
  <c r="S65" i="21" a="1"/>
  <c r="S65" i="21" s="1"/>
  <c r="R65" i="21" a="1"/>
  <c r="R65" i="21" s="1"/>
  <c r="Q65" i="21" a="1"/>
  <c r="Q65" i="21" s="1"/>
  <c r="P65" i="21"/>
  <c r="P65" i="21" a="1"/>
  <c r="O65" i="21"/>
  <c r="O65" i="21" a="1"/>
  <c r="N65" i="21"/>
  <c r="N65" i="21" a="1"/>
  <c r="M65" i="21" a="1"/>
  <c r="M65" i="21" s="1"/>
  <c r="L65" i="21" a="1"/>
  <c r="L65" i="21" s="1"/>
  <c r="K65" i="21" a="1"/>
  <c r="K65" i="21" s="1"/>
  <c r="J65" i="21" a="1"/>
  <c r="J65" i="21" s="1"/>
  <c r="I65" i="21" a="1"/>
  <c r="I65" i="21" s="1"/>
  <c r="H65" i="21" a="1"/>
  <c r="H65" i="21" s="1"/>
  <c r="AA64" i="21"/>
  <c r="AA64" i="21" a="1"/>
  <c r="Z64" i="21" a="1"/>
  <c r="Z64" i="21" s="1"/>
  <c r="Y64" i="21" a="1"/>
  <c r="Y64" i="21" s="1"/>
  <c r="X64" i="21" a="1"/>
  <c r="X64" i="21" s="1"/>
  <c r="W64" i="21" a="1"/>
  <c r="W64" i="21" s="1"/>
  <c r="V64" i="21" a="1"/>
  <c r="V64" i="21" s="1"/>
  <c r="U64" i="21" a="1"/>
  <c r="U64" i="21" s="1"/>
  <c r="T64" i="21" a="1"/>
  <c r="T64" i="21" s="1"/>
  <c r="S64" i="21" a="1"/>
  <c r="S64" i="21" s="1"/>
  <c r="R64" i="21"/>
  <c r="R64" i="21" a="1"/>
  <c r="Q64" i="21" a="1"/>
  <c r="Q64" i="21" s="1"/>
  <c r="P64" i="21" a="1"/>
  <c r="P64" i="21" s="1"/>
  <c r="O64" i="21" a="1"/>
  <c r="O64" i="21" s="1"/>
  <c r="N64" i="21" a="1"/>
  <c r="N64" i="21" s="1"/>
  <c r="M64" i="21" a="1"/>
  <c r="M64" i="21" s="1"/>
  <c r="L64" i="21" a="1"/>
  <c r="L64" i="21" s="1"/>
  <c r="K64" i="21" a="1"/>
  <c r="K64" i="21" s="1"/>
  <c r="J64" i="21" a="1"/>
  <c r="J64" i="21" s="1"/>
  <c r="I64" i="21"/>
  <c r="I64" i="21" a="1"/>
  <c r="H64" i="21" a="1"/>
  <c r="H64" i="21" s="1"/>
  <c r="AA63" i="21" a="1"/>
  <c r="AA63" i="21" s="1"/>
  <c r="Z63" i="21" a="1"/>
  <c r="Z63" i="21" s="1"/>
  <c r="Y63" i="21" a="1"/>
  <c r="Y63" i="21" s="1"/>
  <c r="X63" i="21" a="1"/>
  <c r="X63" i="21" s="1"/>
  <c r="W63" i="21" a="1"/>
  <c r="W63" i="21" s="1"/>
  <c r="V63" i="21" a="1"/>
  <c r="V63" i="21" s="1"/>
  <c r="U63" i="21" a="1"/>
  <c r="U63" i="21" s="1"/>
  <c r="T63" i="21" a="1"/>
  <c r="T63" i="21" s="1"/>
  <c r="S63" i="21" a="1"/>
  <c r="S63" i="21" s="1"/>
  <c r="R63" i="21"/>
  <c r="R63" i="21" a="1"/>
  <c r="Q63" i="21" a="1"/>
  <c r="Q63" i="21" s="1"/>
  <c r="P63" i="21" a="1"/>
  <c r="P63" i="21" s="1"/>
  <c r="O63" i="21" a="1"/>
  <c r="O63" i="21" s="1"/>
  <c r="N63" i="21" a="1"/>
  <c r="N63" i="21" s="1"/>
  <c r="M63" i="21" a="1"/>
  <c r="M63" i="21" s="1"/>
  <c r="L63" i="21"/>
  <c r="L63" i="21" a="1"/>
  <c r="K63" i="21" a="1"/>
  <c r="K63" i="21" s="1"/>
  <c r="J63" i="21" a="1"/>
  <c r="J63" i="21" s="1"/>
  <c r="I63" i="21" a="1"/>
  <c r="I63" i="21" s="1"/>
  <c r="H63" i="21" a="1"/>
  <c r="H63" i="21" s="1"/>
  <c r="AA62" i="21" a="1"/>
  <c r="AA62" i="21" s="1"/>
  <c r="Z62" i="21" a="1"/>
  <c r="Z62" i="21" s="1"/>
  <c r="Y62" i="21" a="1"/>
  <c r="Y62" i="21" s="1"/>
  <c r="X62" i="21" a="1"/>
  <c r="X62" i="21" s="1"/>
  <c r="W62" i="21" a="1"/>
  <c r="W62" i="21" s="1"/>
  <c r="V62" i="21" a="1"/>
  <c r="V62" i="21" s="1"/>
  <c r="U62" i="21" a="1"/>
  <c r="U62" i="21" s="1"/>
  <c r="T62" i="21" a="1"/>
  <c r="T62" i="21" s="1"/>
  <c r="S62" i="21" a="1"/>
  <c r="S62" i="21" s="1"/>
  <c r="R62" i="21" a="1"/>
  <c r="R62" i="21" s="1"/>
  <c r="Q62" i="21" a="1"/>
  <c r="Q62" i="21" s="1"/>
  <c r="P62" i="21" a="1"/>
  <c r="P62" i="21" s="1"/>
  <c r="O62" i="21" a="1"/>
  <c r="O62" i="21" s="1"/>
  <c r="N62" i="21" a="1"/>
  <c r="N62" i="21" s="1"/>
  <c r="M62" i="21" a="1"/>
  <c r="M62" i="21" s="1"/>
  <c r="L62" i="21"/>
  <c r="L62" i="21" a="1"/>
  <c r="K62" i="21" a="1"/>
  <c r="K62" i="21" s="1"/>
  <c r="J62" i="21"/>
  <c r="J62" i="21" a="1"/>
  <c r="I62" i="21"/>
  <c r="I62" i="21" a="1"/>
  <c r="H62" i="21" a="1"/>
  <c r="H62" i="21" s="1"/>
  <c r="AA61" i="21" a="1"/>
  <c r="AA61" i="21" s="1"/>
  <c r="Z61" i="21" a="1"/>
  <c r="Z61" i="21" s="1"/>
  <c r="Y61" i="21" a="1"/>
  <c r="Y61" i="21" s="1"/>
  <c r="X61" i="21" a="1"/>
  <c r="X61" i="21" s="1"/>
  <c r="W61" i="21" a="1"/>
  <c r="W61" i="21" s="1"/>
  <c r="V61" i="21" a="1"/>
  <c r="V61" i="21" s="1"/>
  <c r="U61" i="21" a="1"/>
  <c r="U61" i="21" s="1"/>
  <c r="T61" i="21" a="1"/>
  <c r="T61" i="21" s="1"/>
  <c r="S61" i="21" a="1"/>
  <c r="S61" i="21" s="1"/>
  <c r="R61" i="21" a="1"/>
  <c r="R61" i="21" s="1"/>
  <c r="Q61" i="21" a="1"/>
  <c r="Q61" i="21" s="1"/>
  <c r="P61" i="21" a="1"/>
  <c r="P61" i="21" s="1"/>
  <c r="O61" i="21" a="1"/>
  <c r="O61" i="21" s="1"/>
  <c r="N61" i="21" a="1"/>
  <c r="N61" i="21" s="1"/>
  <c r="M61" i="21" a="1"/>
  <c r="M61" i="21" s="1"/>
  <c r="L61" i="21"/>
  <c r="L61" i="21" a="1"/>
  <c r="K61" i="21" a="1"/>
  <c r="K61" i="21" s="1"/>
  <c r="J61" i="21" a="1"/>
  <c r="J61" i="21" s="1"/>
  <c r="I61" i="21"/>
  <c r="I61" i="21" a="1"/>
  <c r="H61" i="21" a="1"/>
  <c r="H61" i="21" s="1"/>
  <c r="AA60" i="21" a="1"/>
  <c r="AA60" i="21" s="1"/>
  <c r="Z60" i="21" a="1"/>
  <c r="Z60" i="21" s="1"/>
  <c r="Y60" i="21" a="1"/>
  <c r="Y60" i="21" s="1"/>
  <c r="X60" i="21" a="1"/>
  <c r="X60" i="21" s="1"/>
  <c r="W60" i="21" a="1"/>
  <c r="W60" i="21" s="1"/>
  <c r="V60" i="21" a="1"/>
  <c r="V60" i="21" s="1"/>
  <c r="U60" i="21" a="1"/>
  <c r="U60" i="21" s="1"/>
  <c r="T60" i="21" a="1"/>
  <c r="T60" i="21" s="1"/>
  <c r="S60" i="21" a="1"/>
  <c r="S60" i="21" s="1"/>
  <c r="R60" i="21" a="1"/>
  <c r="R60" i="21" s="1"/>
  <c r="Q60" i="21" a="1"/>
  <c r="Q60" i="21" s="1"/>
  <c r="P60" i="21" a="1"/>
  <c r="P60" i="21" s="1"/>
  <c r="O60" i="21" a="1"/>
  <c r="O60" i="21" s="1"/>
  <c r="N60" i="21" a="1"/>
  <c r="N60" i="21" s="1"/>
  <c r="M60" i="21" a="1"/>
  <c r="M60" i="21" s="1"/>
  <c r="L60" i="21"/>
  <c r="L60" i="21" a="1"/>
  <c r="K60" i="21" a="1"/>
  <c r="K60" i="21" s="1"/>
  <c r="J60" i="21" a="1"/>
  <c r="J60" i="21" s="1"/>
  <c r="I60" i="21" a="1"/>
  <c r="I60" i="21" s="1"/>
  <c r="H60" i="21" a="1"/>
  <c r="H60" i="21" s="1"/>
  <c r="AA59" i="21" a="1"/>
  <c r="AA59" i="21" s="1"/>
  <c r="Z59" i="21" a="1"/>
  <c r="Z59" i="21" s="1"/>
  <c r="Y59" i="21" a="1"/>
  <c r="Y59" i="21" s="1"/>
  <c r="X59" i="21" a="1"/>
  <c r="X59" i="21" s="1"/>
  <c r="W59" i="21" a="1"/>
  <c r="W59" i="21" s="1"/>
  <c r="V59" i="21" a="1"/>
  <c r="V59" i="21" s="1"/>
  <c r="U59" i="21" a="1"/>
  <c r="U59" i="21" s="1"/>
  <c r="AE59" i="21" s="1" a="1"/>
  <c r="AE59" i="21" s="1"/>
  <c r="T59" i="21" a="1"/>
  <c r="T59" i="21" s="1"/>
  <c r="S59" i="21" a="1"/>
  <c r="S59" i="21" s="1"/>
  <c r="R59" i="21" a="1"/>
  <c r="R59" i="21" s="1"/>
  <c r="Q59" i="21" a="1"/>
  <c r="Q59" i="21" s="1"/>
  <c r="P59" i="21" a="1"/>
  <c r="P59" i="21" s="1"/>
  <c r="O59" i="21" a="1"/>
  <c r="O59" i="21" s="1"/>
  <c r="N59" i="21" a="1"/>
  <c r="N59" i="21" s="1"/>
  <c r="M59" i="21" a="1"/>
  <c r="M59" i="21" s="1"/>
  <c r="L59" i="21" a="1"/>
  <c r="L59" i="21" s="1"/>
  <c r="K59" i="21" a="1"/>
  <c r="K59" i="21" s="1"/>
  <c r="J59" i="21" a="1"/>
  <c r="J59" i="21" s="1"/>
  <c r="I59" i="21" a="1"/>
  <c r="I59" i="21" s="1"/>
  <c r="H59" i="21" a="1"/>
  <c r="H59" i="21" s="1"/>
  <c r="AA58" i="21" a="1"/>
  <c r="AA58" i="21" s="1"/>
  <c r="Z58" i="21" a="1"/>
  <c r="Z58" i="21" s="1"/>
  <c r="Y58" i="21" a="1"/>
  <c r="Y58" i="21" s="1"/>
  <c r="X58" i="21" a="1"/>
  <c r="X58" i="21" s="1"/>
  <c r="W58" i="21" a="1"/>
  <c r="W58" i="21" s="1"/>
  <c r="V58" i="21" a="1"/>
  <c r="V58" i="21" s="1"/>
  <c r="U58" i="21" a="1"/>
  <c r="U58" i="21" s="1"/>
  <c r="T58" i="21" a="1"/>
  <c r="T58" i="21" s="1"/>
  <c r="S58" i="21" a="1"/>
  <c r="S58" i="21" s="1"/>
  <c r="R58" i="21" a="1"/>
  <c r="R58" i="21" s="1"/>
  <c r="Q58" i="21" a="1"/>
  <c r="Q58" i="21" s="1"/>
  <c r="P58" i="21" a="1"/>
  <c r="P58" i="21" s="1"/>
  <c r="O58" i="21" a="1"/>
  <c r="O58" i="21" s="1"/>
  <c r="N58" i="21" a="1"/>
  <c r="N58" i="21" s="1"/>
  <c r="M58" i="21" a="1"/>
  <c r="M58" i="21" s="1"/>
  <c r="L58" i="21" a="1"/>
  <c r="L58" i="21" s="1"/>
  <c r="K58" i="21" a="1"/>
  <c r="K58" i="21" s="1"/>
  <c r="J58" i="21" a="1"/>
  <c r="J58" i="21" s="1"/>
  <c r="I58" i="21" a="1"/>
  <c r="I58" i="21" s="1"/>
  <c r="H58" i="21"/>
  <c r="H58" i="21" a="1"/>
  <c r="AA57" i="21" a="1"/>
  <c r="AA57" i="21" s="1"/>
  <c r="Z57" i="21" a="1"/>
  <c r="Z57" i="21" s="1"/>
  <c r="Y57" i="21" a="1"/>
  <c r="Y57" i="21" s="1"/>
  <c r="X57" i="21" a="1"/>
  <c r="X57" i="21" s="1"/>
  <c r="W57" i="21" a="1"/>
  <c r="W57" i="21" s="1"/>
  <c r="V57" i="21" a="1"/>
  <c r="V57" i="21" s="1"/>
  <c r="U57" i="21" a="1"/>
  <c r="U57" i="21" s="1"/>
  <c r="AE57" i="21" s="1" a="1"/>
  <c r="AE57" i="21" s="1"/>
  <c r="T57" i="21" a="1"/>
  <c r="T57" i="21" s="1"/>
  <c r="S57" i="21" a="1"/>
  <c r="S57" i="21" s="1"/>
  <c r="R57" i="21" a="1"/>
  <c r="R57" i="21" s="1"/>
  <c r="Q57" i="21" a="1"/>
  <c r="Q57" i="21" s="1"/>
  <c r="P57" i="21" a="1"/>
  <c r="P57" i="21" s="1"/>
  <c r="O57" i="21" a="1"/>
  <c r="O57" i="21" s="1"/>
  <c r="N57" i="21" a="1"/>
  <c r="N57" i="21" s="1"/>
  <c r="M57" i="21" a="1"/>
  <c r="M57" i="21" s="1"/>
  <c r="L57" i="21" a="1"/>
  <c r="L57" i="21" s="1"/>
  <c r="K57" i="21" a="1"/>
  <c r="K57" i="21" s="1"/>
  <c r="J57" i="21" a="1"/>
  <c r="J57" i="21" s="1"/>
  <c r="I57" i="21" a="1"/>
  <c r="I57" i="21" s="1"/>
  <c r="H57" i="21" a="1"/>
  <c r="H57" i="21" s="1"/>
  <c r="AA56" i="21" a="1"/>
  <c r="AA56" i="21" s="1"/>
  <c r="Z56" i="21" a="1"/>
  <c r="Z56" i="21" s="1"/>
  <c r="Y56" i="21" a="1"/>
  <c r="Y56" i="21" s="1"/>
  <c r="X56" i="21" a="1"/>
  <c r="X56" i="21" s="1"/>
  <c r="W56" i="21" a="1"/>
  <c r="W56" i="21" s="1"/>
  <c r="V56" i="21" a="1"/>
  <c r="V56" i="21" s="1"/>
  <c r="U56" i="21" a="1"/>
  <c r="U56" i="21" s="1"/>
  <c r="AE56" i="21" s="1" a="1"/>
  <c r="AE56" i="21" s="1"/>
  <c r="T56" i="21" a="1"/>
  <c r="T56" i="21" s="1"/>
  <c r="S56" i="21" a="1"/>
  <c r="S56" i="21" s="1"/>
  <c r="R56" i="21" a="1"/>
  <c r="R56" i="21" s="1"/>
  <c r="Q56" i="21" a="1"/>
  <c r="Q56" i="21" s="1"/>
  <c r="P56" i="21" a="1"/>
  <c r="P56" i="21" s="1"/>
  <c r="O56" i="21" a="1"/>
  <c r="O56" i="21" s="1"/>
  <c r="N56" i="21" a="1"/>
  <c r="N56" i="21" s="1"/>
  <c r="M56" i="21" a="1"/>
  <c r="M56" i="21" s="1"/>
  <c r="L56" i="21" a="1"/>
  <c r="L56" i="21" s="1"/>
  <c r="K56" i="21" a="1"/>
  <c r="K56" i="21" s="1"/>
  <c r="J56" i="21" a="1"/>
  <c r="J56" i="21" s="1"/>
  <c r="I56" i="21" a="1"/>
  <c r="I56" i="21" s="1"/>
  <c r="H56" i="21" a="1"/>
  <c r="H56" i="21" s="1"/>
  <c r="AA55" i="21" a="1"/>
  <c r="AA55" i="21" s="1"/>
  <c r="Z55" i="21" a="1"/>
  <c r="Z55" i="21" s="1"/>
  <c r="Y55" i="21" a="1"/>
  <c r="Y55" i="21" s="1"/>
  <c r="X55" i="21" a="1"/>
  <c r="X55" i="21" s="1"/>
  <c r="W55" i="21" a="1"/>
  <c r="W55" i="21" s="1"/>
  <c r="V55" i="21" a="1"/>
  <c r="V55" i="21" s="1"/>
  <c r="U55" i="21" a="1"/>
  <c r="U55" i="21" s="1"/>
  <c r="AC55" i="21" s="1" a="1"/>
  <c r="AC55" i="21" s="1"/>
  <c r="T55" i="21" a="1"/>
  <c r="T55" i="21" s="1"/>
  <c r="S55" i="21" a="1"/>
  <c r="S55" i="21" s="1"/>
  <c r="R55" i="21" a="1"/>
  <c r="R55" i="21" s="1"/>
  <c r="Q55" i="21" a="1"/>
  <c r="Q55" i="21" s="1"/>
  <c r="P55" i="21" a="1"/>
  <c r="P55" i="21" s="1"/>
  <c r="O55" i="21" a="1"/>
  <c r="O55" i="21" s="1"/>
  <c r="N55" i="21" a="1"/>
  <c r="N55" i="21" s="1"/>
  <c r="M55" i="21" a="1"/>
  <c r="M55" i="21" s="1"/>
  <c r="L55" i="21"/>
  <c r="L55" i="21" a="1"/>
  <c r="K55" i="21" a="1"/>
  <c r="K55" i="21" s="1"/>
  <c r="J55" i="21" a="1"/>
  <c r="J55" i="21" s="1"/>
  <c r="I55" i="21" a="1"/>
  <c r="I55" i="21" s="1"/>
  <c r="H55" i="21" a="1"/>
  <c r="H55" i="21" s="1"/>
  <c r="AA54" i="21"/>
  <c r="AA54" i="21" a="1"/>
  <c r="Z54" i="21" a="1"/>
  <c r="Z54" i="21" s="1"/>
  <c r="Y54" i="21" a="1"/>
  <c r="Y54" i="21" s="1"/>
  <c r="X54" i="21"/>
  <c r="X54" i="21" a="1"/>
  <c r="W54" i="21" a="1"/>
  <c r="W54" i="21" s="1"/>
  <c r="V54" i="21" a="1"/>
  <c r="V54" i="21" s="1"/>
  <c r="U54" i="21" a="1"/>
  <c r="U54" i="21" s="1"/>
  <c r="T54" i="21" a="1"/>
  <c r="T54" i="21" s="1"/>
  <c r="S54" i="21" a="1"/>
  <c r="S54" i="21" s="1"/>
  <c r="R54" i="21" a="1"/>
  <c r="R54" i="21" s="1"/>
  <c r="Q54" i="21" a="1"/>
  <c r="Q54" i="21" s="1"/>
  <c r="P54" i="21" a="1"/>
  <c r="P54" i="21" s="1"/>
  <c r="O54" i="21" a="1"/>
  <c r="O54" i="21" s="1"/>
  <c r="N54" i="21" a="1"/>
  <c r="N54" i="21" s="1"/>
  <c r="M54" i="21" a="1"/>
  <c r="M54" i="21" s="1"/>
  <c r="L54" i="21" a="1"/>
  <c r="L54" i="21" s="1"/>
  <c r="K54" i="21" a="1"/>
  <c r="K54" i="21" s="1"/>
  <c r="J54" i="21" a="1"/>
  <c r="J54" i="21" s="1"/>
  <c r="I54" i="21" a="1"/>
  <c r="I54" i="21" s="1"/>
  <c r="H54" i="21" a="1"/>
  <c r="H54" i="21" s="1"/>
  <c r="AA53" i="21" a="1"/>
  <c r="AA53" i="21" s="1"/>
  <c r="Z53" i="21" a="1"/>
  <c r="Z53" i="21" s="1"/>
  <c r="Y53" i="21" a="1"/>
  <c r="Y53" i="21" s="1"/>
  <c r="X53" i="21" a="1"/>
  <c r="X53" i="21" s="1"/>
  <c r="W53" i="21" a="1"/>
  <c r="W53" i="21" s="1"/>
  <c r="V53" i="21" a="1"/>
  <c r="V53" i="21" s="1"/>
  <c r="U53" i="21" a="1"/>
  <c r="U53" i="21" s="1"/>
  <c r="AE53" i="21" s="1" a="1"/>
  <c r="AE53" i="21" s="1"/>
  <c r="T53" i="21"/>
  <c r="T53" i="21" a="1"/>
  <c r="S53" i="21" a="1"/>
  <c r="S53" i="21" s="1"/>
  <c r="R53" i="21" a="1"/>
  <c r="R53" i="21" s="1"/>
  <c r="Q53" i="21" a="1"/>
  <c r="Q53" i="21" s="1"/>
  <c r="P53" i="21" a="1"/>
  <c r="P53" i="21" s="1"/>
  <c r="O53" i="21" a="1"/>
  <c r="O53" i="21" s="1"/>
  <c r="N53" i="21" a="1"/>
  <c r="N53" i="21" s="1"/>
  <c r="M53" i="21" a="1"/>
  <c r="M53" i="21" s="1"/>
  <c r="L53" i="21" a="1"/>
  <c r="L53" i="21" s="1"/>
  <c r="K53" i="21" a="1"/>
  <c r="K53" i="21" s="1"/>
  <c r="J53" i="21" a="1"/>
  <c r="J53" i="21" s="1"/>
  <c r="I53" i="21" a="1"/>
  <c r="I53" i="21" s="1"/>
  <c r="H53" i="21" a="1"/>
  <c r="H53" i="21" s="1"/>
  <c r="AA52" i="21" a="1"/>
  <c r="AA52" i="21" s="1"/>
  <c r="Z52" i="21" a="1"/>
  <c r="Z52" i="21" s="1"/>
  <c r="Y52" i="21" a="1"/>
  <c r="Y52" i="21" s="1"/>
  <c r="X52" i="21" a="1"/>
  <c r="X52" i="21" s="1"/>
  <c r="W52" i="21" a="1"/>
  <c r="W52" i="21" s="1"/>
  <c r="V52" i="21" a="1"/>
  <c r="V52" i="21" s="1"/>
  <c r="U52" i="21" a="1"/>
  <c r="U52" i="21" s="1"/>
  <c r="T52" i="21" a="1"/>
  <c r="T52" i="21" s="1"/>
  <c r="S52" i="21" a="1"/>
  <c r="S52" i="21" s="1"/>
  <c r="R52" i="21" a="1"/>
  <c r="R52" i="21" s="1"/>
  <c r="Q52" i="21" a="1"/>
  <c r="Q52" i="21" s="1"/>
  <c r="P52" i="21" a="1"/>
  <c r="P52" i="21" s="1"/>
  <c r="O52" i="21" a="1"/>
  <c r="O52" i="21" s="1"/>
  <c r="N52" i="21" a="1"/>
  <c r="N52" i="21" s="1"/>
  <c r="M52" i="21" a="1"/>
  <c r="M52" i="21" s="1"/>
  <c r="L52" i="21" a="1"/>
  <c r="L52" i="21" s="1"/>
  <c r="K52" i="21" a="1"/>
  <c r="K52" i="21" s="1"/>
  <c r="J52" i="21" a="1"/>
  <c r="J52" i="21" s="1"/>
  <c r="I52" i="21" a="1"/>
  <c r="I52" i="21" s="1"/>
  <c r="H52" i="21" a="1"/>
  <c r="H52" i="21" s="1"/>
  <c r="AA51" i="21" a="1"/>
  <c r="AA51" i="21" s="1"/>
  <c r="Z51" i="21" a="1"/>
  <c r="Z51" i="21" s="1"/>
  <c r="Y51" i="21" a="1"/>
  <c r="Y51" i="21" s="1"/>
  <c r="X51" i="21" a="1"/>
  <c r="X51" i="21" s="1"/>
  <c r="W51" i="21" a="1"/>
  <c r="W51" i="21" s="1"/>
  <c r="V51" i="21" a="1"/>
  <c r="V51" i="21" s="1"/>
  <c r="U51" i="21" a="1"/>
  <c r="U51" i="21" s="1"/>
  <c r="AD51" i="21" s="1" a="1"/>
  <c r="AD51" i="21" s="1"/>
  <c r="T51" i="21" a="1"/>
  <c r="T51" i="21" s="1"/>
  <c r="S51" i="21" a="1"/>
  <c r="S51" i="21" s="1"/>
  <c r="R51" i="21" a="1"/>
  <c r="R51" i="21" s="1"/>
  <c r="Q51" i="21" a="1"/>
  <c r="Q51" i="21" s="1"/>
  <c r="P51" i="21" a="1"/>
  <c r="P51" i="21" s="1"/>
  <c r="O51" i="21" a="1"/>
  <c r="O51" i="21" s="1"/>
  <c r="N51" i="21" a="1"/>
  <c r="N51" i="21" s="1"/>
  <c r="M51" i="21" a="1"/>
  <c r="M51" i="21" s="1"/>
  <c r="L51" i="21" a="1"/>
  <c r="L51" i="21" s="1"/>
  <c r="K51" i="21" a="1"/>
  <c r="K51" i="21" s="1"/>
  <c r="J51" i="21" a="1"/>
  <c r="J51" i="21" s="1"/>
  <c r="I51" i="21"/>
  <c r="I51" i="21" a="1"/>
  <c r="H51" i="21" a="1"/>
  <c r="H51" i="21" s="1"/>
  <c r="AE47" i="21"/>
  <c r="AE47" i="21" a="1"/>
  <c r="AB47" i="21" a="1"/>
  <c r="AB47" i="21" s="1"/>
  <c r="AA47" i="21" a="1"/>
  <c r="AA47" i="21" s="1"/>
  <c r="Z47" i="21" a="1"/>
  <c r="Z47" i="21" s="1"/>
  <c r="Y47" i="21" a="1"/>
  <c r="Y47" i="21" s="1"/>
  <c r="X47" i="21" a="1"/>
  <c r="X47" i="21" s="1"/>
  <c r="W47" i="21" a="1"/>
  <c r="W47" i="21" s="1"/>
  <c r="V47" i="21"/>
  <c r="V47" i="21" a="1"/>
  <c r="U47" i="21" a="1"/>
  <c r="U47" i="21" s="1"/>
  <c r="T47" i="21"/>
  <c r="T47" i="21" a="1"/>
  <c r="S47" i="21" a="1"/>
  <c r="S47" i="21" s="1"/>
  <c r="R47" i="21" a="1"/>
  <c r="R47" i="21" s="1"/>
  <c r="Q47" i="21" a="1"/>
  <c r="Q47" i="21" s="1"/>
  <c r="P47" i="21" a="1"/>
  <c r="P47" i="21" s="1"/>
  <c r="O47" i="21" a="1"/>
  <c r="O47" i="21" s="1"/>
  <c r="N47" i="21" a="1"/>
  <c r="N47" i="21" s="1"/>
  <c r="M47" i="21" a="1"/>
  <c r="M47" i="21" s="1"/>
  <c r="L47" i="21" a="1"/>
  <c r="L47" i="21" s="1"/>
  <c r="K47" i="21" a="1"/>
  <c r="K47" i="21" s="1"/>
  <c r="J47" i="21" a="1"/>
  <c r="J47" i="21" s="1"/>
  <c r="I47" i="21" a="1"/>
  <c r="I47" i="21" s="1"/>
  <c r="H47" i="21" a="1"/>
  <c r="H47" i="21" s="1"/>
  <c r="G47" i="21" a="1"/>
  <c r="G47" i="21" s="1"/>
  <c r="F47" i="21" a="1"/>
  <c r="F47" i="21" s="1"/>
  <c r="E47" i="21" a="1"/>
  <c r="E47" i="21" s="1"/>
  <c r="D47" i="21" a="1"/>
  <c r="D47" i="21" s="1"/>
  <c r="C47" i="21" a="1"/>
  <c r="C47" i="21" s="1"/>
  <c r="B47" i="21" a="1"/>
  <c r="B47" i="21" s="1"/>
  <c r="AE46" i="21" a="1"/>
  <c r="AE46" i="21" s="1"/>
  <c r="AB46" i="21" a="1"/>
  <c r="AB46" i="21" s="1"/>
  <c r="AA46" i="21" a="1"/>
  <c r="AA46" i="21" s="1"/>
  <c r="Z46" i="21" a="1"/>
  <c r="Z46" i="21" s="1"/>
  <c r="Y46" i="21" a="1"/>
  <c r="Y46" i="21" s="1"/>
  <c r="X46" i="21"/>
  <c r="X46" i="21" a="1"/>
  <c r="W46" i="21" a="1"/>
  <c r="W46" i="21" s="1"/>
  <c r="V46" i="21" a="1"/>
  <c r="V46" i="21" s="1"/>
  <c r="U46" i="21" a="1"/>
  <c r="U46" i="21" s="1"/>
  <c r="T46" i="21" a="1"/>
  <c r="T46" i="21" s="1"/>
  <c r="S46" i="21" a="1"/>
  <c r="S46" i="21" s="1"/>
  <c r="R46" i="21" a="1"/>
  <c r="R46" i="21" s="1"/>
  <c r="Q46" i="21" a="1"/>
  <c r="Q46" i="21" s="1"/>
  <c r="P46" i="21"/>
  <c r="P46" i="21" a="1"/>
  <c r="O46" i="21" a="1"/>
  <c r="O46" i="21" s="1"/>
  <c r="N46" i="21" a="1"/>
  <c r="N46" i="21" s="1"/>
  <c r="M46" i="21" a="1"/>
  <c r="M46" i="21" s="1"/>
  <c r="L46" i="21"/>
  <c r="L46" i="21" a="1"/>
  <c r="K46" i="21" a="1"/>
  <c r="K46" i="21" s="1"/>
  <c r="J46" i="21" a="1"/>
  <c r="J46" i="21" s="1"/>
  <c r="I46" i="21" a="1"/>
  <c r="I46" i="21" s="1"/>
  <c r="H46" i="21" a="1"/>
  <c r="H46" i="21" s="1"/>
  <c r="G46" i="21" a="1"/>
  <c r="G46" i="21" s="1"/>
  <c r="F46" i="21" a="1"/>
  <c r="F46" i="21" s="1"/>
  <c r="E46" i="21" a="1"/>
  <c r="E46" i="21" s="1"/>
  <c r="D46" i="21" a="1"/>
  <c r="D46" i="21" s="1"/>
  <c r="C46" i="21" a="1"/>
  <c r="C46" i="21" s="1"/>
  <c r="B46" i="21" a="1"/>
  <c r="B46" i="21" s="1"/>
  <c r="AE45" i="21" a="1"/>
  <c r="AE45" i="21" s="1"/>
  <c r="AB45" i="21" a="1"/>
  <c r="AB45" i="21" s="1"/>
  <c r="AA45" i="21" a="1"/>
  <c r="AA45" i="21" s="1"/>
  <c r="Z45" i="21" a="1"/>
  <c r="Z45" i="21" s="1"/>
  <c r="Y45" i="21" a="1"/>
  <c r="Y45" i="21" s="1"/>
  <c r="X45" i="21" a="1"/>
  <c r="X45" i="21" s="1"/>
  <c r="W45" i="21" a="1"/>
  <c r="W45" i="21" s="1"/>
  <c r="V45" i="21" a="1"/>
  <c r="V45" i="21" s="1"/>
  <c r="U45" i="21" a="1"/>
  <c r="U45" i="21" s="1"/>
  <c r="T45" i="21" a="1"/>
  <c r="T45" i="21" s="1"/>
  <c r="S45" i="21" a="1"/>
  <c r="S45" i="21" s="1"/>
  <c r="R45" i="21"/>
  <c r="R45" i="21" a="1"/>
  <c r="Q45" i="21" a="1"/>
  <c r="Q45" i="21" s="1"/>
  <c r="P45" i="21" a="1"/>
  <c r="P45" i="21" s="1"/>
  <c r="O45" i="21" a="1"/>
  <c r="O45" i="21" s="1"/>
  <c r="N45" i="21" a="1"/>
  <c r="N45" i="21" s="1"/>
  <c r="M45" i="21" a="1"/>
  <c r="M45" i="21" s="1"/>
  <c r="L45" i="21" a="1"/>
  <c r="L45" i="21" s="1"/>
  <c r="K45" i="21" a="1"/>
  <c r="K45" i="21" s="1"/>
  <c r="J45" i="21" a="1"/>
  <c r="J45" i="21" s="1"/>
  <c r="I45" i="21"/>
  <c r="I45" i="21" a="1"/>
  <c r="H45" i="21" a="1"/>
  <c r="H45" i="21" s="1"/>
  <c r="G45" i="21" a="1"/>
  <c r="G45" i="21" s="1"/>
  <c r="F45" i="21" a="1"/>
  <c r="F45" i="21" s="1"/>
  <c r="E45" i="21" a="1"/>
  <c r="E45" i="21" s="1"/>
  <c r="D45" i="21" a="1"/>
  <c r="D45" i="21" s="1"/>
  <c r="C45" i="21" a="1"/>
  <c r="C45" i="21" s="1"/>
  <c r="B45" i="21" a="1"/>
  <c r="B45" i="21" s="1"/>
  <c r="AE44" i="21" a="1"/>
  <c r="AE44" i="21" s="1"/>
  <c r="AB44" i="21" a="1"/>
  <c r="AB44" i="21" s="1"/>
  <c r="AA44" i="21" a="1"/>
  <c r="AA44" i="21" s="1"/>
  <c r="Z44" i="21" a="1"/>
  <c r="Z44" i="21" s="1"/>
  <c r="Y44" i="21" a="1"/>
  <c r="Y44" i="21" s="1"/>
  <c r="X44" i="21" a="1"/>
  <c r="X44" i="21" s="1"/>
  <c r="W44" i="21" a="1"/>
  <c r="W44" i="21" s="1"/>
  <c r="V44" i="21" a="1"/>
  <c r="V44" i="21" s="1"/>
  <c r="U44" i="21" a="1"/>
  <c r="U44" i="21" s="1"/>
  <c r="T44" i="21" a="1"/>
  <c r="T44" i="21" s="1"/>
  <c r="S44" i="21" a="1"/>
  <c r="S44" i="21" s="1"/>
  <c r="R44" i="21" a="1"/>
  <c r="R44" i="21" s="1"/>
  <c r="Q44" i="21" a="1"/>
  <c r="Q44" i="21" s="1"/>
  <c r="P44" i="21" a="1"/>
  <c r="P44" i="21" s="1"/>
  <c r="O44" i="21"/>
  <c r="O44" i="21" a="1"/>
  <c r="N44" i="21" a="1"/>
  <c r="N44" i="21" s="1"/>
  <c r="M44" i="21" a="1"/>
  <c r="M44" i="21" s="1"/>
  <c r="AC44" i="21" s="1" a="1"/>
  <c r="AC44" i="21" s="1"/>
  <c r="L44" i="21" a="1"/>
  <c r="L44" i="21" s="1"/>
  <c r="K44" i="21" a="1"/>
  <c r="K44" i="21" s="1"/>
  <c r="J44" i="21" a="1"/>
  <c r="J44" i="21" s="1"/>
  <c r="I44" i="21" a="1"/>
  <c r="I44" i="21" s="1"/>
  <c r="H44" i="21" a="1"/>
  <c r="H44" i="21" s="1"/>
  <c r="G44" i="21" a="1"/>
  <c r="G44" i="21" s="1"/>
  <c r="F44" i="21" a="1"/>
  <c r="F44" i="21" s="1"/>
  <c r="E44" i="21" a="1"/>
  <c r="E44" i="21" s="1"/>
  <c r="D44" i="21" a="1"/>
  <c r="D44" i="21" s="1"/>
  <c r="C44" i="21" a="1"/>
  <c r="C44" i="21" s="1"/>
  <c r="B44" i="21" a="1"/>
  <c r="B44" i="21" s="1"/>
  <c r="AE43" i="21" a="1"/>
  <c r="AE43" i="21" s="1"/>
  <c r="AB43" i="21" a="1"/>
  <c r="AB43" i="21" s="1"/>
  <c r="AA43" i="21" a="1"/>
  <c r="AA43" i="21" s="1"/>
  <c r="Z43" i="21" a="1"/>
  <c r="Z43" i="21" s="1"/>
  <c r="Y43" i="21" a="1"/>
  <c r="Y43" i="21" s="1"/>
  <c r="X43" i="21" a="1"/>
  <c r="X43" i="21" s="1"/>
  <c r="W43" i="21" a="1"/>
  <c r="W43" i="21" s="1"/>
  <c r="V43" i="21" a="1"/>
  <c r="V43" i="21" s="1"/>
  <c r="U43" i="21"/>
  <c r="U43" i="21" a="1"/>
  <c r="T43" i="21" a="1"/>
  <c r="T43" i="21" s="1"/>
  <c r="S43" i="21" a="1"/>
  <c r="S43" i="21" s="1"/>
  <c r="R43" i="21" a="1"/>
  <c r="R43" i="21" s="1"/>
  <c r="Q43" i="21" a="1"/>
  <c r="Q43" i="21" s="1"/>
  <c r="P43" i="21" a="1"/>
  <c r="P43" i="21" s="1"/>
  <c r="O43" i="21" a="1"/>
  <c r="O43" i="21" s="1"/>
  <c r="N43" i="21" a="1"/>
  <c r="N43" i="21" s="1"/>
  <c r="M43" i="21" a="1"/>
  <c r="M43" i="21" s="1"/>
  <c r="L43" i="21" a="1"/>
  <c r="L43" i="21" s="1"/>
  <c r="K43" i="21" a="1"/>
  <c r="K43" i="21" s="1"/>
  <c r="J43" i="21" a="1"/>
  <c r="J43" i="21" s="1"/>
  <c r="I43" i="21" a="1"/>
  <c r="I43" i="21" s="1"/>
  <c r="H43" i="21" a="1"/>
  <c r="H43" i="21" s="1"/>
  <c r="G43" i="21"/>
  <c r="G43" i="21" a="1"/>
  <c r="F43" i="21" a="1"/>
  <c r="F43" i="21" s="1"/>
  <c r="E43" i="21" a="1"/>
  <c r="E43" i="21" s="1"/>
  <c r="D43" i="21" a="1"/>
  <c r="D43" i="21" s="1"/>
  <c r="C43" i="21" a="1"/>
  <c r="C43" i="21" s="1"/>
  <c r="B43" i="21" a="1"/>
  <c r="B43" i="21" s="1"/>
  <c r="AE42" i="21" a="1"/>
  <c r="AE42" i="21" s="1"/>
  <c r="AB42" i="21" a="1"/>
  <c r="AB42" i="21" s="1"/>
  <c r="AA42" i="21" a="1"/>
  <c r="AA42" i="21" s="1"/>
  <c r="Z42" i="21" a="1"/>
  <c r="Z42" i="21" s="1"/>
  <c r="Y42" i="21" a="1"/>
  <c r="Y42" i="21" s="1"/>
  <c r="X42" i="21"/>
  <c r="X42" i="21" a="1"/>
  <c r="W42" i="21" a="1"/>
  <c r="W42" i="21" s="1"/>
  <c r="V42" i="21" a="1"/>
  <c r="V42" i="21" s="1"/>
  <c r="U42" i="21" a="1"/>
  <c r="U42" i="21" s="1"/>
  <c r="T42" i="21" a="1"/>
  <c r="T42" i="21" s="1"/>
  <c r="S42" i="21" a="1"/>
  <c r="S42" i="21" s="1"/>
  <c r="R42" i="21" a="1"/>
  <c r="R42" i="21" s="1"/>
  <c r="Q42" i="21" a="1"/>
  <c r="Q42" i="21" s="1"/>
  <c r="P42" i="21" a="1"/>
  <c r="P42" i="21" s="1"/>
  <c r="O42" i="21" a="1"/>
  <c r="O42" i="21" s="1"/>
  <c r="N42" i="21" a="1"/>
  <c r="N42" i="21" s="1"/>
  <c r="M42" i="21" a="1"/>
  <c r="M42" i="21" s="1"/>
  <c r="L42" i="21" a="1"/>
  <c r="L42" i="21" s="1"/>
  <c r="K42" i="21" a="1"/>
  <c r="K42" i="21" s="1"/>
  <c r="J42" i="21" a="1"/>
  <c r="J42" i="21" s="1"/>
  <c r="I42" i="21" a="1"/>
  <c r="I42" i="21" s="1"/>
  <c r="H42" i="21" a="1"/>
  <c r="H42" i="21" s="1"/>
  <c r="G42" i="21" a="1"/>
  <c r="G42" i="21" s="1"/>
  <c r="F42" i="21" a="1"/>
  <c r="F42" i="21" s="1"/>
  <c r="E42" i="21" a="1"/>
  <c r="E42" i="21" s="1"/>
  <c r="D42" i="21" a="1"/>
  <c r="D42" i="21" s="1"/>
  <c r="C42" i="21" a="1"/>
  <c r="C42" i="21" s="1"/>
  <c r="B42" i="21" a="1"/>
  <c r="B42" i="21" s="1"/>
  <c r="AE41" i="21" a="1"/>
  <c r="AE41" i="21" s="1"/>
  <c r="AB41" i="21" a="1"/>
  <c r="AB41" i="21" s="1"/>
  <c r="AA41" i="21" a="1"/>
  <c r="AA41" i="21" s="1"/>
  <c r="Z41" i="21" a="1"/>
  <c r="Z41" i="21" s="1"/>
  <c r="Y41" i="21" a="1"/>
  <c r="Y41" i="21" s="1"/>
  <c r="X41" i="21" a="1"/>
  <c r="X41" i="21" s="1"/>
  <c r="W41" i="21" a="1"/>
  <c r="W41" i="21" s="1"/>
  <c r="V41" i="21" a="1"/>
  <c r="V41" i="21" s="1"/>
  <c r="U41" i="21" a="1"/>
  <c r="U41" i="21" s="1"/>
  <c r="T41" i="21" a="1"/>
  <c r="T41" i="21" s="1"/>
  <c r="S41" i="21" a="1"/>
  <c r="S41" i="21" s="1"/>
  <c r="R41" i="21"/>
  <c r="R41" i="21" a="1"/>
  <c r="Q41" i="21" a="1"/>
  <c r="Q41" i="21" s="1"/>
  <c r="P41" i="21" a="1"/>
  <c r="P41" i="21" s="1"/>
  <c r="O41" i="21" a="1"/>
  <c r="O41" i="21" s="1"/>
  <c r="N41" i="21" a="1"/>
  <c r="N41" i="21" s="1"/>
  <c r="M41" i="21" a="1"/>
  <c r="M41" i="21" s="1"/>
  <c r="L41" i="21" a="1"/>
  <c r="L41" i="21" s="1"/>
  <c r="K41" i="21" a="1"/>
  <c r="K41" i="21" s="1"/>
  <c r="J41" i="21" a="1"/>
  <c r="J41" i="21" s="1"/>
  <c r="I41" i="21" a="1"/>
  <c r="I41" i="21" s="1"/>
  <c r="H41" i="21"/>
  <c r="H41" i="21" a="1"/>
  <c r="G41" i="21" a="1"/>
  <c r="G41" i="21" s="1"/>
  <c r="F41" i="21" a="1"/>
  <c r="F41" i="21" s="1"/>
  <c r="E41" i="21" a="1"/>
  <c r="E41" i="21" s="1"/>
  <c r="D41" i="21" a="1"/>
  <c r="D41" i="21" s="1"/>
  <c r="C41" i="21" a="1"/>
  <c r="C41" i="21" s="1"/>
  <c r="B41" i="21" a="1"/>
  <c r="B41" i="21" s="1"/>
  <c r="AE40" i="21" a="1"/>
  <c r="AE40" i="21" s="1"/>
  <c r="AB40" i="21" a="1"/>
  <c r="AB40" i="21" s="1"/>
  <c r="AA40" i="21" a="1"/>
  <c r="AA40" i="21" s="1"/>
  <c r="Z40" i="21" a="1"/>
  <c r="Z40" i="21" s="1"/>
  <c r="Y40" i="21" a="1"/>
  <c r="Y40" i="21" s="1"/>
  <c r="X40" i="21" a="1"/>
  <c r="X40" i="21" s="1"/>
  <c r="W40" i="21" a="1"/>
  <c r="W40" i="21" s="1"/>
  <c r="V40" i="21" a="1"/>
  <c r="V40" i="21" s="1"/>
  <c r="U40" i="21" a="1"/>
  <c r="U40" i="21" s="1"/>
  <c r="T40" i="21" a="1"/>
  <c r="T40" i="21" s="1"/>
  <c r="S40" i="21" a="1"/>
  <c r="S40" i="21" s="1"/>
  <c r="R40" i="21" a="1"/>
  <c r="R40" i="21" s="1"/>
  <c r="Q40" i="21" a="1"/>
  <c r="Q40" i="21" s="1"/>
  <c r="P40" i="21" a="1"/>
  <c r="P40" i="21" s="1"/>
  <c r="O40" i="21"/>
  <c r="O40" i="21" a="1"/>
  <c r="N40" i="21" a="1"/>
  <c r="N40" i="21" s="1"/>
  <c r="M40" i="21" a="1"/>
  <c r="M40" i="21" s="1"/>
  <c r="AD40" i="21" s="1" a="1"/>
  <c r="AD40" i="21" s="1"/>
  <c r="L40" i="21" a="1"/>
  <c r="L40" i="21" s="1"/>
  <c r="K40" i="21" a="1"/>
  <c r="K40" i="21" s="1"/>
  <c r="J40" i="21" a="1"/>
  <c r="J40" i="21" s="1"/>
  <c r="I40" i="21" a="1"/>
  <c r="I40" i="21" s="1"/>
  <c r="H40" i="21" a="1"/>
  <c r="H40" i="21" s="1"/>
  <c r="G40" i="21" a="1"/>
  <c r="G40" i="21" s="1"/>
  <c r="F40" i="21" a="1"/>
  <c r="F40" i="21" s="1"/>
  <c r="E40" i="21" a="1"/>
  <c r="E40" i="21" s="1"/>
  <c r="D40" i="21" a="1"/>
  <c r="D40" i="21" s="1"/>
  <c r="C40" i="21" a="1"/>
  <c r="C40" i="21" s="1"/>
  <c r="B40" i="21" a="1"/>
  <c r="B40" i="21" s="1"/>
  <c r="AE39" i="21" a="1"/>
  <c r="AE39" i="21" s="1"/>
  <c r="AB39" i="21" a="1"/>
  <c r="AB39" i="21" s="1"/>
  <c r="AA39" i="21" a="1"/>
  <c r="AA39" i="21" s="1"/>
  <c r="Z39" i="21" a="1"/>
  <c r="Z39" i="21" s="1"/>
  <c r="Y39" i="21" a="1"/>
  <c r="Y39" i="21" s="1"/>
  <c r="X39" i="21" a="1"/>
  <c r="X39" i="21" s="1"/>
  <c r="W39" i="21" a="1"/>
  <c r="W39" i="21" s="1"/>
  <c r="V39" i="21" a="1"/>
  <c r="V39" i="21" s="1"/>
  <c r="U39" i="21" a="1"/>
  <c r="U39" i="21" s="1"/>
  <c r="T39" i="21" a="1"/>
  <c r="T39" i="21" s="1"/>
  <c r="S39" i="21" a="1"/>
  <c r="S39" i="21" s="1"/>
  <c r="R39" i="21" a="1"/>
  <c r="R39" i="21" s="1"/>
  <c r="Q39" i="21" a="1"/>
  <c r="Q39" i="21" s="1"/>
  <c r="P39" i="21" a="1"/>
  <c r="P39" i="21" s="1"/>
  <c r="O39" i="21" a="1"/>
  <c r="O39" i="21" s="1"/>
  <c r="N39" i="21" a="1"/>
  <c r="N39" i="21" s="1"/>
  <c r="M39" i="21" a="1"/>
  <c r="M39" i="21" s="1"/>
  <c r="L39" i="21" a="1"/>
  <c r="L39" i="21" s="1"/>
  <c r="K39" i="21" a="1"/>
  <c r="K39" i="21" s="1"/>
  <c r="J39" i="21" a="1"/>
  <c r="J39" i="21" s="1"/>
  <c r="I39" i="21" a="1"/>
  <c r="I39" i="21" s="1"/>
  <c r="H39" i="21" a="1"/>
  <c r="H39" i="21" s="1"/>
  <c r="G39" i="21" a="1"/>
  <c r="G39" i="21" s="1"/>
  <c r="F39" i="21" a="1"/>
  <c r="F39" i="21" s="1"/>
  <c r="E39" i="21" a="1"/>
  <c r="E39" i="21" s="1"/>
  <c r="D39" i="21" a="1"/>
  <c r="D39" i="21" s="1"/>
  <c r="C39" i="21" a="1"/>
  <c r="C39" i="21" s="1"/>
  <c r="B39" i="21" a="1"/>
  <c r="B39" i="21" s="1"/>
  <c r="AE38" i="21" a="1"/>
  <c r="AE38" i="21" s="1"/>
  <c r="AB38" i="21" a="1"/>
  <c r="AB38" i="21" s="1"/>
  <c r="AA38" i="21" a="1"/>
  <c r="AA38" i="21" s="1"/>
  <c r="Z38" i="21" a="1"/>
  <c r="Z38" i="21" s="1"/>
  <c r="Y38" i="21" a="1"/>
  <c r="Y38" i="21" s="1"/>
  <c r="X38" i="21" a="1"/>
  <c r="X38" i="21" s="1"/>
  <c r="W38" i="21" a="1"/>
  <c r="W38" i="21" s="1"/>
  <c r="V38" i="21" a="1"/>
  <c r="V38" i="21" s="1"/>
  <c r="U38" i="21" a="1"/>
  <c r="U38" i="21" s="1"/>
  <c r="T38" i="21" a="1"/>
  <c r="T38" i="21" s="1"/>
  <c r="S38" i="21" a="1"/>
  <c r="S38" i="21" s="1"/>
  <c r="R38" i="21" a="1"/>
  <c r="R38" i="21" s="1"/>
  <c r="Q38" i="21" a="1"/>
  <c r="Q38" i="21" s="1"/>
  <c r="P38" i="21" a="1"/>
  <c r="P38" i="21" s="1"/>
  <c r="O38" i="21" a="1"/>
  <c r="O38" i="21" s="1"/>
  <c r="N38" i="21" a="1"/>
  <c r="N38" i="21" s="1"/>
  <c r="M38" i="21" a="1"/>
  <c r="M38" i="21" s="1"/>
  <c r="L38" i="21" a="1"/>
  <c r="L38" i="21" s="1"/>
  <c r="K38" i="21" a="1"/>
  <c r="K38" i="21" s="1"/>
  <c r="J38" i="21" a="1"/>
  <c r="J38" i="21" s="1"/>
  <c r="I38" i="21" a="1"/>
  <c r="I38" i="21" s="1"/>
  <c r="H38" i="21" a="1"/>
  <c r="H38" i="21" s="1"/>
  <c r="G38" i="21" a="1"/>
  <c r="G38" i="21" s="1"/>
  <c r="F38" i="21" a="1"/>
  <c r="F38" i="21" s="1"/>
  <c r="E38" i="21" a="1"/>
  <c r="E38" i="21" s="1"/>
  <c r="D38" i="21" a="1"/>
  <c r="D38" i="21" s="1"/>
  <c r="C38" i="21" a="1"/>
  <c r="C38" i="21" s="1"/>
  <c r="B38" i="21" a="1"/>
  <c r="B38" i="21" s="1"/>
  <c r="AE37" i="21" a="1"/>
  <c r="AE37" i="21" s="1"/>
  <c r="AB37" i="21" a="1"/>
  <c r="AB37" i="21" s="1"/>
  <c r="AA37" i="21" a="1"/>
  <c r="AA37" i="21" s="1"/>
  <c r="Z37" i="21" a="1"/>
  <c r="Z37" i="21" s="1"/>
  <c r="Y37" i="21" a="1"/>
  <c r="Y37" i="21" s="1"/>
  <c r="X37" i="21" a="1"/>
  <c r="X37" i="21" s="1"/>
  <c r="W37" i="21" a="1"/>
  <c r="W37" i="21" s="1"/>
  <c r="V37" i="21"/>
  <c r="V37" i="21" a="1"/>
  <c r="U37" i="21" a="1"/>
  <c r="U37" i="21" s="1"/>
  <c r="T37" i="21" a="1"/>
  <c r="T37" i="21" s="1"/>
  <c r="S37" i="21" a="1"/>
  <c r="S37" i="21" s="1"/>
  <c r="R37" i="21" a="1"/>
  <c r="R37" i="21" s="1"/>
  <c r="Q37" i="21" a="1"/>
  <c r="Q37" i="21" s="1"/>
  <c r="P37" i="21" a="1"/>
  <c r="P37" i="21" s="1"/>
  <c r="O37" i="21" a="1"/>
  <c r="O37" i="21" s="1"/>
  <c r="N37" i="21" a="1"/>
  <c r="N37" i="21" s="1"/>
  <c r="M37" i="21" a="1"/>
  <c r="M37" i="21" s="1"/>
  <c r="L37" i="21" a="1"/>
  <c r="L37" i="21" s="1"/>
  <c r="K37" i="21" a="1"/>
  <c r="K37" i="21" s="1"/>
  <c r="J37" i="21" a="1"/>
  <c r="J37" i="21" s="1"/>
  <c r="I37" i="21" a="1"/>
  <c r="I37" i="21" s="1"/>
  <c r="H37" i="21" a="1"/>
  <c r="H37" i="21" s="1"/>
  <c r="G37" i="21" a="1"/>
  <c r="G37" i="21" s="1"/>
  <c r="F37" i="21" a="1"/>
  <c r="F37" i="21" s="1"/>
  <c r="E37" i="21" a="1"/>
  <c r="E37" i="21" s="1"/>
  <c r="D37" i="21" a="1"/>
  <c r="D37" i="21" s="1"/>
  <c r="C37" i="21" a="1"/>
  <c r="C37" i="21" s="1"/>
  <c r="B37" i="21" a="1"/>
  <c r="B37" i="21" s="1"/>
  <c r="AE36" i="21" a="1"/>
  <c r="AE36" i="21" s="1"/>
  <c r="AB36" i="21" a="1"/>
  <c r="AB36" i="21" s="1"/>
  <c r="AA36" i="21" a="1"/>
  <c r="AA36" i="21" s="1"/>
  <c r="Z36" i="21" a="1"/>
  <c r="Z36" i="21" s="1"/>
  <c r="Y36" i="21"/>
  <c r="Y36" i="21" a="1"/>
  <c r="X36" i="21" a="1"/>
  <c r="X36" i="21" s="1"/>
  <c r="W36" i="21" a="1"/>
  <c r="W36" i="21" s="1"/>
  <c r="V36" i="21" a="1"/>
  <c r="V36" i="21" s="1"/>
  <c r="U36" i="21" a="1"/>
  <c r="U36" i="21" s="1"/>
  <c r="T36" i="21" a="1"/>
  <c r="T36" i="21" s="1"/>
  <c r="S36" i="21" a="1"/>
  <c r="S36" i="21" s="1"/>
  <c r="R36" i="21" a="1"/>
  <c r="R36" i="21" s="1"/>
  <c r="Q36" i="21" a="1"/>
  <c r="Q36" i="21" s="1"/>
  <c r="P36" i="21" a="1"/>
  <c r="P36" i="21" s="1"/>
  <c r="O36" i="21" a="1"/>
  <c r="O36" i="21" s="1"/>
  <c r="N36" i="21" a="1"/>
  <c r="N36" i="21" s="1"/>
  <c r="M36" i="21" a="1"/>
  <c r="M36" i="21" s="1"/>
  <c r="L36" i="21" a="1"/>
  <c r="L36" i="21" s="1"/>
  <c r="K36" i="21" a="1"/>
  <c r="K36" i="21" s="1"/>
  <c r="J36" i="21" a="1"/>
  <c r="J36" i="21" s="1"/>
  <c r="I36" i="21" a="1"/>
  <c r="I36" i="21" s="1"/>
  <c r="H36" i="21"/>
  <c r="H36" i="21" a="1"/>
  <c r="G36" i="21" a="1"/>
  <c r="G36" i="21" s="1"/>
  <c r="F36" i="21" a="1"/>
  <c r="F36" i="21" s="1"/>
  <c r="E36" i="21" a="1"/>
  <c r="E36" i="21" s="1"/>
  <c r="D36" i="21" a="1"/>
  <c r="D36" i="21" s="1"/>
  <c r="C36" i="21" a="1"/>
  <c r="C36" i="21" s="1"/>
  <c r="B36" i="21" a="1"/>
  <c r="B36" i="21" s="1"/>
  <c r="AE35" i="21" a="1"/>
  <c r="AE35" i="21" s="1"/>
  <c r="AB35" i="21" a="1"/>
  <c r="AB35" i="21" s="1"/>
  <c r="AA35" i="21" a="1"/>
  <c r="AA35" i="21" s="1"/>
  <c r="Z35" i="21" a="1"/>
  <c r="Z35" i="21" s="1"/>
  <c r="Y35" i="21" a="1"/>
  <c r="Y35" i="21" s="1"/>
  <c r="X35" i="21" a="1"/>
  <c r="X35" i="21" s="1"/>
  <c r="W35" i="21" a="1"/>
  <c r="W35" i="21" s="1"/>
  <c r="V35" i="21" a="1"/>
  <c r="V35" i="21" s="1"/>
  <c r="U35" i="21" a="1"/>
  <c r="U35" i="21" s="1"/>
  <c r="T35" i="21" a="1"/>
  <c r="T35" i="21" s="1"/>
  <c r="S35" i="21" a="1"/>
  <c r="S35" i="21" s="1"/>
  <c r="R35" i="21" a="1"/>
  <c r="R35" i="21" s="1"/>
  <c r="Q35" i="21" a="1"/>
  <c r="Q35" i="21" s="1"/>
  <c r="P35" i="21" a="1"/>
  <c r="P35" i="21" s="1"/>
  <c r="O35" i="21" a="1"/>
  <c r="O35" i="21" s="1"/>
  <c r="N35" i="21" a="1"/>
  <c r="N35" i="21" s="1"/>
  <c r="M35" i="21" a="1"/>
  <c r="M35" i="21" s="1"/>
  <c r="L35" i="21" a="1"/>
  <c r="L35" i="21" s="1"/>
  <c r="K35" i="21" a="1"/>
  <c r="K35" i="21" s="1"/>
  <c r="J35" i="21" a="1"/>
  <c r="J35" i="21" s="1"/>
  <c r="I35" i="21" a="1"/>
  <c r="I35" i="21" s="1"/>
  <c r="H35" i="21" a="1"/>
  <c r="H35" i="21" s="1"/>
  <c r="G35" i="21" a="1"/>
  <c r="G35" i="21" s="1"/>
  <c r="F35" i="21" a="1"/>
  <c r="F35" i="21" s="1"/>
  <c r="E35" i="21" a="1"/>
  <c r="E35" i="21" s="1"/>
  <c r="D35" i="21" a="1"/>
  <c r="D35" i="21" s="1"/>
  <c r="C35" i="21" a="1"/>
  <c r="C35" i="21" s="1"/>
  <c r="B35" i="21" a="1"/>
  <c r="B35" i="21" s="1"/>
  <c r="AE34" i="21" a="1"/>
  <c r="AE34" i="21" s="1"/>
  <c r="AB34" i="21" a="1"/>
  <c r="AB34" i="21" s="1"/>
  <c r="AA34" i="21" a="1"/>
  <c r="AA34" i="21" s="1"/>
  <c r="Z34" i="21" a="1"/>
  <c r="Z34" i="21" s="1"/>
  <c r="Y34" i="21" a="1"/>
  <c r="Y34" i="21" s="1"/>
  <c r="X34" i="21" a="1"/>
  <c r="X34" i="21" s="1"/>
  <c r="W34" i="21" a="1"/>
  <c r="W34" i="21" s="1"/>
  <c r="V34" i="21" a="1"/>
  <c r="V34" i="21" s="1"/>
  <c r="U34" i="21" a="1"/>
  <c r="U34" i="21" s="1"/>
  <c r="T34" i="21" a="1"/>
  <c r="T34" i="21" s="1"/>
  <c r="S34" i="21" a="1"/>
  <c r="S34" i="21" s="1"/>
  <c r="R34" i="21" a="1"/>
  <c r="R34" i="21" s="1"/>
  <c r="Q34" i="21" a="1"/>
  <c r="Q34" i="21" s="1"/>
  <c r="P34" i="21" a="1"/>
  <c r="P34" i="21" s="1"/>
  <c r="O34" i="21" a="1"/>
  <c r="O34" i="21" s="1"/>
  <c r="N34" i="21" a="1"/>
  <c r="N34" i="21" s="1"/>
  <c r="M34" i="21" a="1"/>
  <c r="M34" i="21" s="1"/>
  <c r="L34" i="21" a="1"/>
  <c r="L34" i="21" s="1"/>
  <c r="K34" i="21" a="1"/>
  <c r="K34" i="21" s="1"/>
  <c r="J34" i="21" a="1"/>
  <c r="J34" i="21" s="1"/>
  <c r="I34" i="21" a="1"/>
  <c r="I34" i="21" s="1"/>
  <c r="H34" i="21" a="1"/>
  <c r="H34" i="21" s="1"/>
  <c r="G34" i="21"/>
  <c r="G34" i="21" a="1"/>
  <c r="F34" i="21" a="1"/>
  <c r="F34" i="21" s="1"/>
  <c r="E34" i="21" a="1"/>
  <c r="E34" i="21" s="1"/>
  <c r="D34" i="21" a="1"/>
  <c r="D34" i="21" s="1"/>
  <c r="C34" i="21" a="1"/>
  <c r="C34" i="21" s="1"/>
  <c r="B34" i="21" a="1"/>
  <c r="B34" i="21" s="1"/>
  <c r="AE33" i="21" a="1"/>
  <c r="AE33" i="21" s="1"/>
  <c r="AB33" i="21" a="1"/>
  <c r="AB33" i="21" s="1"/>
  <c r="AA33" i="21" a="1"/>
  <c r="AA33" i="21" s="1"/>
  <c r="Z33" i="21" a="1"/>
  <c r="Z33" i="21" s="1"/>
  <c r="Y33" i="21" a="1"/>
  <c r="Y33" i="21" s="1"/>
  <c r="X33" i="21"/>
  <c r="X33" i="21" a="1"/>
  <c r="W33" i="21"/>
  <c r="W33" i="21" a="1"/>
  <c r="V33" i="21" a="1"/>
  <c r="V33" i="21" s="1"/>
  <c r="U33" i="21" a="1"/>
  <c r="U33" i="21" s="1"/>
  <c r="T33" i="21" a="1"/>
  <c r="T33" i="21" s="1"/>
  <c r="S33" i="21" a="1"/>
  <c r="S33" i="21" s="1"/>
  <c r="R33" i="21" a="1"/>
  <c r="R33" i="21" s="1"/>
  <c r="Q33" i="21" a="1"/>
  <c r="Q33" i="21" s="1"/>
  <c r="P33" i="21" a="1"/>
  <c r="P33" i="21" s="1"/>
  <c r="O33" i="21" a="1"/>
  <c r="O33" i="21" s="1"/>
  <c r="N33" i="21" a="1"/>
  <c r="N33" i="21" s="1"/>
  <c r="M33" i="21" a="1"/>
  <c r="M33" i="21" s="1"/>
  <c r="L33" i="21" a="1"/>
  <c r="L33" i="21" s="1"/>
  <c r="K33" i="21" a="1"/>
  <c r="K33" i="21" s="1"/>
  <c r="J33" i="21" a="1"/>
  <c r="J33" i="21" s="1"/>
  <c r="I33" i="21" a="1"/>
  <c r="I33" i="21" s="1"/>
  <c r="H33" i="21" a="1"/>
  <c r="H33" i="21" s="1"/>
  <c r="G33" i="21" a="1"/>
  <c r="G33" i="21" s="1"/>
  <c r="F33" i="21" a="1"/>
  <c r="F33" i="21" s="1"/>
  <c r="E33" i="21" a="1"/>
  <c r="E33" i="21" s="1"/>
  <c r="D33" i="21" a="1"/>
  <c r="D33" i="21" s="1"/>
  <c r="C33" i="21" a="1"/>
  <c r="C33" i="21" s="1"/>
  <c r="B33" i="21" a="1"/>
  <c r="B33" i="21" s="1"/>
  <c r="AE32" i="21" a="1"/>
  <c r="AE32" i="21" s="1"/>
  <c r="AB32" i="21" a="1"/>
  <c r="AB32" i="21" s="1"/>
  <c r="AA32" i="21" a="1"/>
  <c r="AA32" i="21" s="1"/>
  <c r="Z32" i="21" a="1"/>
  <c r="Z32" i="21" s="1"/>
  <c r="Y32" i="21" a="1"/>
  <c r="Y32" i="21" s="1"/>
  <c r="X32" i="21" a="1"/>
  <c r="X32" i="21" s="1"/>
  <c r="W32" i="21" a="1"/>
  <c r="W32" i="21" s="1"/>
  <c r="V32" i="21" a="1"/>
  <c r="V32" i="21" s="1"/>
  <c r="U32" i="21" a="1"/>
  <c r="U32" i="21" s="1"/>
  <c r="T32" i="21" a="1"/>
  <c r="T32" i="21" s="1"/>
  <c r="S32" i="21" a="1"/>
  <c r="S32" i="21" s="1"/>
  <c r="R32" i="21" a="1"/>
  <c r="R32" i="21" s="1"/>
  <c r="Q32" i="21" a="1"/>
  <c r="Q32" i="21" s="1"/>
  <c r="P32" i="21" a="1"/>
  <c r="P32" i="21" s="1"/>
  <c r="O32" i="21" a="1"/>
  <c r="O32" i="21" s="1"/>
  <c r="N32" i="21" a="1"/>
  <c r="N32" i="21" s="1"/>
  <c r="M32" i="21" a="1"/>
  <c r="M32" i="21" s="1"/>
  <c r="L32" i="21" a="1"/>
  <c r="L32" i="21" s="1"/>
  <c r="K32" i="21" a="1"/>
  <c r="K32" i="21" s="1"/>
  <c r="J32" i="21" a="1"/>
  <c r="J32" i="21" s="1"/>
  <c r="I32" i="21" a="1"/>
  <c r="I32" i="21" s="1"/>
  <c r="H32" i="21" a="1"/>
  <c r="H32" i="21" s="1"/>
  <c r="G32" i="21" a="1"/>
  <c r="G32" i="21" s="1"/>
  <c r="F32" i="21" a="1"/>
  <c r="F32" i="21" s="1"/>
  <c r="E32" i="21" a="1"/>
  <c r="E32" i="21" s="1"/>
  <c r="D32" i="21" a="1"/>
  <c r="D32" i="21" s="1"/>
  <c r="C32" i="21" a="1"/>
  <c r="C32" i="21" s="1"/>
  <c r="B32" i="21" a="1"/>
  <c r="B32" i="21" s="1"/>
  <c r="AE31" i="21" a="1"/>
  <c r="AE31" i="21" s="1"/>
  <c r="AB31" i="21" a="1"/>
  <c r="AB31" i="21" s="1"/>
  <c r="AA31" i="21" a="1"/>
  <c r="AA31" i="21" s="1"/>
  <c r="Z31" i="21" a="1"/>
  <c r="Z31" i="21" s="1"/>
  <c r="Y31" i="21" a="1"/>
  <c r="Y31" i="21" s="1"/>
  <c r="X31" i="21" a="1"/>
  <c r="X31" i="21" s="1"/>
  <c r="W31" i="21" a="1"/>
  <c r="W31" i="21" s="1"/>
  <c r="V31" i="21" a="1"/>
  <c r="V31" i="21" s="1"/>
  <c r="U31" i="21" a="1"/>
  <c r="U31" i="21" s="1"/>
  <c r="T31" i="21" a="1"/>
  <c r="T31" i="21" s="1"/>
  <c r="S31" i="21" a="1"/>
  <c r="S31" i="21" s="1"/>
  <c r="R31" i="21" a="1"/>
  <c r="R31" i="21" s="1"/>
  <c r="Q31" i="21" a="1"/>
  <c r="Q31" i="21" s="1"/>
  <c r="P31" i="21" a="1"/>
  <c r="P31" i="21" s="1"/>
  <c r="O31" i="21" a="1"/>
  <c r="O31" i="21" s="1"/>
  <c r="N31" i="21" a="1"/>
  <c r="N31" i="21" s="1"/>
  <c r="M31" i="21" a="1"/>
  <c r="M31" i="21" s="1"/>
  <c r="AC31" i="21" s="1" a="1"/>
  <c r="AC31" i="21" s="1"/>
  <c r="L31" i="21"/>
  <c r="L31" i="21" a="1"/>
  <c r="K31" i="21" a="1"/>
  <c r="K31" i="21" s="1"/>
  <c r="J31" i="21" a="1"/>
  <c r="J31" i="21" s="1"/>
  <c r="I31" i="21" a="1"/>
  <c r="I31" i="21" s="1"/>
  <c r="H31" i="21" a="1"/>
  <c r="H31" i="21" s="1"/>
  <c r="G31" i="21" a="1"/>
  <c r="G31" i="21" s="1"/>
  <c r="F31" i="21" a="1"/>
  <c r="F31" i="21" s="1"/>
  <c r="E31" i="21" a="1"/>
  <c r="E31" i="21" s="1"/>
  <c r="D31" i="21" a="1"/>
  <c r="D31" i="21" s="1"/>
  <c r="C31" i="21" a="1"/>
  <c r="C31" i="21" s="1"/>
  <c r="B31" i="21" a="1"/>
  <c r="B31" i="21" s="1"/>
  <c r="AE30" i="21" a="1"/>
  <c r="AE30" i="21" s="1"/>
  <c r="AB30" i="21" a="1"/>
  <c r="AB30" i="21" s="1"/>
  <c r="AA30" i="21" a="1"/>
  <c r="AA30" i="21" s="1"/>
  <c r="Z30" i="21" a="1"/>
  <c r="Z30" i="21" s="1"/>
  <c r="Y30" i="21" a="1"/>
  <c r="Y30" i="21" s="1"/>
  <c r="X30" i="21" a="1"/>
  <c r="X30" i="21" s="1"/>
  <c r="W30" i="21" a="1"/>
  <c r="W30" i="21" s="1"/>
  <c r="V30" i="21" a="1"/>
  <c r="V30" i="21" s="1"/>
  <c r="U30" i="21" a="1"/>
  <c r="U30" i="21" s="1"/>
  <c r="T30" i="21" a="1"/>
  <c r="T30" i="21" s="1"/>
  <c r="S30" i="21" a="1"/>
  <c r="S30" i="21" s="1"/>
  <c r="R30" i="21" a="1"/>
  <c r="R30" i="21" s="1"/>
  <c r="Q30" i="21" a="1"/>
  <c r="Q30" i="21" s="1"/>
  <c r="P30" i="21" a="1"/>
  <c r="P30" i="21" s="1"/>
  <c r="O30" i="21" a="1"/>
  <c r="O30" i="21" s="1"/>
  <c r="N30" i="21" a="1"/>
  <c r="N30" i="21" s="1"/>
  <c r="M30" i="21" a="1"/>
  <c r="M30" i="21" s="1"/>
  <c r="L30" i="21" a="1"/>
  <c r="L30" i="21" s="1"/>
  <c r="K30" i="21" a="1"/>
  <c r="K30" i="21" s="1"/>
  <c r="J30" i="21" a="1"/>
  <c r="J30" i="21" s="1"/>
  <c r="I30" i="21" a="1"/>
  <c r="I30" i="21" s="1"/>
  <c r="H30" i="21" a="1"/>
  <c r="H30" i="21" s="1"/>
  <c r="G30" i="21" a="1"/>
  <c r="G30" i="21" s="1"/>
  <c r="F30" i="21" a="1"/>
  <c r="F30" i="21" s="1"/>
  <c r="E30" i="21" a="1"/>
  <c r="E30" i="21" s="1"/>
  <c r="D30" i="21" a="1"/>
  <c r="D30" i="21" s="1"/>
  <c r="C30" i="21" a="1"/>
  <c r="C30" i="21" s="1"/>
  <c r="B30" i="21" a="1"/>
  <c r="B30" i="21" s="1"/>
  <c r="AE29" i="21" a="1"/>
  <c r="AE29" i="21" s="1"/>
  <c r="AB29" i="21" a="1"/>
  <c r="AB29" i="21" s="1"/>
  <c r="AA29" i="21" a="1"/>
  <c r="AA29" i="21" s="1"/>
  <c r="Z29" i="21" a="1"/>
  <c r="Z29" i="21" s="1"/>
  <c r="Y29" i="21" a="1"/>
  <c r="Y29" i="21" s="1"/>
  <c r="X29" i="21" a="1"/>
  <c r="X29" i="21" s="1"/>
  <c r="W29" i="21" a="1"/>
  <c r="W29" i="21" s="1"/>
  <c r="V29" i="21" a="1"/>
  <c r="V29" i="21" s="1"/>
  <c r="U29" i="21" a="1"/>
  <c r="U29" i="21" s="1"/>
  <c r="T29" i="21" a="1"/>
  <c r="T29" i="21" s="1"/>
  <c r="S29" i="21" a="1"/>
  <c r="S29" i="21" s="1"/>
  <c r="R29" i="21" a="1"/>
  <c r="R29" i="21" s="1"/>
  <c r="Q29" i="21" a="1"/>
  <c r="Q29" i="21" s="1"/>
  <c r="P29" i="21" a="1"/>
  <c r="P29" i="21" s="1"/>
  <c r="O29" i="21" a="1"/>
  <c r="O29" i="21" s="1"/>
  <c r="N29" i="21" a="1"/>
  <c r="N29" i="21" s="1"/>
  <c r="M29" i="21" a="1"/>
  <c r="M29" i="21" s="1"/>
  <c r="AD29" i="21" s="1" a="1"/>
  <c r="AD29" i="21" s="1"/>
  <c r="L29" i="21" a="1"/>
  <c r="L29" i="21" s="1"/>
  <c r="K29" i="21" a="1"/>
  <c r="K29" i="21" s="1"/>
  <c r="J29" i="21" a="1"/>
  <c r="J29" i="21" s="1"/>
  <c r="I29" i="21" a="1"/>
  <c r="I29" i="21" s="1"/>
  <c r="H29" i="21" a="1"/>
  <c r="H29" i="21" s="1"/>
  <c r="G29" i="21" a="1"/>
  <c r="G29" i="21" s="1"/>
  <c r="F29" i="21" a="1"/>
  <c r="F29" i="21" s="1"/>
  <c r="E29" i="21" a="1"/>
  <c r="E29" i="21" s="1"/>
  <c r="D29" i="21" a="1"/>
  <c r="D29" i="21" s="1"/>
  <c r="C29" i="21" a="1"/>
  <c r="C29" i="21" s="1"/>
  <c r="B29" i="21" a="1"/>
  <c r="B29" i="21" s="1"/>
  <c r="AE28" i="21" a="1"/>
  <c r="AE28" i="21" s="1"/>
  <c r="AB28" i="21" a="1"/>
  <c r="AB28" i="21" s="1"/>
  <c r="AA28" i="21" a="1"/>
  <c r="AA28" i="21" s="1"/>
  <c r="Z28" i="21" a="1"/>
  <c r="Z28" i="21" s="1"/>
  <c r="Y28" i="21" a="1"/>
  <c r="Y28" i="21" s="1"/>
  <c r="X28" i="21" a="1"/>
  <c r="X28" i="21" s="1"/>
  <c r="W28" i="21" a="1"/>
  <c r="W28" i="21" s="1"/>
  <c r="V28" i="21" a="1"/>
  <c r="V28" i="21" s="1"/>
  <c r="U28" i="21" a="1"/>
  <c r="U28" i="21" s="1"/>
  <c r="T28" i="21" a="1"/>
  <c r="T28" i="21" s="1"/>
  <c r="S28" i="21" a="1"/>
  <c r="S28" i="21" s="1"/>
  <c r="R28" i="21" a="1"/>
  <c r="R28" i="21" s="1"/>
  <c r="Q28" i="21" a="1"/>
  <c r="Q28" i="21" s="1"/>
  <c r="P28" i="21" a="1"/>
  <c r="P28" i="21" s="1"/>
  <c r="O28" i="21" a="1"/>
  <c r="O28" i="21" s="1"/>
  <c r="N28" i="21" a="1"/>
  <c r="N28" i="21" s="1"/>
  <c r="M28" i="21" a="1"/>
  <c r="M28" i="21" s="1"/>
  <c r="L28" i="21" a="1"/>
  <c r="L28" i="21" s="1"/>
  <c r="K28" i="21" a="1"/>
  <c r="K28" i="21" s="1"/>
  <c r="J28" i="21" a="1"/>
  <c r="J28" i="21" s="1"/>
  <c r="I28" i="21" a="1"/>
  <c r="I28" i="21" s="1"/>
  <c r="H28" i="21" a="1"/>
  <c r="H28" i="21" s="1"/>
  <c r="G28" i="21" a="1"/>
  <c r="G28" i="21" s="1"/>
  <c r="F28" i="21" a="1"/>
  <c r="F28" i="21" s="1"/>
  <c r="E28" i="21" a="1"/>
  <c r="E28" i="21" s="1"/>
  <c r="D28" i="21" a="1"/>
  <c r="D28" i="21" s="1"/>
  <c r="C28" i="21" a="1"/>
  <c r="C28" i="21" s="1"/>
  <c r="B28" i="21" a="1"/>
  <c r="B28" i="21" s="1"/>
  <c r="AE27" i="21" a="1"/>
  <c r="AE27" i="21" s="1"/>
  <c r="AB27" i="21" a="1"/>
  <c r="AB27" i="21" s="1"/>
  <c r="AA27" i="21"/>
  <c r="AA27" i="21" a="1"/>
  <c r="Z27" i="21" a="1"/>
  <c r="Z27" i="21" s="1"/>
  <c r="Y27" i="21"/>
  <c r="Y27" i="21" a="1"/>
  <c r="X27" i="21" a="1"/>
  <c r="X27" i="21" s="1"/>
  <c r="W27" i="21" a="1"/>
  <c r="W27" i="21" s="1"/>
  <c r="V27" i="21" a="1"/>
  <c r="V27" i="21" s="1"/>
  <c r="U27" i="21" a="1"/>
  <c r="U27" i="21" s="1"/>
  <c r="T27" i="21" a="1"/>
  <c r="T27" i="21" s="1"/>
  <c r="S27" i="21" a="1"/>
  <c r="S27" i="21" s="1"/>
  <c r="R27" i="21" a="1"/>
  <c r="R27" i="21" s="1"/>
  <c r="Q27" i="21" a="1"/>
  <c r="Q27" i="21" s="1"/>
  <c r="P27" i="21" a="1"/>
  <c r="P27" i="21" s="1"/>
  <c r="O27" i="21" a="1"/>
  <c r="O27" i="21" s="1"/>
  <c r="N27" i="21" a="1"/>
  <c r="N27" i="21" s="1"/>
  <c r="M27" i="21" a="1"/>
  <c r="M27" i="21" s="1"/>
  <c r="AD27" i="21" s="1" a="1"/>
  <c r="AD27" i="21" s="1"/>
  <c r="L27" i="21" a="1"/>
  <c r="L27" i="21" s="1"/>
  <c r="K27" i="21" a="1"/>
  <c r="K27" i="21" s="1"/>
  <c r="J27" i="21" a="1"/>
  <c r="J27" i="21" s="1"/>
  <c r="I27" i="21" a="1"/>
  <c r="I27" i="21" s="1"/>
  <c r="H27" i="21" a="1"/>
  <c r="H27" i="21" s="1"/>
  <c r="G27" i="21" a="1"/>
  <c r="G27" i="21" s="1"/>
  <c r="F27" i="21" a="1"/>
  <c r="F27" i="21" s="1"/>
  <c r="E27" i="21" a="1"/>
  <c r="E27" i="21" s="1"/>
  <c r="D27" i="21" a="1"/>
  <c r="D27" i="21" s="1"/>
  <c r="C27" i="21" a="1"/>
  <c r="C27" i="21" s="1"/>
  <c r="B27" i="21" a="1"/>
  <c r="B27" i="21" s="1"/>
  <c r="AE26" i="21" a="1"/>
  <c r="AE26" i="21" s="1"/>
  <c r="AB26" i="21" a="1"/>
  <c r="AB26" i="21" s="1"/>
  <c r="AA26" i="21" a="1"/>
  <c r="AA26" i="21" s="1"/>
  <c r="Z26" i="21" a="1"/>
  <c r="Z26" i="21" s="1"/>
  <c r="Y26" i="21" a="1"/>
  <c r="Y26" i="21" s="1"/>
  <c r="X26" i="21" a="1"/>
  <c r="X26" i="21" s="1"/>
  <c r="W26" i="21" a="1"/>
  <c r="W26" i="21" s="1"/>
  <c r="V26" i="21" a="1"/>
  <c r="V26" i="21" s="1"/>
  <c r="U26" i="21" a="1"/>
  <c r="U26" i="21" s="1"/>
  <c r="T26" i="21" a="1"/>
  <c r="T26" i="21" s="1"/>
  <c r="S26" i="21" a="1"/>
  <c r="S26" i="21" s="1"/>
  <c r="R26" i="21" a="1"/>
  <c r="R26" i="21" s="1"/>
  <c r="Q26" i="21" a="1"/>
  <c r="Q26" i="21" s="1"/>
  <c r="P26" i="21" a="1"/>
  <c r="P26" i="21" s="1"/>
  <c r="O26" i="21" a="1"/>
  <c r="O26" i="21" s="1"/>
  <c r="N26" i="21" a="1"/>
  <c r="N26" i="21" s="1"/>
  <c r="M26" i="21" a="1"/>
  <c r="M26" i="21" s="1"/>
  <c r="AD26" i="21" s="1" a="1"/>
  <c r="AD26" i="21" s="1"/>
  <c r="L26" i="21"/>
  <c r="L26" i="21" a="1"/>
  <c r="K26" i="21" a="1"/>
  <c r="K26" i="21" s="1"/>
  <c r="J26" i="21" a="1"/>
  <c r="J26" i="21" s="1"/>
  <c r="I26" i="21"/>
  <c r="I26" i="21" a="1"/>
  <c r="H26" i="21" a="1"/>
  <c r="H26" i="21" s="1"/>
  <c r="G26" i="21" a="1"/>
  <c r="G26" i="21" s="1"/>
  <c r="F26" i="21" a="1"/>
  <c r="F26" i="21" s="1"/>
  <c r="E26" i="21" a="1"/>
  <c r="E26" i="21" s="1"/>
  <c r="D26" i="21" a="1"/>
  <c r="D26" i="21" s="1"/>
  <c r="C26" i="21" a="1"/>
  <c r="C26" i="21" s="1"/>
  <c r="B26" i="21" a="1"/>
  <c r="B26" i="21" s="1"/>
  <c r="AE25" i="21" a="1"/>
  <c r="AE25" i="21" s="1"/>
  <c r="AB25" i="21" a="1"/>
  <c r="AB25" i="21" s="1"/>
  <c r="AA25" i="21" a="1"/>
  <c r="AA25" i="21" s="1"/>
  <c r="Z25" i="21" a="1"/>
  <c r="Z25" i="21" s="1"/>
  <c r="Y25" i="21" a="1"/>
  <c r="Y25" i="21" s="1"/>
  <c r="X25" i="21" a="1"/>
  <c r="X25" i="21" s="1"/>
  <c r="W25" i="21" a="1"/>
  <c r="W25" i="21" s="1"/>
  <c r="V25" i="21" a="1"/>
  <c r="V25" i="21" s="1"/>
  <c r="U25" i="21" a="1"/>
  <c r="U25" i="21" s="1"/>
  <c r="T25" i="21" a="1"/>
  <c r="T25" i="21" s="1"/>
  <c r="S25" i="21" a="1"/>
  <c r="S25" i="21" s="1"/>
  <c r="R25" i="21" a="1"/>
  <c r="R25" i="21" s="1"/>
  <c r="Q25" i="21" a="1"/>
  <c r="Q25" i="21" s="1"/>
  <c r="P25" i="21" a="1"/>
  <c r="P25" i="21" s="1"/>
  <c r="O25" i="21" a="1"/>
  <c r="O25" i="21" s="1"/>
  <c r="N25" i="21"/>
  <c r="N25" i="21" a="1"/>
  <c r="M25" i="21" a="1"/>
  <c r="M25" i="21" s="1"/>
  <c r="L25" i="21" a="1"/>
  <c r="L25" i="21" s="1"/>
  <c r="K25" i="21" a="1"/>
  <c r="K25" i="21" s="1"/>
  <c r="J25" i="21" a="1"/>
  <c r="J25" i="21" s="1"/>
  <c r="I25" i="21" a="1"/>
  <c r="I25" i="21" s="1"/>
  <c r="H25" i="21"/>
  <c r="H25" i="21" a="1"/>
  <c r="G25" i="21" a="1"/>
  <c r="G25" i="21" s="1"/>
  <c r="F25" i="21" a="1"/>
  <c r="F25" i="21" s="1"/>
  <c r="E25" i="21"/>
  <c r="E25" i="21" a="1"/>
  <c r="D25" i="21" a="1"/>
  <c r="D25" i="21" s="1"/>
  <c r="C25" i="21" a="1"/>
  <c r="C25" i="21" s="1"/>
  <c r="B25" i="21" a="1"/>
  <c r="B25" i="21" s="1"/>
  <c r="AE24" i="21" a="1"/>
  <c r="AE24" i="21" s="1"/>
  <c r="AB24" i="21" a="1"/>
  <c r="AB24" i="21" s="1"/>
  <c r="AA24" i="21"/>
  <c r="AA24" i="21" a="1"/>
  <c r="Z24" i="21" a="1"/>
  <c r="Z24" i="21" s="1"/>
  <c r="Y24" i="21" a="1"/>
  <c r="Y24" i="21" s="1"/>
  <c r="X24" i="21"/>
  <c r="X24" i="21" a="1"/>
  <c r="W24" i="21" a="1"/>
  <c r="W24" i="21" s="1"/>
  <c r="V24" i="21" a="1"/>
  <c r="V24" i="21" s="1"/>
  <c r="U24" i="21" a="1"/>
  <c r="U24" i="21" s="1"/>
  <c r="T24" i="21" a="1"/>
  <c r="T24" i="21" s="1"/>
  <c r="S24" i="21"/>
  <c r="S24" i="21" a="1"/>
  <c r="R24" i="21" a="1"/>
  <c r="R24" i="21" s="1"/>
  <c r="Q24" i="21" a="1"/>
  <c r="Q24" i="21" s="1"/>
  <c r="P24" i="21" a="1"/>
  <c r="P24" i="21" s="1"/>
  <c r="O24" i="21" a="1"/>
  <c r="O24" i="21" s="1"/>
  <c r="N24" i="21"/>
  <c r="N24" i="21" a="1"/>
  <c r="M24" i="21" a="1"/>
  <c r="M24" i="21" s="1"/>
  <c r="L24" i="21" a="1"/>
  <c r="L24" i="21" s="1"/>
  <c r="K24" i="21"/>
  <c r="K24" i="21" a="1"/>
  <c r="J24" i="21" a="1"/>
  <c r="J24" i="21" s="1"/>
  <c r="I24" i="21" a="1"/>
  <c r="I24" i="21" s="1"/>
  <c r="H24" i="21" a="1"/>
  <c r="H24" i="21" s="1"/>
  <c r="G24" i="21" a="1"/>
  <c r="G24" i="21" s="1"/>
  <c r="F24" i="21" a="1"/>
  <c r="F24" i="21" s="1"/>
  <c r="E24" i="21" a="1"/>
  <c r="E24" i="21" s="1"/>
  <c r="D24" i="21" a="1"/>
  <c r="D24" i="21" s="1"/>
  <c r="C24" i="21" a="1"/>
  <c r="C24" i="21" s="1"/>
  <c r="B24" i="21" a="1"/>
  <c r="B24" i="21" s="1"/>
  <c r="AE23" i="21" a="1"/>
  <c r="AE23" i="21" s="1"/>
  <c r="AB23" i="21" a="1"/>
  <c r="AB23" i="21" s="1"/>
  <c r="AA23" i="21" a="1"/>
  <c r="AA23" i="21" s="1"/>
  <c r="Z23" i="21" a="1"/>
  <c r="Z23" i="21" s="1"/>
  <c r="Y23" i="21" a="1"/>
  <c r="Y23" i="21" s="1"/>
  <c r="X23" i="21" a="1"/>
  <c r="X23" i="21" s="1"/>
  <c r="W23" i="21" a="1"/>
  <c r="W23" i="21" s="1"/>
  <c r="V23" i="21" a="1"/>
  <c r="V23" i="21" s="1"/>
  <c r="U23" i="21" a="1"/>
  <c r="U23" i="21" s="1"/>
  <c r="T23" i="21" a="1"/>
  <c r="T23" i="21" s="1"/>
  <c r="S23" i="21" a="1"/>
  <c r="S23" i="21" s="1"/>
  <c r="R23" i="21" a="1"/>
  <c r="R23" i="21" s="1"/>
  <c r="Q23" i="21" a="1"/>
  <c r="Q23" i="21" s="1"/>
  <c r="P23" i="21" a="1"/>
  <c r="P23" i="21" s="1"/>
  <c r="O23" i="21" a="1"/>
  <c r="O23" i="21" s="1"/>
  <c r="N23" i="21" a="1"/>
  <c r="N23" i="21" s="1"/>
  <c r="M23" i="21" a="1"/>
  <c r="M23" i="21" s="1"/>
  <c r="L23" i="21" a="1"/>
  <c r="L23" i="21" s="1"/>
  <c r="K23" i="21" a="1"/>
  <c r="K23" i="21" s="1"/>
  <c r="J23" i="21" a="1"/>
  <c r="J23" i="21" s="1"/>
  <c r="I23" i="21" a="1"/>
  <c r="I23" i="21" s="1"/>
  <c r="H23" i="21" a="1"/>
  <c r="H23" i="21" s="1"/>
  <c r="G23" i="21" a="1"/>
  <c r="G23" i="21" s="1"/>
  <c r="F23" i="21" a="1"/>
  <c r="F23" i="21" s="1"/>
  <c r="E23" i="21" a="1"/>
  <c r="E23" i="21" s="1"/>
  <c r="D23" i="21" a="1"/>
  <c r="D23" i="21" s="1"/>
  <c r="C23" i="21" a="1"/>
  <c r="C23" i="21" s="1"/>
  <c r="B23" i="21" a="1"/>
  <c r="B23" i="21" s="1"/>
  <c r="AE22" i="21" a="1"/>
  <c r="AE22" i="21" s="1"/>
  <c r="AB22" i="21" a="1"/>
  <c r="AB22" i="21" s="1"/>
  <c r="AA22" i="21" a="1"/>
  <c r="AA22" i="21" s="1"/>
  <c r="Z22" i="21" a="1"/>
  <c r="Z22" i="21" s="1"/>
  <c r="Y22" i="21" a="1"/>
  <c r="Y22" i="21" s="1"/>
  <c r="X22" i="21" a="1"/>
  <c r="X22" i="21" s="1"/>
  <c r="W22" i="21" a="1"/>
  <c r="W22" i="21" s="1"/>
  <c r="V22" i="21" a="1"/>
  <c r="V22" i="21" s="1"/>
  <c r="U22" i="21" a="1"/>
  <c r="U22" i="21" s="1"/>
  <c r="T22" i="21" a="1"/>
  <c r="T22" i="21" s="1"/>
  <c r="S22" i="21" a="1"/>
  <c r="S22" i="21" s="1"/>
  <c r="R22" i="21" a="1"/>
  <c r="R22" i="21" s="1"/>
  <c r="Q22" i="21" a="1"/>
  <c r="Q22" i="21" s="1"/>
  <c r="P22" i="21" a="1"/>
  <c r="P22" i="21" s="1"/>
  <c r="O22" i="21" a="1"/>
  <c r="O22" i="21" s="1"/>
  <c r="N22" i="21" a="1"/>
  <c r="N22" i="21" s="1"/>
  <c r="M22" i="21" a="1"/>
  <c r="M22" i="21" s="1"/>
  <c r="L22" i="21" a="1"/>
  <c r="L22" i="21" s="1"/>
  <c r="K22" i="21" a="1"/>
  <c r="K22" i="21" s="1"/>
  <c r="J22" i="21" a="1"/>
  <c r="J22" i="21" s="1"/>
  <c r="I22" i="21" a="1"/>
  <c r="I22" i="21" s="1"/>
  <c r="H22" i="21" a="1"/>
  <c r="H22" i="21" s="1"/>
  <c r="G22" i="21" a="1"/>
  <c r="G22" i="21" s="1"/>
  <c r="F22" i="21" a="1"/>
  <c r="F22" i="21" s="1"/>
  <c r="E22" i="21" a="1"/>
  <c r="E22" i="21" s="1"/>
  <c r="D22" i="21" a="1"/>
  <c r="D22" i="21" s="1"/>
  <c r="C22" i="21" a="1"/>
  <c r="C22" i="21" s="1"/>
  <c r="B22" i="21" a="1"/>
  <c r="B22" i="21" s="1"/>
  <c r="AE21" i="21" a="1"/>
  <c r="AE21" i="21" s="1"/>
  <c r="AB21" i="21" a="1"/>
  <c r="AB21" i="21" s="1"/>
  <c r="AA21" i="21" a="1"/>
  <c r="AA21" i="21" s="1"/>
  <c r="Z21" i="21" a="1"/>
  <c r="Z21" i="21" s="1"/>
  <c r="Y21" i="21" a="1"/>
  <c r="Y21" i="21" s="1"/>
  <c r="X21" i="21" a="1"/>
  <c r="X21" i="21" s="1"/>
  <c r="W21" i="21" a="1"/>
  <c r="W21" i="21" s="1"/>
  <c r="V21" i="21" a="1"/>
  <c r="V21" i="21" s="1"/>
  <c r="U21" i="21" a="1"/>
  <c r="U21" i="21" s="1"/>
  <c r="T21" i="21" a="1"/>
  <c r="T21" i="21" s="1"/>
  <c r="S21" i="21" a="1"/>
  <c r="S21" i="21" s="1"/>
  <c r="R21" i="21" a="1"/>
  <c r="R21" i="21" s="1"/>
  <c r="Q21" i="21" a="1"/>
  <c r="Q21" i="21" s="1"/>
  <c r="P21" i="21" a="1"/>
  <c r="P21" i="21" s="1"/>
  <c r="O21" i="21" a="1"/>
  <c r="O21" i="21" s="1"/>
  <c r="N21" i="21" a="1"/>
  <c r="N21" i="21" s="1"/>
  <c r="M21" i="21" a="1"/>
  <c r="M21" i="21" s="1"/>
  <c r="L21" i="21" a="1"/>
  <c r="L21" i="21" s="1"/>
  <c r="K21" i="21" a="1"/>
  <c r="K21" i="21" s="1"/>
  <c r="J21" i="21" a="1"/>
  <c r="J21" i="21" s="1"/>
  <c r="I21" i="21" a="1"/>
  <c r="I21" i="21" s="1"/>
  <c r="H21" i="21" a="1"/>
  <c r="H21" i="21" s="1"/>
  <c r="G21" i="21" a="1"/>
  <c r="G21" i="21" s="1"/>
  <c r="F21" i="21" a="1"/>
  <c r="F21" i="21" s="1"/>
  <c r="E21" i="21" a="1"/>
  <c r="E21" i="21" s="1"/>
  <c r="D21" i="21" a="1"/>
  <c r="D21" i="21" s="1"/>
  <c r="C21" i="21" a="1"/>
  <c r="C21" i="21" s="1"/>
  <c r="B21" i="21" a="1"/>
  <c r="B21" i="21" s="1"/>
  <c r="AE20" i="21" a="1"/>
  <c r="AE20" i="21" s="1"/>
  <c r="AB20" i="21" a="1"/>
  <c r="AB20" i="21" s="1"/>
  <c r="AA20" i="21" a="1"/>
  <c r="AA20" i="21" s="1"/>
  <c r="Z20" i="21" a="1"/>
  <c r="Z20" i="21" s="1"/>
  <c r="Y20" i="21" a="1"/>
  <c r="Y20" i="21" s="1"/>
  <c r="X20" i="21"/>
  <c r="X20" i="21" a="1"/>
  <c r="W20" i="21" a="1"/>
  <c r="W20" i="21" s="1"/>
  <c r="V20" i="21" a="1"/>
  <c r="V20" i="21" s="1"/>
  <c r="U20" i="21" a="1"/>
  <c r="U20" i="21" s="1"/>
  <c r="T20" i="21" a="1"/>
  <c r="T20" i="21" s="1"/>
  <c r="S20" i="21" a="1"/>
  <c r="S20" i="21" s="1"/>
  <c r="R20" i="21" a="1"/>
  <c r="R20" i="21" s="1"/>
  <c r="Q20" i="21" a="1"/>
  <c r="Q20" i="21" s="1"/>
  <c r="P20" i="21" a="1"/>
  <c r="P20" i="21" s="1"/>
  <c r="O20" i="21" a="1"/>
  <c r="O20" i="21" s="1"/>
  <c r="N20" i="21" a="1"/>
  <c r="N20" i="21" s="1"/>
  <c r="M20" i="21" a="1"/>
  <c r="M20" i="21" s="1"/>
  <c r="L20" i="21" a="1"/>
  <c r="L20" i="21" s="1"/>
  <c r="K20" i="21" a="1"/>
  <c r="K20" i="21" s="1"/>
  <c r="J20" i="21" a="1"/>
  <c r="J20" i="21" s="1"/>
  <c r="I20" i="21" a="1"/>
  <c r="I20" i="21" s="1"/>
  <c r="H20" i="21" a="1"/>
  <c r="H20" i="21" s="1"/>
  <c r="G20" i="21" a="1"/>
  <c r="G20" i="21" s="1"/>
  <c r="F20" i="21" a="1"/>
  <c r="F20" i="21" s="1"/>
  <c r="E20" i="21" a="1"/>
  <c r="E20" i="21" s="1"/>
  <c r="D20" i="21" a="1"/>
  <c r="D20" i="21" s="1"/>
  <c r="C20" i="21" a="1"/>
  <c r="C20" i="21" s="1"/>
  <c r="B20" i="21" a="1"/>
  <c r="B20" i="21" s="1"/>
  <c r="AE19" i="21" a="1"/>
  <c r="AE19" i="21" s="1"/>
  <c r="AB19" i="21" a="1"/>
  <c r="AB19" i="21" s="1"/>
  <c r="AA19" i="21"/>
  <c r="AA19" i="21" a="1"/>
  <c r="Z19" i="21" a="1"/>
  <c r="Z19" i="21" s="1"/>
  <c r="Y19" i="21" a="1"/>
  <c r="Y19" i="21" s="1"/>
  <c r="X19" i="21" a="1"/>
  <c r="X19" i="21" s="1"/>
  <c r="W19" i="21" a="1"/>
  <c r="W19" i="21" s="1"/>
  <c r="V19" i="21" a="1"/>
  <c r="V19" i="21" s="1"/>
  <c r="U19" i="21" a="1"/>
  <c r="U19" i="21" s="1"/>
  <c r="T19" i="21" a="1"/>
  <c r="T19" i="21" s="1"/>
  <c r="S19" i="21" a="1"/>
  <c r="S19" i="21" s="1"/>
  <c r="R19" i="21" a="1"/>
  <c r="R19" i="21" s="1"/>
  <c r="Q19" i="21" a="1"/>
  <c r="Q19" i="21" s="1"/>
  <c r="P19" i="21" a="1"/>
  <c r="P19" i="21" s="1"/>
  <c r="O19" i="21" a="1"/>
  <c r="O19" i="21" s="1"/>
  <c r="N19" i="21" a="1"/>
  <c r="N19" i="21" s="1"/>
  <c r="M19" i="21" a="1"/>
  <c r="M19" i="21" s="1"/>
  <c r="L19" i="21" a="1"/>
  <c r="L19" i="21" s="1"/>
  <c r="K19" i="21" a="1"/>
  <c r="K19" i="21" s="1"/>
  <c r="J19" i="21" a="1"/>
  <c r="J19" i="21" s="1"/>
  <c r="I19" i="21" a="1"/>
  <c r="I19" i="21" s="1"/>
  <c r="H19" i="21" a="1"/>
  <c r="H19" i="21" s="1"/>
  <c r="G19" i="21"/>
  <c r="G19" i="21" a="1"/>
  <c r="F19" i="21" a="1"/>
  <c r="F19" i="21" s="1"/>
  <c r="E19" i="21" a="1"/>
  <c r="E19" i="21" s="1"/>
  <c r="D19" i="21" a="1"/>
  <c r="D19" i="21" s="1"/>
  <c r="C19" i="21" a="1"/>
  <c r="C19" i="21" s="1"/>
  <c r="B19" i="21" a="1"/>
  <c r="B19" i="21" s="1"/>
  <c r="AE18" i="21" a="1"/>
  <c r="AE18" i="21" s="1"/>
  <c r="AB18" i="21" a="1"/>
  <c r="AB18" i="21" s="1"/>
  <c r="AA18" i="21" a="1"/>
  <c r="AA18" i="21" s="1"/>
  <c r="Z18" i="21" a="1"/>
  <c r="Z18" i="21" s="1"/>
  <c r="Y18" i="21" a="1"/>
  <c r="Y18" i="21" s="1"/>
  <c r="X18" i="21" a="1"/>
  <c r="X18" i="21" s="1"/>
  <c r="W18" i="21" a="1"/>
  <c r="W18" i="21" s="1"/>
  <c r="V18" i="21" a="1"/>
  <c r="V18" i="21" s="1"/>
  <c r="U18" i="21" a="1"/>
  <c r="U18" i="21" s="1"/>
  <c r="T18" i="21" a="1"/>
  <c r="T18" i="21" s="1"/>
  <c r="S18" i="21" a="1"/>
  <c r="S18" i="21" s="1"/>
  <c r="R18" i="21" a="1"/>
  <c r="R18" i="21" s="1"/>
  <c r="Q18" i="21" a="1"/>
  <c r="Q18" i="21" s="1"/>
  <c r="P18" i="21" a="1"/>
  <c r="P18" i="21" s="1"/>
  <c r="O18" i="21" a="1"/>
  <c r="O18" i="21" s="1"/>
  <c r="N18" i="21" a="1"/>
  <c r="N18" i="21" s="1"/>
  <c r="M18" i="21" a="1"/>
  <c r="M18" i="21" s="1"/>
  <c r="L18" i="21" a="1"/>
  <c r="L18" i="21" s="1"/>
  <c r="K18" i="21" a="1"/>
  <c r="K18" i="21" s="1"/>
  <c r="J18" i="21" a="1"/>
  <c r="J18" i="21" s="1"/>
  <c r="I18" i="21" a="1"/>
  <c r="I18" i="21" s="1"/>
  <c r="H18" i="21" a="1"/>
  <c r="H18" i="21" s="1"/>
  <c r="G18" i="21" a="1"/>
  <c r="G18" i="21" s="1"/>
  <c r="F18" i="21" a="1"/>
  <c r="F18" i="21" s="1"/>
  <c r="E18" i="21" a="1"/>
  <c r="E18" i="21" s="1"/>
  <c r="D18" i="21" a="1"/>
  <c r="D18" i="21" s="1"/>
  <c r="C18" i="21" a="1"/>
  <c r="C18" i="21" s="1"/>
  <c r="B18" i="21" a="1"/>
  <c r="B18" i="21" s="1"/>
  <c r="AE17" i="21" a="1"/>
  <c r="AE17" i="21" s="1"/>
  <c r="AB17" i="21"/>
  <c r="AB17" i="21" a="1"/>
  <c r="AA17" i="21" a="1"/>
  <c r="AA17" i="21" s="1"/>
  <c r="Z17" i="21" a="1"/>
  <c r="Z17" i="21" s="1"/>
  <c r="Y17" i="21" a="1"/>
  <c r="Y17" i="21" s="1"/>
  <c r="X17" i="21" a="1"/>
  <c r="X17" i="21" s="1"/>
  <c r="W17" i="21" a="1"/>
  <c r="W17" i="21" s="1"/>
  <c r="V17" i="21" a="1"/>
  <c r="V17" i="21" s="1"/>
  <c r="U17" i="21" a="1"/>
  <c r="U17" i="21" s="1"/>
  <c r="T17" i="21" a="1"/>
  <c r="T17" i="21" s="1"/>
  <c r="S17" i="21" a="1"/>
  <c r="S17" i="21" s="1"/>
  <c r="R17" i="21" a="1"/>
  <c r="R17" i="21" s="1"/>
  <c r="Q17" i="21" a="1"/>
  <c r="Q17" i="21" s="1"/>
  <c r="P17" i="21" a="1"/>
  <c r="P17" i="21" s="1"/>
  <c r="O17" i="21" a="1"/>
  <c r="O17" i="21" s="1"/>
  <c r="N17" i="21" a="1"/>
  <c r="N17" i="21" s="1"/>
  <c r="M17" i="21" a="1"/>
  <c r="M17" i="21" s="1"/>
  <c r="L17" i="21" a="1"/>
  <c r="L17" i="21" s="1"/>
  <c r="K17" i="21" a="1"/>
  <c r="K17" i="21" s="1"/>
  <c r="J17" i="21" a="1"/>
  <c r="J17" i="21" s="1"/>
  <c r="I17" i="21" a="1"/>
  <c r="I17" i="21" s="1"/>
  <c r="H17" i="21" a="1"/>
  <c r="H17" i="21" s="1"/>
  <c r="G17" i="21" a="1"/>
  <c r="G17" i="21" s="1"/>
  <c r="F17" i="21"/>
  <c r="F17" i="21" a="1"/>
  <c r="E17" i="21" a="1"/>
  <c r="E17" i="21" s="1"/>
  <c r="D17" i="21" a="1"/>
  <c r="D17" i="21" s="1"/>
  <c r="C17" i="21" a="1"/>
  <c r="C17" i="21" s="1"/>
  <c r="B17" i="21" a="1"/>
  <c r="B17" i="21" s="1"/>
  <c r="AE16" i="21" a="1"/>
  <c r="AE16" i="21" s="1"/>
  <c r="AB16" i="21" a="1"/>
  <c r="AB16" i="21" s="1"/>
  <c r="AA16" i="21" a="1"/>
  <c r="AA16" i="21" s="1"/>
  <c r="Z16" i="21" a="1"/>
  <c r="Z16" i="21" s="1"/>
  <c r="Y16" i="21" a="1"/>
  <c r="Y16" i="21" s="1"/>
  <c r="X16" i="21" a="1"/>
  <c r="X16" i="21" s="1"/>
  <c r="W16" i="21" a="1"/>
  <c r="W16" i="21" s="1"/>
  <c r="V16" i="21" a="1"/>
  <c r="V16" i="21" s="1"/>
  <c r="U16" i="21" a="1"/>
  <c r="U16" i="21" s="1"/>
  <c r="T16" i="21" a="1"/>
  <c r="T16" i="21" s="1"/>
  <c r="S16" i="21" a="1"/>
  <c r="S16" i="21" s="1"/>
  <c r="R16" i="21" a="1"/>
  <c r="R16" i="21" s="1"/>
  <c r="Q16" i="21" a="1"/>
  <c r="Q16" i="21" s="1"/>
  <c r="P16" i="21" a="1"/>
  <c r="P16" i="21" s="1"/>
  <c r="O16" i="21" a="1"/>
  <c r="O16" i="21" s="1"/>
  <c r="N16" i="21" a="1"/>
  <c r="N16" i="21" s="1"/>
  <c r="M16" i="21"/>
  <c r="AC16" i="21" s="1" a="1"/>
  <c r="AC16" i="21" s="1"/>
  <c r="M16" i="21" a="1"/>
  <c r="L16" i="21"/>
  <c r="L16" i="21" a="1"/>
  <c r="K16" i="21" a="1"/>
  <c r="K16" i="21" s="1"/>
  <c r="J16" i="21" a="1"/>
  <c r="J16" i="21" s="1"/>
  <c r="I16" i="21" a="1"/>
  <c r="I16" i="21" s="1"/>
  <c r="H16" i="21" a="1"/>
  <c r="H16" i="21" s="1"/>
  <c r="G16" i="21" a="1"/>
  <c r="G16" i="21" s="1"/>
  <c r="F16" i="21" a="1"/>
  <c r="F16" i="21" s="1"/>
  <c r="E16" i="21" a="1"/>
  <c r="E16" i="21" s="1"/>
  <c r="D16" i="21" a="1"/>
  <c r="D16" i="21" s="1"/>
  <c r="C16" i="21" a="1"/>
  <c r="C16" i="21" s="1"/>
  <c r="B16" i="21" a="1"/>
  <c r="B16" i="21" s="1"/>
  <c r="AE15" i="21" a="1"/>
  <c r="AE15" i="21" s="1"/>
  <c r="AB15" i="21"/>
  <c r="AB15" i="21" a="1"/>
  <c r="AA15" i="21" a="1"/>
  <c r="AA15" i="21" s="1"/>
  <c r="Z15" i="21" a="1"/>
  <c r="Z15" i="21" s="1"/>
  <c r="Y15" i="21"/>
  <c r="Y15" i="21" a="1"/>
  <c r="X15" i="21" a="1"/>
  <c r="X15" i="21" s="1"/>
  <c r="W15" i="21" a="1"/>
  <c r="W15" i="21" s="1"/>
  <c r="V15" i="21" a="1"/>
  <c r="V15" i="21" s="1"/>
  <c r="U15" i="21" a="1"/>
  <c r="U15" i="21" s="1"/>
  <c r="T15" i="21" a="1"/>
  <c r="T15" i="21" s="1"/>
  <c r="S15" i="21" a="1"/>
  <c r="S15" i="21" s="1"/>
  <c r="R15" i="21" a="1"/>
  <c r="R15" i="21" s="1"/>
  <c r="Q15" i="21" a="1"/>
  <c r="Q15" i="21" s="1"/>
  <c r="P15" i="21" a="1"/>
  <c r="P15" i="21" s="1"/>
  <c r="O15" i="21"/>
  <c r="O15" i="21" a="1"/>
  <c r="N15" i="21" a="1"/>
  <c r="N15" i="21" s="1"/>
  <c r="M15" i="21" a="1"/>
  <c r="M15" i="21" s="1"/>
  <c r="L15" i="21" a="1"/>
  <c r="L15" i="21" s="1"/>
  <c r="K15" i="21" a="1"/>
  <c r="K15" i="21" s="1"/>
  <c r="J15" i="21" a="1"/>
  <c r="J15" i="21" s="1"/>
  <c r="I15" i="21" a="1"/>
  <c r="I15" i="21" s="1"/>
  <c r="H15" i="21" a="1"/>
  <c r="H15" i="21" s="1"/>
  <c r="G15" i="21" a="1"/>
  <c r="G15" i="21" s="1"/>
  <c r="F15" i="21" a="1"/>
  <c r="F15" i="21" s="1"/>
  <c r="E15" i="21" a="1"/>
  <c r="E15" i="21" s="1"/>
  <c r="D15" i="21" a="1"/>
  <c r="D15" i="21" s="1"/>
  <c r="C15" i="21"/>
  <c r="C15" i="21" a="1"/>
  <c r="B15" i="21" a="1"/>
  <c r="B15" i="21" s="1"/>
  <c r="AE14" i="21" a="1"/>
  <c r="AE14" i="21" s="1"/>
  <c r="AB14" i="21" a="1"/>
  <c r="AB14" i="21" s="1"/>
  <c r="AA14" i="21" a="1"/>
  <c r="AA14" i="21" s="1"/>
  <c r="Z14" i="21" a="1"/>
  <c r="Z14" i="21" s="1"/>
  <c r="Y14" i="21" a="1"/>
  <c r="Y14" i="21" s="1"/>
  <c r="X14" i="21" a="1"/>
  <c r="X14" i="21" s="1"/>
  <c r="W14" i="21" a="1"/>
  <c r="W14" i="21" s="1"/>
  <c r="V14" i="21" a="1"/>
  <c r="V14" i="21" s="1"/>
  <c r="U14" i="21"/>
  <c r="U14" i="21" a="1"/>
  <c r="T14" i="21" a="1"/>
  <c r="T14" i="21" s="1"/>
  <c r="S14" i="21" a="1"/>
  <c r="S14" i="21" s="1"/>
  <c r="R14" i="21" a="1"/>
  <c r="R14" i="21" s="1"/>
  <c r="Q14" i="21" a="1"/>
  <c r="Q14" i="21" s="1"/>
  <c r="P14" i="21" a="1"/>
  <c r="P14" i="21" s="1"/>
  <c r="O14" i="21" a="1"/>
  <c r="O14" i="21" s="1"/>
  <c r="N14" i="21" a="1"/>
  <c r="N14" i="21" s="1"/>
  <c r="M14" i="21" a="1"/>
  <c r="M14" i="21" s="1"/>
  <c r="AD14" i="21" s="1" a="1"/>
  <c r="AD14" i="21" s="1"/>
  <c r="L14" i="21" a="1"/>
  <c r="L14" i="21" s="1"/>
  <c r="K14" i="21" a="1"/>
  <c r="K14" i="21" s="1"/>
  <c r="J14" i="21" a="1"/>
  <c r="J14" i="21" s="1"/>
  <c r="I14" i="21" a="1"/>
  <c r="I14" i="21" s="1"/>
  <c r="H14" i="21" a="1"/>
  <c r="H14" i="21" s="1"/>
  <c r="G14" i="21" a="1"/>
  <c r="G14" i="21" s="1"/>
  <c r="F14" i="21" a="1"/>
  <c r="F14" i="21" s="1"/>
  <c r="E14" i="21" a="1"/>
  <c r="E14" i="21" s="1"/>
  <c r="D14" i="21" a="1"/>
  <c r="D14" i="21" s="1"/>
  <c r="C14" i="21"/>
  <c r="C14" i="21" a="1"/>
  <c r="B14" i="21" a="1"/>
  <c r="B14" i="21" s="1"/>
  <c r="AE13" i="21" a="1"/>
  <c r="AE13" i="21" s="1"/>
  <c r="AB13" i="21" a="1"/>
  <c r="AB13" i="21" s="1"/>
  <c r="AA13" i="21" a="1"/>
  <c r="AA13" i="21" s="1"/>
  <c r="Z13" i="21" a="1"/>
  <c r="Z13" i="21" s="1"/>
  <c r="Y13" i="21" a="1"/>
  <c r="Y13" i="21" s="1"/>
  <c r="X13" i="21" a="1"/>
  <c r="X13" i="21" s="1"/>
  <c r="W13" i="21" a="1"/>
  <c r="W13" i="21" s="1"/>
  <c r="V13" i="21" a="1"/>
  <c r="V13" i="21" s="1"/>
  <c r="U13" i="21" a="1"/>
  <c r="U13" i="21" s="1"/>
  <c r="T13" i="21" a="1"/>
  <c r="T13" i="21" s="1"/>
  <c r="S13" i="21" a="1"/>
  <c r="S13" i="21" s="1"/>
  <c r="R13" i="21" a="1"/>
  <c r="R13" i="21" s="1"/>
  <c r="Q13" i="21" a="1"/>
  <c r="Q13" i="21" s="1"/>
  <c r="P13" i="21" a="1"/>
  <c r="P13" i="21" s="1"/>
  <c r="O13" i="21" a="1"/>
  <c r="O13" i="21" s="1"/>
  <c r="N13" i="21" a="1"/>
  <c r="N13" i="21" s="1"/>
  <c r="M13" i="21" a="1"/>
  <c r="M13" i="21" s="1"/>
  <c r="AD13" i="21" s="1" a="1"/>
  <c r="AD13" i="21" s="1"/>
  <c r="L13" i="21" a="1"/>
  <c r="L13" i="21" s="1"/>
  <c r="K13" i="21" a="1"/>
  <c r="K13" i="21" s="1"/>
  <c r="J13" i="21" a="1"/>
  <c r="J13" i="21" s="1"/>
  <c r="I13" i="21" a="1"/>
  <c r="I13" i="21" s="1"/>
  <c r="H13" i="21" a="1"/>
  <c r="H13" i="21" s="1"/>
  <c r="G13" i="21" a="1"/>
  <c r="G13" i="21" s="1"/>
  <c r="F13" i="21" a="1"/>
  <c r="F13" i="21" s="1"/>
  <c r="E13" i="21" a="1"/>
  <c r="E13" i="21" s="1"/>
  <c r="D13" i="21" a="1"/>
  <c r="D13" i="21" s="1"/>
  <c r="C13" i="21" a="1"/>
  <c r="C13" i="21" s="1"/>
  <c r="B13" i="21" a="1"/>
  <c r="B13" i="21" s="1"/>
  <c r="AE12" i="21" a="1"/>
  <c r="AE12" i="21" s="1"/>
  <c r="AB12" i="21" a="1"/>
  <c r="AB12" i="21" s="1"/>
  <c r="AA12" i="21" a="1"/>
  <c r="AA12" i="21" s="1"/>
  <c r="Z12" i="21" a="1"/>
  <c r="Z12" i="21" s="1"/>
  <c r="Y12" i="21" a="1"/>
  <c r="Y12" i="21" s="1"/>
  <c r="X12" i="21" a="1"/>
  <c r="X12" i="21" s="1"/>
  <c r="W12" i="21" a="1"/>
  <c r="W12" i="21" s="1"/>
  <c r="V12" i="21" a="1"/>
  <c r="V12" i="21" s="1"/>
  <c r="U12" i="21" a="1"/>
  <c r="U12" i="21" s="1"/>
  <c r="T12" i="21" a="1"/>
  <c r="T12" i="21" s="1"/>
  <c r="S12" i="21" a="1"/>
  <c r="S12" i="21" s="1"/>
  <c r="R12" i="21" a="1"/>
  <c r="R12" i="21" s="1"/>
  <c r="Q12" i="21" a="1"/>
  <c r="Q12" i="21" s="1"/>
  <c r="P12" i="21" a="1"/>
  <c r="P12" i="21" s="1"/>
  <c r="O12" i="21" a="1"/>
  <c r="O12" i="21" s="1"/>
  <c r="N12" i="21" a="1"/>
  <c r="N12" i="21" s="1"/>
  <c r="M12" i="21" a="1"/>
  <c r="M12" i="21" s="1"/>
  <c r="AD12" i="21" s="1" a="1"/>
  <c r="AD12" i="21" s="1"/>
  <c r="L12" i="21" a="1"/>
  <c r="L12" i="21" s="1"/>
  <c r="K12" i="21" a="1"/>
  <c r="K12" i="21" s="1"/>
  <c r="J12" i="21" a="1"/>
  <c r="J12" i="21" s="1"/>
  <c r="I12" i="21" a="1"/>
  <c r="I12" i="21" s="1"/>
  <c r="H12" i="21" a="1"/>
  <c r="H12" i="21" s="1"/>
  <c r="G12" i="21" a="1"/>
  <c r="G12" i="21" s="1"/>
  <c r="F12" i="21" a="1"/>
  <c r="F12" i="21" s="1"/>
  <c r="E12" i="21" a="1"/>
  <c r="E12" i="21" s="1"/>
  <c r="D12" i="21" a="1"/>
  <c r="D12" i="21" s="1"/>
  <c r="C12" i="21" a="1"/>
  <c r="C12" i="21" s="1"/>
  <c r="B12" i="21" a="1"/>
  <c r="B12" i="21" s="1"/>
  <c r="AE11" i="21" a="1"/>
  <c r="AE11" i="21" s="1"/>
  <c r="AB11" i="21" a="1"/>
  <c r="AB11" i="21" s="1"/>
  <c r="AA11" i="21" a="1"/>
  <c r="AA11" i="21" s="1"/>
  <c r="Z11" i="21" a="1"/>
  <c r="Z11" i="21" s="1"/>
  <c r="Y11" i="21" a="1"/>
  <c r="Y11" i="21" s="1"/>
  <c r="X11" i="21" a="1"/>
  <c r="X11" i="21" s="1"/>
  <c r="W11" i="21" a="1"/>
  <c r="W11" i="21" s="1"/>
  <c r="V11" i="21" a="1"/>
  <c r="V11" i="21" s="1"/>
  <c r="U11" i="21" a="1"/>
  <c r="U11" i="21" s="1"/>
  <c r="T11" i="21" a="1"/>
  <c r="T11" i="21" s="1"/>
  <c r="S11" i="21" a="1"/>
  <c r="S11" i="21" s="1"/>
  <c r="R11" i="21"/>
  <c r="R11" i="21" a="1"/>
  <c r="Q11" i="21" a="1"/>
  <c r="Q11" i="21" s="1"/>
  <c r="P11" i="21" a="1"/>
  <c r="P11" i="21" s="1"/>
  <c r="O11" i="21" a="1"/>
  <c r="O11" i="21" s="1"/>
  <c r="N11" i="21" a="1"/>
  <c r="N11" i="21" s="1"/>
  <c r="M11" i="21" a="1"/>
  <c r="M11" i="21" s="1"/>
  <c r="L11" i="21" a="1"/>
  <c r="L11" i="21" s="1"/>
  <c r="K11" i="21" a="1"/>
  <c r="K11" i="21" s="1"/>
  <c r="J11" i="21" a="1"/>
  <c r="J11" i="21" s="1"/>
  <c r="I11" i="21" a="1"/>
  <c r="I11" i="21" s="1"/>
  <c r="H11" i="21" a="1"/>
  <c r="H11" i="21" s="1"/>
  <c r="G11" i="21" a="1"/>
  <c r="G11" i="21" s="1"/>
  <c r="F11" i="21" a="1"/>
  <c r="F11" i="21" s="1"/>
  <c r="E11" i="21" a="1"/>
  <c r="E11" i="21" s="1"/>
  <c r="D11" i="21" a="1"/>
  <c r="D11" i="21" s="1"/>
  <c r="C11" i="21" a="1"/>
  <c r="C11" i="21" s="1"/>
  <c r="B11" i="21" a="1"/>
  <c r="B11" i="21" s="1"/>
  <c r="AE10" i="21" a="1"/>
  <c r="AE10" i="21" s="1"/>
  <c r="AB10" i="21" a="1"/>
  <c r="AB10" i="21" s="1"/>
  <c r="AA10" i="21" a="1"/>
  <c r="AA10" i="21" s="1"/>
  <c r="Z10" i="21" a="1"/>
  <c r="Z10" i="21" s="1"/>
  <c r="Y10" i="21" a="1"/>
  <c r="Y10" i="21" s="1"/>
  <c r="X10" i="21" a="1"/>
  <c r="X10" i="21" s="1"/>
  <c r="W10" i="21" a="1"/>
  <c r="W10" i="21" s="1"/>
  <c r="V10" i="21" a="1"/>
  <c r="V10" i="21" s="1"/>
  <c r="U10" i="21" a="1"/>
  <c r="U10" i="21" s="1"/>
  <c r="T10" i="21" a="1"/>
  <c r="T10" i="21" s="1"/>
  <c r="S10" i="21" a="1"/>
  <c r="S10" i="21" s="1"/>
  <c r="R10" i="21" a="1"/>
  <c r="R10" i="21" s="1"/>
  <c r="Q10" i="21" a="1"/>
  <c r="Q10" i="21" s="1"/>
  <c r="P10" i="21" a="1"/>
  <c r="P10" i="21" s="1"/>
  <c r="O10" i="21" a="1"/>
  <c r="O10" i="21" s="1"/>
  <c r="N10" i="21" a="1"/>
  <c r="N10" i="21" s="1"/>
  <c r="M10" i="21" a="1"/>
  <c r="M10" i="21" s="1"/>
  <c r="L10" i="21" a="1"/>
  <c r="L10" i="21" s="1"/>
  <c r="K10" i="21" a="1"/>
  <c r="K10" i="21" s="1"/>
  <c r="J10" i="21" a="1"/>
  <c r="J10" i="21" s="1"/>
  <c r="I10" i="21" a="1"/>
  <c r="I10" i="21" s="1"/>
  <c r="H10" i="21" a="1"/>
  <c r="H10" i="21" s="1"/>
  <c r="G10" i="21" a="1"/>
  <c r="G10" i="21" s="1"/>
  <c r="F10" i="21" a="1"/>
  <c r="F10" i="21" s="1"/>
  <c r="E10" i="21" a="1"/>
  <c r="E10" i="21" s="1"/>
  <c r="D10" i="21" a="1"/>
  <c r="D10" i="21" s="1"/>
  <c r="C10" i="21" a="1"/>
  <c r="C10" i="21" s="1"/>
  <c r="B10" i="21" a="1"/>
  <c r="B10" i="21" s="1"/>
  <c r="AE9" i="21" a="1"/>
  <c r="AE9" i="21" s="1"/>
  <c r="AB9" i="21" a="1"/>
  <c r="AB9" i="21" s="1"/>
  <c r="AA9" i="21" a="1"/>
  <c r="AA9" i="21" s="1"/>
  <c r="Z9" i="21" a="1"/>
  <c r="Z9" i="21" s="1"/>
  <c r="Y9" i="21" a="1"/>
  <c r="Y9" i="21" s="1"/>
  <c r="X9" i="21" a="1"/>
  <c r="X9" i="21" s="1"/>
  <c r="W9" i="21" a="1"/>
  <c r="W9" i="21" s="1"/>
  <c r="V9" i="21" a="1"/>
  <c r="V9" i="21" s="1"/>
  <c r="U9" i="21" a="1"/>
  <c r="U9" i="21" s="1"/>
  <c r="T9" i="21" a="1"/>
  <c r="T9" i="21" s="1"/>
  <c r="S9" i="21" a="1"/>
  <c r="S9" i="21" s="1"/>
  <c r="R9" i="21" a="1"/>
  <c r="R9" i="21" s="1"/>
  <c r="Q9" i="21" a="1"/>
  <c r="Q9" i="21" s="1"/>
  <c r="P9" i="21" a="1"/>
  <c r="P9" i="21" s="1"/>
  <c r="O9" i="21" a="1"/>
  <c r="O9" i="21" s="1"/>
  <c r="N9" i="21" a="1"/>
  <c r="N9" i="21" s="1"/>
  <c r="M9" i="21" a="1"/>
  <c r="M9" i="21" s="1"/>
  <c r="L9" i="21" a="1"/>
  <c r="L9" i="21" s="1"/>
  <c r="K9" i="21" a="1"/>
  <c r="K9" i="21" s="1"/>
  <c r="J9" i="21" a="1"/>
  <c r="J9" i="21" s="1"/>
  <c r="I9" i="21" a="1"/>
  <c r="I9" i="21" s="1"/>
  <c r="H9" i="21" a="1"/>
  <c r="H9" i="21" s="1"/>
  <c r="G9" i="21" a="1"/>
  <c r="G9" i="21" s="1"/>
  <c r="F9" i="21" a="1"/>
  <c r="F9" i="21" s="1"/>
  <c r="E9" i="21" a="1"/>
  <c r="E9" i="21" s="1"/>
  <c r="D9" i="21" a="1"/>
  <c r="D9" i="21" s="1"/>
  <c r="C9" i="21" a="1"/>
  <c r="C9" i="21" s="1"/>
  <c r="B9" i="21" a="1"/>
  <c r="B9" i="21" s="1"/>
  <c r="AE8" i="21" a="1"/>
  <c r="AE8" i="21" s="1"/>
  <c r="AB8" i="21" a="1"/>
  <c r="AB8" i="21" s="1"/>
  <c r="AA8" i="21" a="1"/>
  <c r="AA8" i="21" s="1"/>
  <c r="Z8" i="21" a="1"/>
  <c r="Z8" i="21" s="1"/>
  <c r="Y8" i="21" a="1"/>
  <c r="Y8" i="21" s="1"/>
  <c r="X8" i="21" a="1"/>
  <c r="X8" i="21" s="1"/>
  <c r="W8" i="21" a="1"/>
  <c r="W8" i="21" s="1"/>
  <c r="V8" i="21" a="1"/>
  <c r="V8" i="21" s="1"/>
  <c r="U8" i="21" a="1"/>
  <c r="U8" i="21" s="1"/>
  <c r="T8" i="21" a="1"/>
  <c r="T8" i="21" s="1"/>
  <c r="S8" i="21" a="1"/>
  <c r="S8" i="21" s="1"/>
  <c r="R8" i="21" a="1"/>
  <c r="R8" i="21" s="1"/>
  <c r="Q8" i="21" a="1"/>
  <c r="Q8" i="21" s="1"/>
  <c r="P8" i="21" a="1"/>
  <c r="P8" i="21" s="1"/>
  <c r="O8" i="21" a="1"/>
  <c r="O8" i="21" s="1"/>
  <c r="N8" i="21" a="1"/>
  <c r="N8" i="21" s="1"/>
  <c r="M8" i="21" a="1"/>
  <c r="M8" i="21" s="1"/>
  <c r="L8" i="21" a="1"/>
  <c r="L8" i="21" s="1"/>
  <c r="K8" i="21" a="1"/>
  <c r="K8" i="21" s="1"/>
  <c r="J8" i="21" a="1"/>
  <c r="J8" i="21" s="1"/>
  <c r="I8" i="21" a="1"/>
  <c r="I8" i="21" s="1"/>
  <c r="H8" i="21" a="1"/>
  <c r="H8" i="21" s="1"/>
  <c r="G8" i="21" a="1"/>
  <c r="G8" i="21" s="1"/>
  <c r="F8" i="21" a="1"/>
  <c r="F8" i="21" s="1"/>
  <c r="E8" i="21" a="1"/>
  <c r="E8" i="21" s="1"/>
  <c r="D8" i="21" a="1"/>
  <c r="D8" i="21" s="1"/>
  <c r="C8" i="21" a="1"/>
  <c r="C8" i="21" s="1"/>
  <c r="B8" i="21" a="1"/>
  <c r="B8" i="21" s="1"/>
  <c r="AE7" i="21" a="1"/>
  <c r="AE7" i="21" s="1"/>
  <c r="AB7" i="21" a="1"/>
  <c r="AB7" i="21" s="1"/>
  <c r="AA7" i="21" a="1"/>
  <c r="AA7" i="21" s="1"/>
  <c r="Z7" i="21" a="1"/>
  <c r="Z7" i="21" s="1"/>
  <c r="Y7" i="21" a="1"/>
  <c r="Y7" i="21" s="1"/>
  <c r="X7" i="21" a="1"/>
  <c r="X7" i="21" s="1"/>
  <c r="W7" i="21" a="1"/>
  <c r="W7" i="21" s="1"/>
  <c r="V7" i="21" a="1"/>
  <c r="V7" i="21" s="1"/>
  <c r="U7" i="21" a="1"/>
  <c r="U7" i="21" s="1"/>
  <c r="T7" i="21" a="1"/>
  <c r="T7" i="21" s="1"/>
  <c r="S7" i="21" a="1"/>
  <c r="S7" i="21" s="1"/>
  <c r="R7" i="21" a="1"/>
  <c r="R7" i="21" s="1"/>
  <c r="Q7" i="21" a="1"/>
  <c r="Q7" i="21" s="1"/>
  <c r="P7" i="21" a="1"/>
  <c r="P7" i="21" s="1"/>
  <c r="O7" i="21" a="1"/>
  <c r="O7" i="21" s="1"/>
  <c r="N7" i="21" a="1"/>
  <c r="N7" i="21" s="1"/>
  <c r="M7" i="21" a="1"/>
  <c r="M7" i="21" s="1"/>
  <c r="L7" i="21" a="1"/>
  <c r="L7" i="21" s="1"/>
  <c r="K7" i="21" a="1"/>
  <c r="K7" i="21" s="1"/>
  <c r="J7" i="21" a="1"/>
  <c r="J7" i="21" s="1"/>
  <c r="I7" i="21" a="1"/>
  <c r="I7" i="21" s="1"/>
  <c r="H7" i="21" a="1"/>
  <c r="H7" i="21" s="1"/>
  <c r="G7" i="21" a="1"/>
  <c r="G7" i="21" s="1"/>
  <c r="F7" i="21" a="1"/>
  <c r="F7" i="21" s="1"/>
  <c r="E7" i="21" a="1"/>
  <c r="E7" i="21" s="1"/>
  <c r="D7" i="21" a="1"/>
  <c r="D7" i="21" s="1"/>
  <c r="C7" i="21" a="1"/>
  <c r="C7" i="21" s="1"/>
  <c r="B7" i="21" a="1"/>
  <c r="B7" i="21" s="1"/>
  <c r="AE6" i="21" a="1"/>
  <c r="AE6" i="21" s="1"/>
  <c r="AB6" i="21" a="1"/>
  <c r="AB6" i="21" s="1"/>
  <c r="AA6" i="21" a="1"/>
  <c r="AA6" i="21" s="1"/>
  <c r="Z6" i="21" a="1"/>
  <c r="Z6" i="21" s="1"/>
  <c r="Y6" i="21" a="1"/>
  <c r="Y6" i="21" s="1"/>
  <c r="X6" i="21" a="1"/>
  <c r="X6" i="21" s="1"/>
  <c r="W6" i="21" a="1"/>
  <c r="W6" i="21" s="1"/>
  <c r="V6" i="21" a="1"/>
  <c r="V6" i="21" s="1"/>
  <c r="U6" i="21" a="1"/>
  <c r="U6" i="21" s="1"/>
  <c r="T6" i="21" a="1"/>
  <c r="T6" i="21" s="1"/>
  <c r="S6" i="21" a="1"/>
  <c r="S6" i="21" s="1"/>
  <c r="R6" i="21" a="1"/>
  <c r="R6" i="21" s="1"/>
  <c r="Q6" i="21" a="1"/>
  <c r="Q6" i="21" s="1"/>
  <c r="P6" i="21" a="1"/>
  <c r="P6" i="21" s="1"/>
  <c r="O6" i="21" a="1"/>
  <c r="O6" i="21" s="1"/>
  <c r="N6" i="21" a="1"/>
  <c r="N6" i="21" s="1"/>
  <c r="M6" i="21" a="1"/>
  <c r="M6" i="21" s="1"/>
  <c r="L6" i="21" a="1"/>
  <c r="L6" i="21" s="1"/>
  <c r="K6" i="21" a="1"/>
  <c r="K6" i="21" s="1"/>
  <c r="J6" i="21" a="1"/>
  <c r="J6" i="21" s="1"/>
  <c r="I6" i="21" a="1"/>
  <c r="I6" i="21" s="1"/>
  <c r="H6" i="21" a="1"/>
  <c r="H6" i="21" s="1"/>
  <c r="G6" i="21" a="1"/>
  <c r="G6" i="21" s="1"/>
  <c r="F6" i="21" a="1"/>
  <c r="F6" i="21" s="1"/>
  <c r="E6" i="21" a="1"/>
  <c r="E6" i="21" s="1"/>
  <c r="D6" i="21" a="1"/>
  <c r="D6" i="21" s="1"/>
  <c r="C6" i="21" a="1"/>
  <c r="C6" i="21" s="1"/>
  <c r="B6" i="21" a="1"/>
  <c r="B6" i="21" s="1"/>
  <c r="AE5" i="21" a="1"/>
  <c r="AE5" i="21" s="1"/>
  <c r="AB5" i="21" a="1"/>
  <c r="AB5" i="21" s="1"/>
  <c r="AA5" i="21" a="1"/>
  <c r="AA5" i="21" s="1"/>
  <c r="Z5" i="21" a="1"/>
  <c r="Z5" i="21" s="1"/>
  <c r="Y5" i="21" a="1"/>
  <c r="Y5" i="21" s="1"/>
  <c r="X5" i="21" a="1"/>
  <c r="X5" i="21" s="1"/>
  <c r="W5" i="21" a="1"/>
  <c r="W5" i="21" s="1"/>
  <c r="V5" i="21" a="1"/>
  <c r="V5" i="21" s="1"/>
  <c r="U5" i="21" a="1"/>
  <c r="U5" i="21" s="1"/>
  <c r="T5" i="21" a="1"/>
  <c r="T5" i="21" s="1"/>
  <c r="S5" i="21" a="1"/>
  <c r="S5" i="21" s="1"/>
  <c r="R5" i="21" a="1"/>
  <c r="R5" i="21" s="1"/>
  <c r="Q5" i="21" a="1"/>
  <c r="Q5" i="21" s="1"/>
  <c r="P5" i="21" a="1"/>
  <c r="P5" i="21" s="1"/>
  <c r="O5" i="21" a="1"/>
  <c r="O5" i="21" s="1"/>
  <c r="N5" i="21" a="1"/>
  <c r="N5" i="21" s="1"/>
  <c r="M5" i="21" a="1"/>
  <c r="M5" i="21" s="1"/>
  <c r="L5" i="21" a="1"/>
  <c r="L5" i="21" s="1"/>
  <c r="K5" i="21" a="1"/>
  <c r="K5" i="21" s="1"/>
  <c r="J5" i="21" a="1"/>
  <c r="J5" i="21" s="1"/>
  <c r="I5" i="21" a="1"/>
  <c r="I5" i="21" s="1"/>
  <c r="H5" i="21" a="1"/>
  <c r="H5" i="21" s="1"/>
  <c r="G5" i="21" a="1"/>
  <c r="G5" i="21" s="1"/>
  <c r="F5" i="21" a="1"/>
  <c r="F5" i="21" s="1"/>
  <c r="E5" i="21" a="1"/>
  <c r="E5" i="21" s="1"/>
  <c r="D5" i="21" a="1"/>
  <c r="D5" i="21" s="1"/>
  <c r="C5" i="21" a="1"/>
  <c r="C5" i="21" s="1"/>
  <c r="B5" i="21" a="1"/>
  <c r="B5" i="21" s="1"/>
  <c r="AE4" i="21" a="1"/>
  <c r="AE4" i="21" s="1"/>
  <c r="AB4" i="21" a="1"/>
  <c r="AB4" i="21" s="1"/>
  <c r="AA4" i="21" a="1"/>
  <c r="AA4" i="21" s="1"/>
  <c r="Z4" i="21" a="1"/>
  <c r="Z4" i="21" s="1"/>
  <c r="Y4" i="21" a="1"/>
  <c r="Y4" i="21" s="1"/>
  <c r="X4" i="21" a="1"/>
  <c r="X4" i="21" s="1"/>
  <c r="W4" i="21" a="1"/>
  <c r="W4" i="21" s="1"/>
  <c r="V4" i="21" a="1"/>
  <c r="V4" i="21" s="1"/>
  <c r="U4" i="21" a="1"/>
  <c r="U4" i="21" s="1"/>
  <c r="T4" i="21" a="1"/>
  <c r="T4" i="21" s="1"/>
  <c r="S4" i="21" a="1"/>
  <c r="S4" i="21" s="1"/>
  <c r="R4" i="21" a="1"/>
  <c r="R4" i="21" s="1"/>
  <c r="Q4" i="21" a="1"/>
  <c r="Q4" i="21" s="1"/>
  <c r="P4" i="21" a="1"/>
  <c r="P4" i="21" s="1"/>
  <c r="O4" i="21" a="1"/>
  <c r="O4" i="21" s="1"/>
  <c r="N4" i="21" a="1"/>
  <c r="N4" i="21" s="1"/>
  <c r="M4" i="21" a="1"/>
  <c r="M4" i="21" s="1"/>
  <c r="AC4" i="21" s="1" a="1"/>
  <c r="AC4" i="21" s="1"/>
  <c r="L4" i="21" a="1"/>
  <c r="L4" i="21" s="1"/>
  <c r="K4" i="21" a="1"/>
  <c r="K4" i="21" s="1"/>
  <c r="J4" i="21" a="1"/>
  <c r="J4" i="21" s="1"/>
  <c r="I4" i="21" a="1"/>
  <c r="I4" i="21" s="1"/>
  <c r="H4" i="21" a="1"/>
  <c r="H4" i="21" s="1"/>
  <c r="G4" i="21" a="1"/>
  <c r="G4" i="21" s="1"/>
  <c r="F4" i="21" a="1"/>
  <c r="F4" i="21" s="1"/>
  <c r="E4" i="21" a="1"/>
  <c r="E4" i="21" s="1"/>
  <c r="D4" i="21" a="1"/>
  <c r="D4" i="21" s="1"/>
  <c r="C4" i="21" a="1"/>
  <c r="C4" i="21" s="1"/>
  <c r="B4" i="21" a="1"/>
  <c r="B4" i="21" s="1"/>
  <c r="AE3" i="21" a="1"/>
  <c r="AE3" i="21" s="1"/>
  <c r="AB3" i="21" a="1"/>
  <c r="AB3" i="21" s="1"/>
  <c r="AA3" i="21" a="1"/>
  <c r="AA3" i="21" s="1"/>
  <c r="Z3" i="21" a="1"/>
  <c r="Z3" i="21" s="1"/>
  <c r="Y3" i="21" a="1"/>
  <c r="Y3" i="21" s="1"/>
  <c r="X3" i="21" a="1"/>
  <c r="X3" i="21" s="1"/>
  <c r="W3" i="21" a="1"/>
  <c r="W3" i="21" s="1"/>
  <c r="V3" i="21" a="1"/>
  <c r="V3" i="21" s="1"/>
  <c r="U3" i="21" a="1"/>
  <c r="U3" i="21" s="1"/>
  <c r="T3" i="21" a="1"/>
  <c r="T3" i="21" s="1"/>
  <c r="S3" i="21" a="1"/>
  <c r="S3" i="21" s="1"/>
  <c r="R3" i="21" a="1"/>
  <c r="R3" i="21" s="1"/>
  <c r="Q3" i="21" a="1"/>
  <c r="Q3" i="21" s="1"/>
  <c r="P3" i="21" a="1"/>
  <c r="P3" i="21" s="1"/>
  <c r="O3" i="21" a="1"/>
  <c r="O3" i="21" s="1"/>
  <c r="N3" i="21" a="1"/>
  <c r="N3" i="21" s="1"/>
  <c r="M3" i="21" a="1"/>
  <c r="M3" i="21" s="1"/>
  <c r="L3" i="21" a="1"/>
  <c r="L3" i="21" s="1"/>
  <c r="K3" i="21" a="1"/>
  <c r="K3" i="21" s="1"/>
  <c r="J3" i="21" a="1"/>
  <c r="J3" i="21" s="1"/>
  <c r="I3" i="21" a="1"/>
  <c r="I3" i="21" s="1"/>
  <c r="H3" i="21" a="1"/>
  <c r="H3" i="21" s="1"/>
  <c r="G3" i="21" a="1"/>
  <c r="G3" i="21" s="1"/>
  <c r="F3" i="21" a="1"/>
  <c r="F3" i="21" s="1"/>
  <c r="E3" i="21" a="1"/>
  <c r="E3" i="21" s="1"/>
  <c r="D3" i="21" a="1"/>
  <c r="D3" i="21" s="1"/>
  <c r="C3" i="21" a="1"/>
  <c r="C3" i="21" s="1"/>
  <c r="B3" i="21" a="1"/>
  <c r="B3" i="21" s="1"/>
  <c r="B4" i="19"/>
  <c r="AC62" i="21" l="1" a="1"/>
  <c r="AC62" i="21" s="1"/>
  <c r="AD62" i="21" a="1"/>
  <c r="AD62" i="21" s="1"/>
  <c r="AD35" i="21" a="1"/>
  <c r="AD35" i="21" s="1"/>
  <c r="AC35" i="21" a="1"/>
  <c r="AC35" i="21" s="1"/>
  <c r="AD46" i="21" a="1"/>
  <c r="AD46" i="21" s="1"/>
  <c r="AC46" i="21" a="1"/>
  <c r="AC46" i="21" s="1"/>
  <c r="AD33" i="21" a="1"/>
  <c r="AD33" i="21" s="1"/>
  <c r="AC33" i="21" a="1"/>
  <c r="AC33" i="21" s="1"/>
  <c r="AE52" i="21" a="1"/>
  <c r="AE52" i="21" s="1"/>
  <c r="AC52" i="21" a="1"/>
  <c r="AC52" i="21" s="1"/>
  <c r="AD31" i="21" a="1"/>
  <c r="AD31" i="21" s="1"/>
  <c r="AD44" i="21" a="1"/>
  <c r="AD44" i="21" s="1"/>
  <c r="AD19" i="21" a="1"/>
  <c r="AD19" i="21" s="1"/>
  <c r="AC19" i="21" a="1"/>
  <c r="AC19" i="21" s="1"/>
  <c r="AC20" i="21" a="1"/>
  <c r="AC20" i="21" s="1"/>
  <c r="AD20" i="21" a="1"/>
  <c r="AD20" i="21" s="1"/>
  <c r="AC8" i="21" a="1"/>
  <c r="AC8" i="21" s="1"/>
  <c r="AD8" i="21" a="1"/>
  <c r="AD8" i="21" s="1"/>
  <c r="AD17" i="21" a="1"/>
  <c r="AD17" i="21" s="1"/>
  <c r="AC17" i="21" a="1"/>
  <c r="AC17" i="21" s="1"/>
  <c r="AC28" i="21" a="1"/>
  <c r="AC28" i="21" s="1"/>
  <c r="AD28" i="21" a="1"/>
  <c r="AD28" i="21" s="1"/>
  <c r="AD25" i="21" a="1"/>
  <c r="AD25" i="21" s="1"/>
  <c r="AC25" i="21" a="1"/>
  <c r="AC25" i="21" s="1"/>
  <c r="AD24" i="21" a="1"/>
  <c r="AD24" i="21" s="1"/>
  <c r="AC24" i="21" a="1"/>
  <c r="AC24" i="21" s="1"/>
  <c r="AD11" i="21" a="1"/>
  <c r="AD11" i="21" s="1"/>
  <c r="AC11" i="21" a="1"/>
  <c r="AC11" i="21" s="1"/>
  <c r="AD15" i="21" a="1"/>
  <c r="AD15" i="21" s="1"/>
  <c r="AC15" i="21" a="1"/>
  <c r="AC15" i="21" s="1"/>
  <c r="AD18" i="21" a="1"/>
  <c r="AD18" i="21" s="1"/>
  <c r="AC18" i="21" a="1"/>
  <c r="AC18" i="21" s="1"/>
  <c r="AD16" i="21" a="1"/>
  <c r="AD16" i="21" s="1"/>
  <c r="AC34" i="21" a="1"/>
  <c r="AC34" i="21" s="1"/>
  <c r="AD34" i="21" a="1"/>
  <c r="AD34" i="21" s="1"/>
  <c r="AC64" i="21" a="1"/>
  <c r="AC64" i="21" s="1"/>
  <c r="AB64" i="21" a="1"/>
  <c r="AB64" i="21" s="1"/>
  <c r="AE64" i="21" a="1"/>
  <c r="AE64" i="21" s="1"/>
  <c r="AD64" i="21" a="1"/>
  <c r="AD64" i="21" s="1"/>
  <c r="AC13" i="21" a="1"/>
  <c r="AC13" i="21" s="1"/>
  <c r="AC26" i="21" a="1"/>
  <c r="AC26" i="21" s="1"/>
  <c r="AC37" i="21" a="1"/>
  <c r="AC37" i="21" s="1"/>
  <c r="AD37" i="21" a="1"/>
  <c r="AD37" i="21" s="1"/>
  <c r="AD43" i="21" a="1"/>
  <c r="AD43" i="21" s="1"/>
  <c r="AC43" i="21" a="1"/>
  <c r="AC43" i="21" s="1"/>
  <c r="AE69" i="21" a="1"/>
  <c r="AE69" i="21" s="1"/>
  <c r="AD69" i="21" a="1"/>
  <c r="AD69" i="21" s="1"/>
  <c r="AC69" i="21" a="1"/>
  <c r="AC69" i="21" s="1"/>
  <c r="AB69" i="21" a="1"/>
  <c r="AB69" i="21" s="1"/>
  <c r="AC29" i="21" a="1"/>
  <c r="AC29" i="21" s="1"/>
  <c r="AD47" i="21" a="1"/>
  <c r="AD47" i="21" s="1"/>
  <c r="AC47" i="21" a="1"/>
  <c r="AC47" i="21" s="1"/>
  <c r="AC27" i="21" a="1"/>
  <c r="AC27" i="21" s="1"/>
  <c r="AE65" i="21" a="1"/>
  <c r="AE65" i="21" s="1"/>
  <c r="AD65" i="21" a="1"/>
  <c r="AD65" i="21" s="1"/>
  <c r="AC65" i="21" a="1"/>
  <c r="AC65" i="21" s="1"/>
  <c r="AB65" i="21" a="1"/>
  <c r="AB65" i="21" s="1"/>
  <c r="AD39" i="21" a="1"/>
  <c r="AD39" i="21" s="1"/>
  <c r="AC39" i="21" a="1"/>
  <c r="AC39" i="21" s="1"/>
  <c r="AC12" i="21" a="1"/>
  <c r="AC12" i="21" s="1"/>
  <c r="AD32" i="21" a="1"/>
  <c r="AD32" i="21" s="1"/>
  <c r="AC32" i="21" a="1"/>
  <c r="AC32" i="21" s="1"/>
  <c r="AE68" i="21" a="1"/>
  <c r="AE68" i="21" s="1"/>
  <c r="AD68" i="21" a="1"/>
  <c r="AD68" i="21" s="1"/>
  <c r="AC68" i="21" a="1"/>
  <c r="AC68" i="21" s="1"/>
  <c r="AB68" i="21" a="1"/>
  <c r="AB68" i="21" s="1"/>
  <c r="AE72" i="21" a="1"/>
  <c r="AE72" i="21" s="1"/>
  <c r="AD72" i="21" a="1"/>
  <c r="AD72" i="21" s="1"/>
  <c r="AC72" i="21" a="1"/>
  <c r="AC72" i="21" s="1"/>
  <c r="AB72" i="21" a="1"/>
  <c r="AB72" i="21" s="1"/>
  <c r="AD45" i="21" a="1"/>
  <c r="AD45" i="21" s="1"/>
  <c r="AC45" i="21" a="1"/>
  <c r="AC45" i="21" s="1"/>
  <c r="AC54" i="21" a="1"/>
  <c r="AC54" i="21" s="1"/>
  <c r="AE54" i="21" a="1"/>
  <c r="AE54" i="21" s="1"/>
  <c r="AD54" i="21" a="1"/>
  <c r="AD54" i="21" s="1"/>
  <c r="AB54" i="21" a="1"/>
  <c r="AB54" i="21" s="1"/>
  <c r="AC14" i="21" a="1"/>
  <c r="AC14" i="21" s="1"/>
  <c r="AD41" i="21" a="1"/>
  <c r="AD41" i="21" s="1"/>
  <c r="AC41" i="21" a="1"/>
  <c r="AC41" i="21" s="1"/>
  <c r="AE60" i="21" a="1"/>
  <c r="AE60" i="21" s="1"/>
  <c r="AD60" i="21" a="1"/>
  <c r="AD60" i="21" s="1"/>
  <c r="AB61" i="21" a="1"/>
  <c r="AB61" i="21" s="1"/>
  <c r="AE61" i="21" a="1"/>
  <c r="AE61" i="21" s="1"/>
  <c r="AD61" i="21" a="1"/>
  <c r="AD61" i="21" s="1"/>
  <c r="AC61" i="21" a="1"/>
  <c r="AC61" i="21" s="1"/>
  <c r="AE66" i="21" a="1"/>
  <c r="AE66" i="21" s="1"/>
  <c r="AD66" i="21" a="1"/>
  <c r="AD66" i="21" s="1"/>
  <c r="AC66" i="21" a="1"/>
  <c r="AC66" i="21" s="1"/>
  <c r="AB66" i="21" a="1"/>
  <c r="AB66" i="21" s="1"/>
  <c r="AD42" i="21" a="1"/>
  <c r="AD42" i="21" s="1"/>
  <c r="AC42" i="21" a="1"/>
  <c r="AC42" i="21" s="1"/>
  <c r="AC58" i="21" a="1"/>
  <c r="AC58" i="21" s="1"/>
  <c r="AD58" i="21" a="1"/>
  <c r="AD58" i="21" s="1"/>
  <c r="AE63" i="21" a="1"/>
  <c r="AE63" i="21" s="1"/>
  <c r="AD63" i="21" a="1"/>
  <c r="AD63" i="21" s="1"/>
  <c r="AC63" i="21" a="1"/>
  <c r="AC63" i="21" s="1"/>
  <c r="AB63" i="21" a="1"/>
  <c r="AB63" i="21" s="1"/>
  <c r="AD30" i="21" a="1"/>
  <c r="AD30" i="21" s="1"/>
  <c r="AC30" i="21" a="1"/>
  <c r="AC30" i="21" s="1"/>
  <c r="AE71" i="21" a="1"/>
  <c r="AE71" i="21" s="1"/>
  <c r="AD71" i="21" a="1"/>
  <c r="AD71" i="21" s="1"/>
  <c r="AC71" i="21" a="1"/>
  <c r="AC71" i="21" s="1"/>
  <c r="AB71" i="21" a="1"/>
  <c r="AB71" i="21" s="1"/>
  <c r="AB53" i="21" a="1"/>
  <c r="AB53" i="21" s="1"/>
  <c r="AC40" i="21" a="1"/>
  <c r="AC40" i="21" s="1"/>
  <c r="AE51" i="21" a="1"/>
  <c r="AE51" i="21" s="1"/>
  <c r="AE62" i="21" a="1"/>
  <c r="AE62" i="21" s="1"/>
  <c r="AD67" i="21" a="1"/>
  <c r="AD67" i="21" s="1"/>
  <c r="AD70" i="21" a="1"/>
  <c r="AD70" i="21" s="1"/>
  <c r="AC53" i="21" a="1"/>
  <c r="AC53" i="21" s="1"/>
  <c r="AD55" i="21" a="1"/>
  <c r="AD55" i="21" s="1"/>
  <c r="AD53" i="21" a="1"/>
  <c r="AD53" i="21" s="1"/>
  <c r="AE67" i="21" a="1"/>
  <c r="AE67" i="21" s="1"/>
  <c r="AE70" i="21" a="1"/>
  <c r="AE70" i="21" s="1"/>
  <c r="AB52" i="21" a="1"/>
  <c r="AB52" i="21" s="1"/>
  <c r="AD52" i="21" a="1"/>
  <c r="AD52" i="21" s="1"/>
  <c r="AB51" i="21" a="1"/>
  <c r="AB51" i="21" s="1"/>
  <c r="AB67" i="21" a="1"/>
  <c r="AB67" i="21" s="1"/>
  <c r="AB70" i="21" a="1"/>
  <c r="AB70" i="21" s="1"/>
  <c r="AC51" i="21" a="1"/>
  <c r="AC51" i="21" s="1"/>
  <c r="AB62" i="21" a="1"/>
  <c r="AB62" i="21" s="1"/>
  <c r="AD9" i="21" a="1"/>
  <c r="AD9" i="21" s="1"/>
  <c r="AC9" i="21" a="1"/>
  <c r="AC9" i="21" s="1"/>
  <c r="AD10" i="21" a="1"/>
  <c r="AD10" i="21" s="1"/>
  <c r="AC10" i="21" a="1"/>
  <c r="AC10" i="21" s="1"/>
  <c r="AD7" i="21" a="1"/>
  <c r="AD7" i="21" s="1"/>
  <c r="AC7" i="21" a="1"/>
  <c r="AC7" i="21" s="1"/>
  <c r="AD5" i="21" a="1"/>
  <c r="AD5" i="21" s="1"/>
  <c r="AC5" i="21" a="1"/>
  <c r="AC5" i="21" s="1"/>
  <c r="AD3" i="21" a="1"/>
  <c r="AD3" i="21" s="1"/>
  <c r="AC3" i="21" a="1"/>
  <c r="AC3" i="21" s="1"/>
  <c r="AD6" i="21" a="1"/>
  <c r="AD6" i="21" s="1"/>
  <c r="AC6" i="21" a="1"/>
  <c r="AC6" i="21" s="1"/>
  <c r="AD4" i="21" a="1"/>
  <c r="AD4" i="21" s="1"/>
  <c r="AD21" i="21" a="1"/>
  <c r="AD21" i="21" s="1"/>
  <c r="AC21" i="21" a="1"/>
  <c r="AC21" i="21" s="1"/>
  <c r="AC22" i="21" a="1"/>
  <c r="AC22" i="21" s="1"/>
  <c r="AD22" i="21" a="1"/>
  <c r="AD22" i="21" s="1"/>
  <c r="AD23" i="21" a="1"/>
  <c r="AD23" i="21" s="1"/>
  <c r="AC23" i="21" a="1"/>
  <c r="AC23" i="21" s="1"/>
  <c r="AD36" i="21" a="1"/>
  <c r="AD36" i="21" s="1"/>
  <c r="AC36" i="21" a="1"/>
  <c r="AC36" i="21" s="1"/>
  <c r="AC38" i="21" a="1"/>
  <c r="AC38" i="21" s="1"/>
  <c r="AD38" i="21" a="1"/>
  <c r="AD38" i="21" s="1"/>
  <c r="AB57" i="21" a="1"/>
  <c r="AB57" i="21" s="1"/>
  <c r="AB60" i="21" a="1"/>
  <c r="AB60" i="21" s="1"/>
  <c r="AE55" i="21" a="1"/>
  <c r="AE55" i="21" s="1"/>
  <c r="AC57" i="21" a="1"/>
  <c r="AC57" i="21" s="1"/>
  <c r="AE58" i="21" a="1"/>
  <c r="AE58" i="21" s="1"/>
  <c r="AC60" i="21" a="1"/>
  <c r="AC60" i="21" s="1"/>
  <c r="AB56" i="21" a="1"/>
  <c r="AB56" i="21" s="1"/>
  <c r="AD57" i="21" a="1"/>
  <c r="AD57" i="21" s="1"/>
  <c r="AB59" i="21" a="1"/>
  <c r="AB59" i="21" s="1"/>
  <c r="AC56" i="21" a="1"/>
  <c r="AC56" i="21" s="1"/>
  <c r="AC59" i="21" a="1"/>
  <c r="AC59" i="21" s="1"/>
  <c r="AB55" i="21" a="1"/>
  <c r="AB55" i="21" s="1"/>
  <c r="AD56" i="21" a="1"/>
  <c r="AD56" i="21" s="1"/>
  <c r="AB58" i="21" a="1"/>
  <c r="AB58" i="21" s="1"/>
  <c r="AD59" i="21" a="1"/>
  <c r="AD59" i="21" s="1"/>
  <c r="G14" i="12" a="1"/>
  <c r="G14" i="12" s="1"/>
  <c r="Q13" i="13" l="1" a="1"/>
  <c r="Q13" i="13" s="1"/>
  <c r="M13" i="13" a="1"/>
  <c r="M13" i="13" s="1"/>
  <c r="M15" i="13" a="1"/>
  <c r="M15" i="13" s="1"/>
  <c r="I14" i="13" a="1"/>
  <c r="I14" i="13" s="1"/>
  <c r="P46" i="13" a="1"/>
  <c r="P46" i="13" s="1"/>
  <c r="P45" i="13" a="1"/>
  <c r="P45" i="13" s="1"/>
  <c r="P44" i="13" a="1"/>
  <c r="P44" i="13" s="1"/>
  <c r="P43" i="13" a="1"/>
  <c r="P43" i="13" s="1"/>
  <c r="P42" i="13" a="1"/>
  <c r="P42" i="13" s="1"/>
  <c r="P41" i="13" a="1"/>
  <c r="P41" i="13" s="1"/>
  <c r="P40" i="13" a="1"/>
  <c r="P40" i="13" s="1"/>
  <c r="P39" i="13" a="1"/>
  <c r="P39" i="13" s="1"/>
  <c r="P38" i="13" a="1"/>
  <c r="P38" i="13" s="1"/>
  <c r="P37" i="13" a="1"/>
  <c r="P37" i="13" s="1"/>
  <c r="P36" i="13" a="1"/>
  <c r="P36" i="13" s="1"/>
  <c r="P35" i="13" a="1"/>
  <c r="P35" i="13" s="1"/>
  <c r="P34" i="13" a="1"/>
  <c r="P34" i="13" s="1"/>
  <c r="P33" i="13" a="1"/>
  <c r="P33" i="13" s="1"/>
  <c r="P32" i="13" a="1"/>
  <c r="P32" i="13" s="1"/>
  <c r="P31" i="13" a="1"/>
  <c r="P31" i="13" s="1"/>
  <c r="P30" i="13" a="1"/>
  <c r="P30" i="13" s="1"/>
  <c r="P29" i="13" a="1"/>
  <c r="P29" i="13" s="1"/>
  <c r="P28" i="13" a="1"/>
  <c r="P28" i="13" s="1"/>
  <c r="P27" i="13" a="1"/>
  <c r="P27" i="13" s="1"/>
  <c r="P26" i="13" a="1"/>
  <c r="P26" i="13" s="1"/>
  <c r="P25" i="13" a="1"/>
  <c r="P25" i="13" s="1"/>
  <c r="P24" i="13" a="1"/>
  <c r="P24" i="13" s="1"/>
  <c r="P23" i="13" a="1"/>
  <c r="P23" i="13" s="1"/>
  <c r="P22" i="13" a="1"/>
  <c r="P22" i="13" s="1"/>
  <c r="P21" i="13" a="1"/>
  <c r="P21" i="13" s="1"/>
  <c r="P20" i="13" a="1"/>
  <c r="P20" i="13" s="1"/>
  <c r="P19" i="13" a="1"/>
  <c r="P19" i="13" s="1"/>
  <c r="P18" i="13" a="1"/>
  <c r="P18" i="13" s="1"/>
  <c r="P17" i="13" a="1"/>
  <c r="P17" i="13" s="1"/>
  <c r="P16" i="13" a="1"/>
  <c r="P16" i="13" s="1"/>
  <c r="P15" i="13" a="1"/>
  <c r="P15" i="13" s="1"/>
  <c r="P14" i="13" a="1"/>
  <c r="P14" i="13" s="1"/>
  <c r="N47" i="13" a="1"/>
  <c r="N47" i="13" s="1"/>
  <c r="N46" i="13" a="1"/>
  <c r="N46" i="13" s="1"/>
  <c r="N45" i="13" a="1"/>
  <c r="N45" i="13" s="1"/>
  <c r="N44" i="13" a="1"/>
  <c r="N44" i="13" s="1"/>
  <c r="N43" i="13" a="1"/>
  <c r="N43" i="13" s="1"/>
  <c r="N42" i="13" a="1"/>
  <c r="N42" i="13" s="1"/>
  <c r="N41" i="13" a="1"/>
  <c r="N41" i="13" s="1"/>
  <c r="N40" i="13" a="1"/>
  <c r="N40" i="13" s="1"/>
  <c r="N39" i="13" a="1"/>
  <c r="N39" i="13" s="1"/>
  <c r="N38" i="13" a="1"/>
  <c r="N38" i="13" s="1"/>
  <c r="N37" i="13" a="1"/>
  <c r="N37" i="13" s="1"/>
  <c r="N36" i="13" a="1"/>
  <c r="N36" i="13" s="1"/>
  <c r="N35" i="13" a="1"/>
  <c r="N35" i="13" s="1"/>
  <c r="N34" i="13" a="1"/>
  <c r="N34" i="13" s="1"/>
  <c r="N33" i="13" a="1"/>
  <c r="N33" i="13" s="1"/>
  <c r="N32" i="13" a="1"/>
  <c r="N32" i="13" s="1"/>
  <c r="N31" i="13" a="1"/>
  <c r="N31" i="13" s="1"/>
  <c r="N30" i="13" a="1"/>
  <c r="N30" i="13" s="1"/>
  <c r="N29" i="13" a="1"/>
  <c r="N29" i="13" s="1"/>
  <c r="N28" i="13" a="1"/>
  <c r="N28" i="13" s="1"/>
  <c r="N27" i="13" a="1"/>
  <c r="N27" i="13" s="1"/>
  <c r="N26" i="13" a="1"/>
  <c r="N26" i="13" s="1"/>
  <c r="N25" i="13" a="1"/>
  <c r="N25" i="13" s="1"/>
  <c r="N24" i="13" a="1"/>
  <c r="N24" i="13" s="1"/>
  <c r="N23" i="13" a="1"/>
  <c r="N23" i="13" s="1"/>
  <c r="N22" i="13" a="1"/>
  <c r="N22" i="13" s="1"/>
  <c r="N21" i="13" a="1"/>
  <c r="N21" i="13" s="1"/>
  <c r="N20" i="13" a="1"/>
  <c r="N20" i="13" s="1"/>
  <c r="N19" i="13" a="1"/>
  <c r="N19" i="13" s="1"/>
  <c r="N18" i="13" a="1"/>
  <c r="N18" i="13" s="1"/>
  <c r="N17" i="13" a="1"/>
  <c r="N17" i="13" s="1"/>
  <c r="N16" i="13" a="1"/>
  <c r="N16" i="13" s="1"/>
  <c r="N15" i="13" a="1"/>
  <c r="N15" i="13" s="1"/>
  <c r="N14" i="13" a="1"/>
  <c r="N14" i="13" s="1"/>
  <c r="L47" i="13" a="1"/>
  <c r="L47" i="13" s="1"/>
  <c r="L46" i="13" a="1"/>
  <c r="L46" i="13" s="1"/>
  <c r="L45" i="13" a="1"/>
  <c r="L45" i="13" s="1"/>
  <c r="L44" i="13" a="1"/>
  <c r="L44" i="13" s="1"/>
  <c r="L43" i="13" a="1"/>
  <c r="L43" i="13" s="1"/>
  <c r="L42" i="13" a="1"/>
  <c r="L42" i="13" s="1"/>
  <c r="L41" i="13" a="1"/>
  <c r="L41" i="13" s="1"/>
  <c r="L40" i="13" a="1"/>
  <c r="L40" i="13" s="1"/>
  <c r="L39" i="13" a="1"/>
  <c r="L39" i="13" s="1"/>
  <c r="L38" i="13" a="1"/>
  <c r="L38" i="13" s="1"/>
  <c r="L37" i="13" a="1"/>
  <c r="L37" i="13" s="1"/>
  <c r="L36" i="13" a="1"/>
  <c r="L36" i="13" s="1"/>
  <c r="L35" i="13" a="1"/>
  <c r="L35" i="13" s="1"/>
  <c r="L34" i="13" a="1"/>
  <c r="L34" i="13" s="1"/>
  <c r="L33" i="13" a="1"/>
  <c r="L33" i="13" s="1"/>
  <c r="L32" i="13" a="1"/>
  <c r="L32" i="13" s="1"/>
  <c r="L31" i="13" a="1"/>
  <c r="L31" i="13" s="1"/>
  <c r="L30" i="13" a="1"/>
  <c r="L30" i="13" s="1"/>
  <c r="L29" i="13" a="1"/>
  <c r="L29" i="13" s="1"/>
  <c r="L28" i="13" a="1"/>
  <c r="L28" i="13" s="1"/>
  <c r="L27" i="13" a="1"/>
  <c r="L27" i="13" s="1"/>
  <c r="L26" i="13" a="1"/>
  <c r="L26" i="13" s="1"/>
  <c r="L25" i="13" a="1"/>
  <c r="L25" i="13" s="1"/>
  <c r="L24" i="13" a="1"/>
  <c r="L24" i="13" s="1"/>
  <c r="L23" i="13" a="1"/>
  <c r="L23" i="13" s="1"/>
  <c r="L22" i="13" a="1"/>
  <c r="L22" i="13" s="1"/>
  <c r="L21" i="13" a="1"/>
  <c r="L21" i="13" s="1"/>
  <c r="L20" i="13" a="1"/>
  <c r="L20" i="13" s="1"/>
  <c r="L19" i="13" a="1"/>
  <c r="L19" i="13" s="1"/>
  <c r="L18" i="13" a="1"/>
  <c r="L18" i="13" s="1"/>
  <c r="L17" i="13" a="1"/>
  <c r="L17" i="13" s="1"/>
  <c r="L16" i="13" a="1"/>
  <c r="L16" i="13" s="1"/>
  <c r="L15" i="13" a="1"/>
  <c r="L15" i="13" s="1"/>
  <c r="L14" i="13" a="1"/>
  <c r="L14" i="13" s="1"/>
  <c r="P13" i="13" a="1"/>
  <c r="P13" i="13" s="1"/>
  <c r="N13" i="13" a="1"/>
  <c r="N13" i="13" s="1"/>
  <c r="L13" i="13" a="1"/>
  <c r="L13" i="13" s="1"/>
  <c r="J47" i="13" a="1"/>
  <c r="J47" i="13" s="1"/>
  <c r="J46" i="13" a="1"/>
  <c r="J46" i="13" s="1"/>
  <c r="J45" i="13" a="1"/>
  <c r="J45" i="13" s="1"/>
  <c r="J44" i="13" a="1"/>
  <c r="J44" i="13" s="1"/>
  <c r="J43" i="13" a="1"/>
  <c r="J43" i="13" s="1"/>
  <c r="J42" i="13" a="1"/>
  <c r="J42" i="13" s="1"/>
  <c r="J41" i="13" a="1"/>
  <c r="J41" i="13" s="1"/>
  <c r="J40" i="13" a="1"/>
  <c r="J40" i="13" s="1"/>
  <c r="J39" i="13" a="1"/>
  <c r="J39" i="13" s="1"/>
  <c r="J38" i="13" a="1"/>
  <c r="J38" i="13" s="1"/>
  <c r="J37" i="13" a="1"/>
  <c r="J37" i="13" s="1"/>
  <c r="J36" i="13" a="1"/>
  <c r="J36" i="13" s="1"/>
  <c r="J35" i="13" a="1"/>
  <c r="J35" i="13" s="1"/>
  <c r="J34" i="13" a="1"/>
  <c r="J34" i="13" s="1"/>
  <c r="J33" i="13" a="1"/>
  <c r="J33" i="13" s="1"/>
  <c r="J32" i="13" a="1"/>
  <c r="J32" i="13" s="1"/>
  <c r="J31" i="13" a="1"/>
  <c r="J31" i="13" s="1"/>
  <c r="J30" i="13" a="1"/>
  <c r="J30" i="13" s="1"/>
  <c r="J29" i="13" a="1"/>
  <c r="J29" i="13" s="1"/>
  <c r="J28" i="13" a="1"/>
  <c r="J28" i="13" s="1"/>
  <c r="J27" i="13" a="1"/>
  <c r="J27" i="13" s="1"/>
  <c r="J26" i="13" a="1"/>
  <c r="J26" i="13" s="1"/>
  <c r="J25" i="13" a="1"/>
  <c r="J25" i="13" s="1"/>
  <c r="J24" i="13" a="1"/>
  <c r="J24" i="13" s="1"/>
  <c r="J23" i="13" a="1"/>
  <c r="J23" i="13" s="1"/>
  <c r="J22" i="13" a="1"/>
  <c r="J22" i="13" s="1"/>
  <c r="J21" i="13" a="1"/>
  <c r="J21" i="13" s="1"/>
  <c r="J20" i="13" a="1"/>
  <c r="J20" i="13" s="1"/>
  <c r="J19" i="13" a="1"/>
  <c r="J19" i="13" s="1"/>
  <c r="J18" i="13" a="1"/>
  <c r="J18" i="13" s="1"/>
  <c r="J17" i="13" a="1"/>
  <c r="J17" i="13" s="1"/>
  <c r="J16" i="13" a="1"/>
  <c r="J16" i="13" s="1"/>
  <c r="J15" i="13" a="1"/>
  <c r="J15" i="13" s="1"/>
  <c r="J14" i="13" a="1"/>
  <c r="J14" i="13" s="1"/>
  <c r="J13" i="13" a="1"/>
  <c r="J13" i="13" s="1"/>
  <c r="H15" i="13" a="1"/>
  <c r="H15" i="13" s="1"/>
  <c r="H16" i="13" a="1"/>
  <c r="H16" i="13" s="1"/>
  <c r="H17" i="13" a="1"/>
  <c r="H17" i="13" s="1"/>
  <c r="H18" i="13" a="1"/>
  <c r="H18" i="13" s="1"/>
  <c r="H19" i="13" a="1"/>
  <c r="H19" i="13" s="1"/>
  <c r="H20" i="13" a="1"/>
  <c r="H20" i="13" s="1"/>
  <c r="H21" i="13" a="1"/>
  <c r="H21" i="13" s="1"/>
  <c r="H22" i="13" a="1"/>
  <c r="H22" i="13" s="1"/>
  <c r="H23" i="13" a="1"/>
  <c r="H23" i="13" s="1"/>
  <c r="H24" i="13" a="1"/>
  <c r="H24" i="13" s="1"/>
  <c r="H25" i="13" a="1"/>
  <c r="H25" i="13" s="1"/>
  <c r="H26" i="13" a="1"/>
  <c r="H26" i="13" s="1"/>
  <c r="H27" i="13" a="1"/>
  <c r="H27" i="13" s="1"/>
  <c r="H28" i="13" a="1"/>
  <c r="H28" i="13" s="1"/>
  <c r="H29" i="13" a="1"/>
  <c r="H29" i="13" s="1"/>
  <c r="H30" i="13" a="1"/>
  <c r="H30" i="13" s="1"/>
  <c r="H31" i="13" a="1"/>
  <c r="H31" i="13" s="1"/>
  <c r="H32" i="13" a="1"/>
  <c r="H32" i="13" s="1"/>
  <c r="H33" i="13" a="1"/>
  <c r="H33" i="13" s="1"/>
  <c r="H34" i="13" a="1"/>
  <c r="H34" i="13" s="1"/>
  <c r="H35" i="13" a="1"/>
  <c r="H35" i="13" s="1"/>
  <c r="H36" i="13" a="1"/>
  <c r="H36" i="13" s="1"/>
  <c r="H37" i="13" a="1"/>
  <c r="H37" i="13" s="1"/>
  <c r="H38" i="13" a="1"/>
  <c r="H38" i="13" s="1"/>
  <c r="H39" i="13" a="1"/>
  <c r="H39" i="13" s="1"/>
  <c r="H40" i="13" a="1"/>
  <c r="H40" i="13" s="1"/>
  <c r="H41" i="13" a="1"/>
  <c r="H41" i="13" s="1"/>
  <c r="H42" i="13" a="1"/>
  <c r="H42" i="13" s="1"/>
  <c r="H43" i="13" a="1"/>
  <c r="H43" i="13" s="1"/>
  <c r="H44" i="13" a="1"/>
  <c r="H44" i="13" s="1"/>
  <c r="H45" i="13" a="1"/>
  <c r="H45" i="13" s="1"/>
  <c r="H46" i="13" a="1"/>
  <c r="H46" i="13" s="1"/>
  <c r="H47" i="13" a="1"/>
  <c r="H47" i="13" s="1"/>
  <c r="H14" i="13" a="1"/>
  <c r="H14" i="13" s="1"/>
  <c r="H13" i="13" a="1"/>
  <c r="H13" i="13" s="1"/>
  <c r="I16" i="13" a="1"/>
  <c r="I16" i="13" s="1"/>
  <c r="Q47" i="13" a="1"/>
  <c r="Q47" i="13" s="1"/>
  <c r="O47" i="13" a="1"/>
  <c r="O47" i="13" s="1"/>
  <c r="M47" i="13" a="1"/>
  <c r="M47" i="13" s="1"/>
  <c r="K47" i="13" a="1"/>
  <c r="K47" i="13" s="1"/>
  <c r="I47" i="13" a="1"/>
  <c r="I47" i="13" s="1"/>
  <c r="G47" i="13" a="1"/>
  <c r="G47" i="13" s="1"/>
  <c r="F47" i="13" a="1"/>
  <c r="F47" i="13" s="1"/>
  <c r="E47" i="13" a="1"/>
  <c r="E47" i="13" s="1"/>
  <c r="D47" i="13" a="1"/>
  <c r="D47" i="13" s="1"/>
  <c r="C47" i="13" a="1"/>
  <c r="C47" i="13" s="1"/>
  <c r="S47" i="13" s="1" a="1"/>
  <c r="S47" i="13" s="1"/>
  <c r="B47" i="13" a="1"/>
  <c r="B47" i="13" s="1"/>
  <c r="Q46" i="13" a="1"/>
  <c r="Q46" i="13" s="1"/>
  <c r="O46" i="13" a="1"/>
  <c r="O46" i="13" s="1"/>
  <c r="M46" i="13" a="1"/>
  <c r="M46" i="13" s="1"/>
  <c r="K46" i="13" a="1"/>
  <c r="K46" i="13" s="1"/>
  <c r="I46" i="13" a="1"/>
  <c r="I46" i="13" s="1"/>
  <c r="G46" i="13" a="1"/>
  <c r="G46" i="13" s="1"/>
  <c r="F46" i="13" a="1"/>
  <c r="F46" i="13" s="1"/>
  <c r="E46" i="13" a="1"/>
  <c r="E46" i="13" s="1"/>
  <c r="D46" i="13" a="1"/>
  <c r="D46" i="13" s="1"/>
  <c r="C46" i="13" a="1"/>
  <c r="C46" i="13" s="1"/>
  <c r="S46" i="13" s="1" a="1"/>
  <c r="S46" i="13" s="1"/>
  <c r="B46" i="13" a="1"/>
  <c r="B46" i="13" s="1"/>
  <c r="Q45" i="13" a="1"/>
  <c r="Q45" i="13" s="1"/>
  <c r="O45" i="13" a="1"/>
  <c r="O45" i="13" s="1"/>
  <c r="M45" i="13" a="1"/>
  <c r="M45" i="13" s="1"/>
  <c r="K45" i="13" a="1"/>
  <c r="K45" i="13" s="1"/>
  <c r="I45" i="13" a="1"/>
  <c r="I45" i="13" s="1"/>
  <c r="G45" i="13" a="1"/>
  <c r="G45" i="13" s="1"/>
  <c r="F45" i="13" a="1"/>
  <c r="F45" i="13" s="1"/>
  <c r="E45" i="13" a="1"/>
  <c r="E45" i="13" s="1"/>
  <c r="D45" i="13" a="1"/>
  <c r="D45" i="13" s="1"/>
  <c r="C45" i="13" a="1"/>
  <c r="C45" i="13" s="1"/>
  <c r="S45" i="13" s="1" a="1"/>
  <c r="S45" i="13" s="1"/>
  <c r="B45" i="13" a="1"/>
  <c r="B45" i="13" s="1"/>
  <c r="Q44" i="13" a="1"/>
  <c r="Q44" i="13" s="1"/>
  <c r="O44" i="13" a="1"/>
  <c r="O44" i="13" s="1"/>
  <c r="M44" i="13" a="1"/>
  <c r="M44" i="13" s="1"/>
  <c r="K44" i="13" a="1"/>
  <c r="K44" i="13" s="1"/>
  <c r="I44" i="13" a="1"/>
  <c r="I44" i="13" s="1"/>
  <c r="G44" i="13" a="1"/>
  <c r="G44" i="13" s="1"/>
  <c r="F44" i="13" a="1"/>
  <c r="F44" i="13" s="1"/>
  <c r="E44" i="13" a="1"/>
  <c r="E44" i="13" s="1"/>
  <c r="D44" i="13" a="1"/>
  <c r="D44" i="13" s="1"/>
  <c r="C44" i="13" a="1"/>
  <c r="C44" i="13" s="1"/>
  <c r="S44" i="13" s="1" a="1"/>
  <c r="S44" i="13" s="1"/>
  <c r="B44" i="13" a="1"/>
  <c r="B44" i="13" s="1"/>
  <c r="Q43" i="13" a="1"/>
  <c r="Q43" i="13" s="1"/>
  <c r="O43" i="13" a="1"/>
  <c r="O43" i="13" s="1"/>
  <c r="M43" i="13" a="1"/>
  <c r="M43" i="13" s="1"/>
  <c r="K43" i="13" a="1"/>
  <c r="K43" i="13" s="1"/>
  <c r="I43" i="13" a="1"/>
  <c r="I43" i="13" s="1"/>
  <c r="G43" i="13" a="1"/>
  <c r="G43" i="13" s="1"/>
  <c r="F43" i="13" a="1"/>
  <c r="F43" i="13" s="1"/>
  <c r="E43" i="13" a="1"/>
  <c r="E43" i="13" s="1"/>
  <c r="D43" i="13" a="1"/>
  <c r="D43" i="13" s="1"/>
  <c r="C43" i="13" a="1"/>
  <c r="C43" i="13" s="1"/>
  <c r="S43" i="13" s="1" a="1"/>
  <c r="S43" i="13" s="1"/>
  <c r="B43" i="13" a="1"/>
  <c r="B43" i="13" s="1"/>
  <c r="Q42" i="13" a="1"/>
  <c r="Q42" i="13" s="1"/>
  <c r="O42" i="13" a="1"/>
  <c r="O42" i="13" s="1"/>
  <c r="M42" i="13" a="1"/>
  <c r="M42" i="13" s="1"/>
  <c r="K42" i="13" a="1"/>
  <c r="K42" i="13" s="1"/>
  <c r="I42" i="13" a="1"/>
  <c r="I42" i="13" s="1"/>
  <c r="G42" i="13" a="1"/>
  <c r="G42" i="13" s="1"/>
  <c r="F42" i="13" a="1"/>
  <c r="F42" i="13" s="1"/>
  <c r="E42" i="13" a="1"/>
  <c r="E42" i="13" s="1"/>
  <c r="D42" i="13" a="1"/>
  <c r="D42" i="13" s="1"/>
  <c r="C42" i="13" a="1"/>
  <c r="C42" i="13" s="1"/>
  <c r="R42" i="13" s="1" a="1"/>
  <c r="R42" i="13" s="1"/>
  <c r="B42" i="13" a="1"/>
  <c r="B42" i="13" s="1"/>
  <c r="Q41" i="13" a="1"/>
  <c r="Q41" i="13" s="1"/>
  <c r="O41" i="13" a="1"/>
  <c r="O41" i="13" s="1"/>
  <c r="M41" i="13" a="1"/>
  <c r="M41" i="13" s="1"/>
  <c r="K41" i="13" a="1"/>
  <c r="K41" i="13" s="1"/>
  <c r="I41" i="13" a="1"/>
  <c r="I41" i="13" s="1"/>
  <c r="G41" i="13" a="1"/>
  <c r="G41" i="13" s="1"/>
  <c r="F41" i="13" a="1"/>
  <c r="F41" i="13" s="1"/>
  <c r="E41" i="13" a="1"/>
  <c r="E41" i="13" s="1"/>
  <c r="D41" i="13" a="1"/>
  <c r="D41" i="13" s="1"/>
  <c r="C41" i="13" a="1"/>
  <c r="C41" i="13" s="1"/>
  <c r="S41" i="13" s="1" a="1"/>
  <c r="S41" i="13" s="1"/>
  <c r="B41" i="13" a="1"/>
  <c r="B41" i="13" s="1"/>
  <c r="Q40" i="13" a="1"/>
  <c r="Q40" i="13" s="1"/>
  <c r="O40" i="13" a="1"/>
  <c r="O40" i="13" s="1"/>
  <c r="M40" i="13" a="1"/>
  <c r="M40" i="13" s="1"/>
  <c r="K40" i="13" a="1"/>
  <c r="K40" i="13" s="1"/>
  <c r="I40" i="13" a="1"/>
  <c r="I40" i="13" s="1"/>
  <c r="G40" i="13" a="1"/>
  <c r="G40" i="13" s="1"/>
  <c r="F40" i="13" a="1"/>
  <c r="F40" i="13" s="1"/>
  <c r="E40" i="13" a="1"/>
  <c r="E40" i="13" s="1"/>
  <c r="D40" i="13" a="1"/>
  <c r="D40" i="13" s="1"/>
  <c r="C40" i="13" a="1"/>
  <c r="C40" i="13" s="1"/>
  <c r="S40" i="13" s="1" a="1"/>
  <c r="S40" i="13" s="1"/>
  <c r="B40" i="13" a="1"/>
  <c r="B40" i="13" s="1"/>
  <c r="Q39" i="13" a="1"/>
  <c r="Q39" i="13" s="1"/>
  <c r="O39" i="13" a="1"/>
  <c r="O39" i="13" s="1"/>
  <c r="M39" i="13" a="1"/>
  <c r="M39" i="13" s="1"/>
  <c r="K39" i="13" a="1"/>
  <c r="K39" i="13" s="1"/>
  <c r="I39" i="13" a="1"/>
  <c r="I39" i="13" s="1"/>
  <c r="G39" i="13" a="1"/>
  <c r="G39" i="13" s="1"/>
  <c r="F39" i="13" a="1"/>
  <c r="F39" i="13" s="1"/>
  <c r="E39" i="13" a="1"/>
  <c r="E39" i="13" s="1"/>
  <c r="D39" i="13" a="1"/>
  <c r="D39" i="13" s="1"/>
  <c r="C39" i="13" a="1"/>
  <c r="C39" i="13" s="1"/>
  <c r="S39" i="13" s="1" a="1"/>
  <c r="S39" i="13" s="1"/>
  <c r="B39" i="13" a="1"/>
  <c r="B39" i="13" s="1"/>
  <c r="Q38" i="13" a="1"/>
  <c r="Q38" i="13" s="1"/>
  <c r="O38" i="13" a="1"/>
  <c r="O38" i="13" s="1"/>
  <c r="M38" i="13" a="1"/>
  <c r="M38" i="13" s="1"/>
  <c r="K38" i="13" a="1"/>
  <c r="K38" i="13" s="1"/>
  <c r="I38" i="13" a="1"/>
  <c r="I38" i="13" s="1"/>
  <c r="G38" i="13" a="1"/>
  <c r="G38" i="13" s="1"/>
  <c r="F38" i="13" a="1"/>
  <c r="F38" i="13" s="1"/>
  <c r="E38" i="13" a="1"/>
  <c r="E38" i="13" s="1"/>
  <c r="D38" i="13" a="1"/>
  <c r="D38" i="13" s="1"/>
  <c r="C38" i="13" a="1"/>
  <c r="C38" i="13" s="1"/>
  <c r="S38" i="13" s="1" a="1"/>
  <c r="S38" i="13" s="1"/>
  <c r="B38" i="13" a="1"/>
  <c r="B38" i="13" s="1"/>
  <c r="Q37" i="13" a="1"/>
  <c r="Q37" i="13" s="1"/>
  <c r="O37" i="13" a="1"/>
  <c r="O37" i="13" s="1"/>
  <c r="M37" i="13" a="1"/>
  <c r="M37" i="13" s="1"/>
  <c r="K37" i="13" a="1"/>
  <c r="K37" i="13" s="1"/>
  <c r="I37" i="13" a="1"/>
  <c r="I37" i="13" s="1"/>
  <c r="G37" i="13" a="1"/>
  <c r="G37" i="13" s="1"/>
  <c r="F37" i="13" a="1"/>
  <c r="F37" i="13" s="1"/>
  <c r="E37" i="13" a="1"/>
  <c r="E37" i="13" s="1"/>
  <c r="D37" i="13" a="1"/>
  <c r="D37" i="13" s="1"/>
  <c r="C37" i="13" a="1"/>
  <c r="C37" i="13" s="1"/>
  <c r="S37" i="13" s="1" a="1"/>
  <c r="S37" i="13" s="1"/>
  <c r="B37" i="13" a="1"/>
  <c r="B37" i="13" s="1"/>
  <c r="Q36" i="13" a="1"/>
  <c r="Q36" i="13" s="1"/>
  <c r="O36" i="13" a="1"/>
  <c r="O36" i="13" s="1"/>
  <c r="M36" i="13" a="1"/>
  <c r="M36" i="13" s="1"/>
  <c r="K36" i="13" a="1"/>
  <c r="K36" i="13" s="1"/>
  <c r="I36" i="13" a="1"/>
  <c r="I36" i="13" s="1"/>
  <c r="G36" i="13" a="1"/>
  <c r="G36" i="13" s="1"/>
  <c r="F36" i="13" a="1"/>
  <c r="F36" i="13" s="1"/>
  <c r="E36" i="13" a="1"/>
  <c r="E36" i="13" s="1"/>
  <c r="D36" i="13" a="1"/>
  <c r="D36" i="13" s="1"/>
  <c r="C36" i="13" a="1"/>
  <c r="C36" i="13" s="1"/>
  <c r="R36" i="13" s="1" a="1"/>
  <c r="R36" i="13" s="1"/>
  <c r="B36" i="13" a="1"/>
  <c r="B36" i="13" s="1"/>
  <c r="Q35" i="13" a="1"/>
  <c r="Q35" i="13" s="1"/>
  <c r="O35" i="13" a="1"/>
  <c r="O35" i="13" s="1"/>
  <c r="M35" i="13" a="1"/>
  <c r="M35" i="13" s="1"/>
  <c r="K35" i="13" a="1"/>
  <c r="K35" i="13" s="1"/>
  <c r="I35" i="13" a="1"/>
  <c r="I35" i="13" s="1"/>
  <c r="G35" i="13" a="1"/>
  <c r="G35" i="13" s="1"/>
  <c r="F35" i="13" a="1"/>
  <c r="F35" i="13" s="1"/>
  <c r="E35" i="13" a="1"/>
  <c r="E35" i="13" s="1"/>
  <c r="D35" i="13" a="1"/>
  <c r="D35" i="13" s="1"/>
  <c r="C35" i="13" a="1"/>
  <c r="C35" i="13" s="1"/>
  <c r="S35" i="13" s="1" a="1"/>
  <c r="S35" i="13" s="1"/>
  <c r="B35" i="13" a="1"/>
  <c r="B35" i="13" s="1"/>
  <c r="Q34" i="13" a="1"/>
  <c r="Q34" i="13" s="1"/>
  <c r="O34" i="13" a="1"/>
  <c r="O34" i="13" s="1"/>
  <c r="M34" i="13" a="1"/>
  <c r="M34" i="13" s="1"/>
  <c r="K34" i="13" a="1"/>
  <c r="K34" i="13" s="1"/>
  <c r="I34" i="13" a="1"/>
  <c r="I34" i="13" s="1"/>
  <c r="G34" i="13" a="1"/>
  <c r="G34" i="13" s="1"/>
  <c r="F34" i="13" a="1"/>
  <c r="F34" i="13" s="1"/>
  <c r="E34" i="13" a="1"/>
  <c r="E34" i="13" s="1"/>
  <c r="D34" i="13" a="1"/>
  <c r="D34" i="13" s="1"/>
  <c r="C34" i="13" a="1"/>
  <c r="C34" i="13" s="1"/>
  <c r="S34" i="13" s="1" a="1"/>
  <c r="S34" i="13" s="1"/>
  <c r="B34" i="13" a="1"/>
  <c r="B34" i="13" s="1"/>
  <c r="Q33" i="13" a="1"/>
  <c r="Q33" i="13" s="1"/>
  <c r="O33" i="13" a="1"/>
  <c r="O33" i="13" s="1"/>
  <c r="M33" i="13" a="1"/>
  <c r="M33" i="13" s="1"/>
  <c r="K33" i="13" a="1"/>
  <c r="K33" i="13" s="1"/>
  <c r="I33" i="13" a="1"/>
  <c r="I33" i="13" s="1"/>
  <c r="G33" i="13" a="1"/>
  <c r="G33" i="13" s="1"/>
  <c r="F33" i="13" a="1"/>
  <c r="F33" i="13" s="1"/>
  <c r="E33" i="13" a="1"/>
  <c r="E33" i="13" s="1"/>
  <c r="D33" i="13" a="1"/>
  <c r="D33" i="13" s="1"/>
  <c r="C33" i="13" a="1"/>
  <c r="C33" i="13" s="1"/>
  <c r="S33" i="13" s="1" a="1"/>
  <c r="S33" i="13" s="1"/>
  <c r="B33" i="13" a="1"/>
  <c r="B33" i="13" s="1"/>
  <c r="Q32" i="13" a="1"/>
  <c r="Q32" i="13" s="1"/>
  <c r="O32" i="13" a="1"/>
  <c r="O32" i="13" s="1"/>
  <c r="M32" i="13" a="1"/>
  <c r="M32" i="13" s="1"/>
  <c r="K32" i="13" a="1"/>
  <c r="K32" i="13" s="1"/>
  <c r="I32" i="13" a="1"/>
  <c r="I32" i="13" s="1"/>
  <c r="G32" i="13" a="1"/>
  <c r="G32" i="13" s="1"/>
  <c r="F32" i="13" a="1"/>
  <c r="F32" i="13" s="1"/>
  <c r="E32" i="13" a="1"/>
  <c r="E32" i="13" s="1"/>
  <c r="D32" i="13" a="1"/>
  <c r="D32" i="13" s="1"/>
  <c r="C32" i="13" a="1"/>
  <c r="C32" i="13" s="1"/>
  <c r="S32" i="13" s="1" a="1"/>
  <c r="S32" i="13" s="1"/>
  <c r="B32" i="13" a="1"/>
  <c r="B32" i="13" s="1"/>
  <c r="Q31" i="13" a="1"/>
  <c r="Q31" i="13" s="1"/>
  <c r="O31" i="13" a="1"/>
  <c r="O31" i="13" s="1"/>
  <c r="M31" i="13" a="1"/>
  <c r="M31" i="13" s="1"/>
  <c r="K31" i="13" a="1"/>
  <c r="K31" i="13" s="1"/>
  <c r="I31" i="13" a="1"/>
  <c r="I31" i="13" s="1"/>
  <c r="G31" i="13" a="1"/>
  <c r="G31" i="13" s="1"/>
  <c r="F31" i="13" a="1"/>
  <c r="F31" i="13" s="1"/>
  <c r="E31" i="13" a="1"/>
  <c r="E31" i="13" s="1"/>
  <c r="D31" i="13" a="1"/>
  <c r="D31" i="13" s="1"/>
  <c r="C31" i="13" a="1"/>
  <c r="C31" i="13" s="1"/>
  <c r="S31" i="13" s="1" a="1"/>
  <c r="S31" i="13" s="1"/>
  <c r="B31" i="13" a="1"/>
  <c r="B31" i="13" s="1"/>
  <c r="Q30" i="13" a="1"/>
  <c r="Q30" i="13" s="1"/>
  <c r="O30" i="13" a="1"/>
  <c r="O30" i="13" s="1"/>
  <c r="M30" i="13" a="1"/>
  <c r="M30" i="13" s="1"/>
  <c r="K30" i="13" a="1"/>
  <c r="K30" i="13" s="1"/>
  <c r="I30" i="13" a="1"/>
  <c r="I30" i="13" s="1"/>
  <c r="G30" i="13" a="1"/>
  <c r="G30" i="13" s="1"/>
  <c r="F30" i="13" a="1"/>
  <c r="F30" i="13" s="1"/>
  <c r="E30" i="13" a="1"/>
  <c r="E30" i="13" s="1"/>
  <c r="D30" i="13" a="1"/>
  <c r="D30" i="13" s="1"/>
  <c r="C30" i="13" a="1"/>
  <c r="C30" i="13" s="1"/>
  <c r="S30" i="13" s="1" a="1"/>
  <c r="S30" i="13" s="1"/>
  <c r="B30" i="13" a="1"/>
  <c r="B30" i="13" s="1"/>
  <c r="Q29" i="13" a="1"/>
  <c r="Q29" i="13" s="1"/>
  <c r="O29" i="13" a="1"/>
  <c r="O29" i="13" s="1"/>
  <c r="M29" i="13" a="1"/>
  <c r="M29" i="13" s="1"/>
  <c r="K29" i="13" a="1"/>
  <c r="K29" i="13" s="1"/>
  <c r="I29" i="13" a="1"/>
  <c r="I29" i="13" s="1"/>
  <c r="G29" i="13" a="1"/>
  <c r="G29" i="13" s="1"/>
  <c r="F29" i="13" a="1"/>
  <c r="F29" i="13" s="1"/>
  <c r="E29" i="13" a="1"/>
  <c r="E29" i="13" s="1"/>
  <c r="D29" i="13" a="1"/>
  <c r="D29" i="13" s="1"/>
  <c r="C29" i="13" a="1"/>
  <c r="C29" i="13" s="1"/>
  <c r="S29" i="13" s="1" a="1"/>
  <c r="S29" i="13" s="1"/>
  <c r="B29" i="13" a="1"/>
  <c r="B29" i="13" s="1"/>
  <c r="Q28" i="13" a="1"/>
  <c r="Q28" i="13" s="1"/>
  <c r="O28" i="13" a="1"/>
  <c r="O28" i="13" s="1"/>
  <c r="M28" i="13" a="1"/>
  <c r="M28" i="13" s="1"/>
  <c r="K28" i="13" a="1"/>
  <c r="K28" i="13" s="1"/>
  <c r="I28" i="13" a="1"/>
  <c r="I28" i="13" s="1"/>
  <c r="G28" i="13" a="1"/>
  <c r="G28" i="13" s="1"/>
  <c r="F28" i="13" a="1"/>
  <c r="F28" i="13" s="1"/>
  <c r="E28" i="13" a="1"/>
  <c r="E28" i="13" s="1"/>
  <c r="D28" i="13" a="1"/>
  <c r="D28" i="13" s="1"/>
  <c r="C28" i="13" a="1"/>
  <c r="C28" i="13" s="1"/>
  <c r="S28" i="13" s="1" a="1"/>
  <c r="S28" i="13" s="1"/>
  <c r="B28" i="13" a="1"/>
  <c r="B28" i="13" s="1"/>
  <c r="Q27" i="13" a="1"/>
  <c r="Q27" i="13" s="1"/>
  <c r="O27" i="13" a="1"/>
  <c r="O27" i="13" s="1"/>
  <c r="M27" i="13" a="1"/>
  <c r="M27" i="13" s="1"/>
  <c r="K27" i="13" a="1"/>
  <c r="K27" i="13" s="1"/>
  <c r="I27" i="13" a="1"/>
  <c r="I27" i="13" s="1"/>
  <c r="G27" i="13" a="1"/>
  <c r="G27" i="13" s="1"/>
  <c r="F27" i="13" a="1"/>
  <c r="F27" i="13" s="1"/>
  <c r="E27" i="13" a="1"/>
  <c r="E27" i="13" s="1"/>
  <c r="D27" i="13" a="1"/>
  <c r="D27" i="13" s="1"/>
  <c r="C27" i="13" a="1"/>
  <c r="C27" i="13" s="1"/>
  <c r="S27" i="13" s="1" a="1"/>
  <c r="S27" i="13" s="1"/>
  <c r="B27" i="13" a="1"/>
  <c r="B27" i="13" s="1"/>
  <c r="Q26" i="13" a="1"/>
  <c r="Q26" i="13" s="1"/>
  <c r="O26" i="13" a="1"/>
  <c r="O26" i="13" s="1"/>
  <c r="M26" i="13" a="1"/>
  <c r="M26" i="13" s="1"/>
  <c r="K26" i="13" a="1"/>
  <c r="K26" i="13" s="1"/>
  <c r="I26" i="13" a="1"/>
  <c r="I26" i="13" s="1"/>
  <c r="G26" i="13" a="1"/>
  <c r="G26" i="13" s="1"/>
  <c r="F26" i="13" a="1"/>
  <c r="F26" i="13" s="1"/>
  <c r="E26" i="13" a="1"/>
  <c r="E26" i="13" s="1"/>
  <c r="D26" i="13" a="1"/>
  <c r="D26" i="13" s="1"/>
  <c r="C26" i="13" a="1"/>
  <c r="C26" i="13" s="1"/>
  <c r="S26" i="13" s="1" a="1"/>
  <c r="S26" i="13" s="1"/>
  <c r="B26" i="13" a="1"/>
  <c r="B26" i="13" s="1"/>
  <c r="Q25" i="13" a="1"/>
  <c r="Q25" i="13" s="1"/>
  <c r="O25" i="13" a="1"/>
  <c r="O25" i="13" s="1"/>
  <c r="M25" i="13" a="1"/>
  <c r="M25" i="13" s="1"/>
  <c r="K25" i="13" a="1"/>
  <c r="K25" i="13" s="1"/>
  <c r="I25" i="13" a="1"/>
  <c r="I25" i="13" s="1"/>
  <c r="G25" i="13" a="1"/>
  <c r="G25" i="13" s="1"/>
  <c r="F25" i="13" a="1"/>
  <c r="F25" i="13" s="1"/>
  <c r="E25" i="13" a="1"/>
  <c r="E25" i="13" s="1"/>
  <c r="D25" i="13" a="1"/>
  <c r="D25" i="13" s="1"/>
  <c r="C25" i="13" a="1"/>
  <c r="C25" i="13" s="1"/>
  <c r="S25" i="13" s="1" a="1"/>
  <c r="S25" i="13" s="1"/>
  <c r="B25" i="13" a="1"/>
  <c r="B25" i="13" s="1"/>
  <c r="Q24" i="13" a="1"/>
  <c r="Q24" i="13" s="1"/>
  <c r="O24" i="13" a="1"/>
  <c r="O24" i="13" s="1"/>
  <c r="M24" i="13" a="1"/>
  <c r="M24" i="13" s="1"/>
  <c r="K24" i="13" a="1"/>
  <c r="K24" i="13" s="1"/>
  <c r="I24" i="13" a="1"/>
  <c r="I24" i="13" s="1"/>
  <c r="G24" i="13" a="1"/>
  <c r="G24" i="13" s="1"/>
  <c r="F24" i="13" a="1"/>
  <c r="F24" i="13" s="1"/>
  <c r="E24" i="13" a="1"/>
  <c r="E24" i="13" s="1"/>
  <c r="D24" i="13" a="1"/>
  <c r="D24" i="13" s="1"/>
  <c r="C24" i="13" a="1"/>
  <c r="C24" i="13" s="1"/>
  <c r="S24" i="13" s="1" a="1"/>
  <c r="S24" i="13" s="1"/>
  <c r="B24" i="13" a="1"/>
  <c r="B24" i="13" s="1"/>
  <c r="Q23" i="13" a="1"/>
  <c r="Q23" i="13" s="1"/>
  <c r="O23" i="13" a="1"/>
  <c r="O23" i="13" s="1"/>
  <c r="M23" i="13" a="1"/>
  <c r="M23" i="13" s="1"/>
  <c r="K23" i="13" a="1"/>
  <c r="K23" i="13" s="1"/>
  <c r="I23" i="13" a="1"/>
  <c r="I23" i="13" s="1"/>
  <c r="G23" i="13" a="1"/>
  <c r="G23" i="13" s="1"/>
  <c r="F23" i="13" a="1"/>
  <c r="F23" i="13" s="1"/>
  <c r="E23" i="13" a="1"/>
  <c r="E23" i="13" s="1"/>
  <c r="D23" i="13" a="1"/>
  <c r="D23" i="13" s="1"/>
  <c r="C23" i="13" a="1"/>
  <c r="C23" i="13" s="1"/>
  <c r="S23" i="13" s="1" a="1"/>
  <c r="S23" i="13" s="1"/>
  <c r="B23" i="13" a="1"/>
  <c r="B23" i="13" s="1"/>
  <c r="Q22" i="13" a="1"/>
  <c r="Q22" i="13" s="1"/>
  <c r="O22" i="13" a="1"/>
  <c r="O22" i="13" s="1"/>
  <c r="M22" i="13" a="1"/>
  <c r="M22" i="13" s="1"/>
  <c r="K22" i="13" a="1"/>
  <c r="K22" i="13" s="1"/>
  <c r="I22" i="13" a="1"/>
  <c r="I22" i="13" s="1"/>
  <c r="G22" i="13" a="1"/>
  <c r="G22" i="13" s="1"/>
  <c r="F22" i="13" a="1"/>
  <c r="F22" i="13" s="1"/>
  <c r="E22" i="13" a="1"/>
  <c r="E22" i="13" s="1"/>
  <c r="D22" i="13" a="1"/>
  <c r="D22" i="13" s="1"/>
  <c r="C22" i="13" a="1"/>
  <c r="C22" i="13" s="1"/>
  <c r="S22" i="13" s="1" a="1"/>
  <c r="S22" i="13" s="1"/>
  <c r="B22" i="13" a="1"/>
  <c r="B22" i="13" s="1"/>
  <c r="Q21" i="13" a="1"/>
  <c r="Q21" i="13" s="1"/>
  <c r="O21" i="13" a="1"/>
  <c r="O21" i="13" s="1"/>
  <c r="M21" i="13" a="1"/>
  <c r="M21" i="13" s="1"/>
  <c r="K21" i="13" a="1"/>
  <c r="K21" i="13" s="1"/>
  <c r="I21" i="13" a="1"/>
  <c r="I21" i="13" s="1"/>
  <c r="G21" i="13" a="1"/>
  <c r="G21" i="13" s="1"/>
  <c r="F21" i="13" a="1"/>
  <c r="F21" i="13" s="1"/>
  <c r="E21" i="13" a="1"/>
  <c r="E21" i="13" s="1"/>
  <c r="D21" i="13" a="1"/>
  <c r="D21" i="13" s="1"/>
  <c r="C21" i="13" a="1"/>
  <c r="C21" i="13" s="1"/>
  <c r="R21" i="13" s="1" a="1"/>
  <c r="R21" i="13" s="1"/>
  <c r="B21" i="13" a="1"/>
  <c r="B21" i="13" s="1"/>
  <c r="Q20" i="13" a="1"/>
  <c r="Q20" i="13" s="1"/>
  <c r="O20" i="13" a="1"/>
  <c r="O20" i="13" s="1"/>
  <c r="M20" i="13" a="1"/>
  <c r="M20" i="13" s="1"/>
  <c r="K20" i="13" a="1"/>
  <c r="K20" i="13" s="1"/>
  <c r="I20" i="13" a="1"/>
  <c r="I20" i="13" s="1"/>
  <c r="G20" i="13" a="1"/>
  <c r="G20" i="13" s="1"/>
  <c r="F20" i="13" a="1"/>
  <c r="F20" i="13" s="1"/>
  <c r="E20" i="13" a="1"/>
  <c r="E20" i="13" s="1"/>
  <c r="D20" i="13" a="1"/>
  <c r="D20" i="13" s="1"/>
  <c r="C20" i="13" a="1"/>
  <c r="C20" i="13" s="1"/>
  <c r="S20" i="13" s="1" a="1"/>
  <c r="S20" i="13" s="1"/>
  <c r="B20" i="13" a="1"/>
  <c r="B20" i="13" s="1"/>
  <c r="Q19" i="13" a="1"/>
  <c r="Q19" i="13" s="1"/>
  <c r="O19" i="13" a="1"/>
  <c r="O19" i="13" s="1"/>
  <c r="M19" i="13" a="1"/>
  <c r="M19" i="13" s="1"/>
  <c r="K19" i="13" a="1"/>
  <c r="K19" i="13" s="1"/>
  <c r="I19" i="13" a="1"/>
  <c r="I19" i="13" s="1"/>
  <c r="G19" i="13" a="1"/>
  <c r="G19" i="13" s="1"/>
  <c r="F19" i="13" a="1"/>
  <c r="F19" i="13" s="1"/>
  <c r="E19" i="13" a="1"/>
  <c r="E19" i="13" s="1"/>
  <c r="D19" i="13" a="1"/>
  <c r="D19" i="13" s="1"/>
  <c r="C19" i="13" a="1"/>
  <c r="C19" i="13" s="1"/>
  <c r="S19" i="13" s="1" a="1"/>
  <c r="S19" i="13" s="1"/>
  <c r="B19" i="13" a="1"/>
  <c r="B19" i="13" s="1"/>
  <c r="Q18" i="13" a="1"/>
  <c r="Q18" i="13" s="1"/>
  <c r="O18" i="13" a="1"/>
  <c r="O18" i="13" s="1"/>
  <c r="M18" i="13" a="1"/>
  <c r="M18" i="13" s="1"/>
  <c r="K18" i="13" a="1"/>
  <c r="K18" i="13" s="1"/>
  <c r="I18" i="13" a="1"/>
  <c r="I18" i="13" s="1"/>
  <c r="G18" i="13" a="1"/>
  <c r="G18" i="13" s="1"/>
  <c r="F18" i="13" a="1"/>
  <c r="F18" i="13" s="1"/>
  <c r="E18" i="13" a="1"/>
  <c r="E18" i="13" s="1"/>
  <c r="D18" i="13" a="1"/>
  <c r="D18" i="13" s="1"/>
  <c r="C18" i="13" a="1"/>
  <c r="C18" i="13" s="1"/>
  <c r="S18" i="13" s="1" a="1"/>
  <c r="S18" i="13" s="1"/>
  <c r="B18" i="13" a="1"/>
  <c r="B18" i="13" s="1"/>
  <c r="Q17" i="13" a="1"/>
  <c r="Q17" i="13" s="1"/>
  <c r="O17" i="13" a="1"/>
  <c r="O17" i="13" s="1"/>
  <c r="M17" i="13" a="1"/>
  <c r="M17" i="13" s="1"/>
  <c r="K17" i="13" a="1"/>
  <c r="K17" i="13" s="1"/>
  <c r="I17" i="13" a="1"/>
  <c r="I17" i="13" s="1"/>
  <c r="G17" i="13" a="1"/>
  <c r="G17" i="13" s="1"/>
  <c r="F17" i="13" a="1"/>
  <c r="F17" i="13" s="1"/>
  <c r="E17" i="13" a="1"/>
  <c r="E17" i="13" s="1"/>
  <c r="D17" i="13" a="1"/>
  <c r="D17" i="13" s="1"/>
  <c r="C17" i="13" a="1"/>
  <c r="C17" i="13" s="1"/>
  <c r="R17" i="13" s="1" a="1"/>
  <c r="R17" i="13" s="1"/>
  <c r="B17" i="13" a="1"/>
  <c r="B17" i="13" s="1"/>
  <c r="Q16" i="13" a="1"/>
  <c r="Q16" i="13" s="1"/>
  <c r="O16" i="13" a="1"/>
  <c r="O16" i="13" s="1"/>
  <c r="M16" i="13" a="1"/>
  <c r="M16" i="13" s="1"/>
  <c r="K16" i="13" a="1"/>
  <c r="K16" i="13" s="1"/>
  <c r="G16" i="13" a="1"/>
  <c r="G16" i="13" s="1"/>
  <c r="F16" i="13" a="1"/>
  <c r="F16" i="13" s="1"/>
  <c r="E16" i="13" a="1"/>
  <c r="E16" i="13" s="1"/>
  <c r="D16" i="13" a="1"/>
  <c r="D16" i="13" s="1"/>
  <c r="C16" i="13" a="1"/>
  <c r="C16" i="13" s="1"/>
  <c r="S16" i="13" s="1" a="1"/>
  <c r="S16" i="13" s="1"/>
  <c r="B16" i="13" a="1"/>
  <c r="B16" i="13" s="1"/>
  <c r="Q15" i="13" a="1"/>
  <c r="Q15" i="13" s="1"/>
  <c r="O15" i="13" a="1"/>
  <c r="O15" i="13" s="1"/>
  <c r="K15" i="13" a="1"/>
  <c r="K15" i="13" s="1"/>
  <c r="I15" i="13" a="1"/>
  <c r="I15" i="13" s="1"/>
  <c r="G15" i="13" a="1"/>
  <c r="G15" i="13" s="1"/>
  <c r="F15" i="13" a="1"/>
  <c r="F15" i="13" s="1"/>
  <c r="E15" i="13" a="1"/>
  <c r="E15" i="13" s="1"/>
  <c r="D15" i="13" a="1"/>
  <c r="D15" i="13" s="1"/>
  <c r="C15" i="13" a="1"/>
  <c r="C15" i="13" s="1"/>
  <c r="R15" i="13" s="1" a="1"/>
  <c r="R15" i="13" s="1"/>
  <c r="B15" i="13" a="1"/>
  <c r="B15" i="13" s="1"/>
  <c r="Q14" i="13" a="1"/>
  <c r="Q14" i="13" s="1"/>
  <c r="O14" i="13" a="1"/>
  <c r="O14" i="13" s="1"/>
  <c r="M14" i="13" a="1"/>
  <c r="M14" i="13" s="1"/>
  <c r="K14" i="13" a="1"/>
  <c r="K14" i="13" s="1"/>
  <c r="G14" i="13" a="1"/>
  <c r="G14" i="13" s="1"/>
  <c r="F14" i="13" a="1"/>
  <c r="F14" i="13" s="1"/>
  <c r="E14" i="13" a="1"/>
  <c r="E14" i="13" s="1"/>
  <c r="D14" i="13" a="1"/>
  <c r="D14" i="13" s="1"/>
  <c r="C14" i="13" a="1"/>
  <c r="C14" i="13" s="1"/>
  <c r="S14" i="13" s="1" a="1"/>
  <c r="S14" i="13" s="1"/>
  <c r="B14" i="13" a="1"/>
  <c r="B14" i="13" s="1"/>
  <c r="O13" i="13" a="1"/>
  <c r="O13" i="13" s="1"/>
  <c r="K13" i="13" a="1"/>
  <c r="K13" i="13" s="1"/>
  <c r="I13" i="13" a="1"/>
  <c r="I13" i="13" s="1"/>
  <c r="G13" i="13" a="1"/>
  <c r="G13" i="13" s="1"/>
  <c r="F13" i="13" a="1"/>
  <c r="F13" i="13" s="1"/>
  <c r="E13" i="13" a="1"/>
  <c r="E13" i="13" s="1"/>
  <c r="D13" i="13" a="1"/>
  <c r="D13" i="13" s="1"/>
  <c r="C13" i="13" a="1"/>
  <c r="C13" i="13" s="1"/>
  <c r="S13" i="13" s="1" a="1"/>
  <c r="S13" i="13" s="1"/>
  <c r="B13" i="13" a="1"/>
  <c r="B13" i="13" s="1"/>
  <c r="Q12" i="13" a="1"/>
  <c r="Q12" i="13" s="1"/>
  <c r="O12" i="13" a="1"/>
  <c r="O12" i="13" s="1"/>
  <c r="M12" i="13" a="1"/>
  <c r="M12" i="13" s="1"/>
  <c r="K12" i="13" a="1"/>
  <c r="K12" i="13" s="1"/>
  <c r="I12" i="13" a="1"/>
  <c r="I12" i="13" s="1"/>
  <c r="G12" i="13" a="1"/>
  <c r="G12" i="13" s="1"/>
  <c r="F12" i="13" a="1"/>
  <c r="F12" i="13" s="1"/>
  <c r="E12" i="13" a="1"/>
  <c r="E12" i="13" s="1"/>
  <c r="D12" i="13" a="1"/>
  <c r="D12" i="13" s="1"/>
  <c r="C12" i="13" a="1"/>
  <c r="C12" i="13" s="1"/>
  <c r="S12" i="13" s="1" a="1"/>
  <c r="S12" i="13" s="1"/>
  <c r="B12" i="13" a="1"/>
  <c r="B12" i="13" s="1"/>
  <c r="Q11" i="13" a="1"/>
  <c r="Q11" i="13" s="1"/>
  <c r="O11" i="13" a="1"/>
  <c r="O11" i="13" s="1"/>
  <c r="M11" i="13" a="1"/>
  <c r="M11" i="13" s="1"/>
  <c r="K11" i="13" a="1"/>
  <c r="K11" i="13" s="1"/>
  <c r="I11" i="13" a="1"/>
  <c r="I11" i="13" s="1"/>
  <c r="G11" i="13" a="1"/>
  <c r="G11" i="13" s="1"/>
  <c r="F11" i="13" a="1"/>
  <c r="F11" i="13" s="1"/>
  <c r="E11" i="13" a="1"/>
  <c r="E11" i="13" s="1"/>
  <c r="D11" i="13" a="1"/>
  <c r="D11" i="13" s="1"/>
  <c r="C11" i="13" a="1"/>
  <c r="C11" i="13" s="1"/>
  <c r="S11" i="13" s="1" a="1"/>
  <c r="S11" i="13" s="1"/>
  <c r="B11" i="13" a="1"/>
  <c r="B11" i="13" s="1"/>
  <c r="Q10" i="13" a="1"/>
  <c r="Q10" i="13" s="1"/>
  <c r="O10" i="13" a="1"/>
  <c r="O10" i="13" s="1"/>
  <c r="M10" i="13" a="1"/>
  <c r="M10" i="13" s="1"/>
  <c r="K10" i="13" a="1"/>
  <c r="K10" i="13" s="1"/>
  <c r="I10" i="13" a="1"/>
  <c r="I10" i="13" s="1"/>
  <c r="G10" i="13" a="1"/>
  <c r="G10" i="13" s="1"/>
  <c r="F10" i="13" a="1"/>
  <c r="F10" i="13" s="1"/>
  <c r="E10" i="13" a="1"/>
  <c r="E10" i="13" s="1"/>
  <c r="D10" i="13" a="1"/>
  <c r="D10" i="13" s="1"/>
  <c r="C10" i="13" a="1"/>
  <c r="C10" i="13" s="1"/>
  <c r="S10" i="13" s="1" a="1"/>
  <c r="S10" i="13" s="1"/>
  <c r="B10" i="13" a="1"/>
  <c r="B10" i="13" s="1"/>
  <c r="Q9" i="13" a="1"/>
  <c r="Q9" i="13" s="1"/>
  <c r="O9" i="13" a="1"/>
  <c r="O9" i="13" s="1"/>
  <c r="M9" i="13" a="1"/>
  <c r="M9" i="13" s="1"/>
  <c r="K9" i="13" a="1"/>
  <c r="K9" i="13" s="1"/>
  <c r="I9" i="13" a="1"/>
  <c r="I9" i="13" s="1"/>
  <c r="G9" i="13" a="1"/>
  <c r="G9" i="13" s="1"/>
  <c r="F9" i="13" a="1"/>
  <c r="F9" i="13" s="1"/>
  <c r="E9" i="13" a="1"/>
  <c r="E9" i="13" s="1"/>
  <c r="D9" i="13" a="1"/>
  <c r="D9" i="13" s="1"/>
  <c r="C9" i="13" a="1"/>
  <c r="C9" i="13" s="1"/>
  <c r="S9" i="13" s="1" a="1"/>
  <c r="S9" i="13" s="1"/>
  <c r="B9" i="13" a="1"/>
  <c r="B9" i="13" s="1"/>
  <c r="Q8" i="13" a="1"/>
  <c r="Q8" i="13" s="1"/>
  <c r="O8" i="13" a="1"/>
  <c r="O8" i="13" s="1"/>
  <c r="M8" i="13" a="1"/>
  <c r="M8" i="13" s="1"/>
  <c r="K8" i="13" a="1"/>
  <c r="K8" i="13" s="1"/>
  <c r="I8" i="13" a="1"/>
  <c r="I8" i="13" s="1"/>
  <c r="G8" i="13" a="1"/>
  <c r="G8" i="13" s="1"/>
  <c r="F8" i="13" a="1"/>
  <c r="F8" i="13" s="1"/>
  <c r="E8" i="13" a="1"/>
  <c r="E8" i="13" s="1"/>
  <c r="D8" i="13" a="1"/>
  <c r="D8" i="13" s="1"/>
  <c r="C8" i="13" a="1"/>
  <c r="C8" i="13" s="1"/>
  <c r="S8" i="13" s="1" a="1"/>
  <c r="S8" i="13" s="1"/>
  <c r="B8" i="13" a="1"/>
  <c r="B8" i="13" s="1"/>
  <c r="Q7" i="13" a="1"/>
  <c r="Q7" i="13" s="1"/>
  <c r="O7" i="13" a="1"/>
  <c r="O7" i="13" s="1"/>
  <c r="M7" i="13" a="1"/>
  <c r="M7" i="13" s="1"/>
  <c r="K7" i="13" a="1"/>
  <c r="K7" i="13" s="1"/>
  <c r="I7" i="13" a="1"/>
  <c r="I7" i="13" s="1"/>
  <c r="G7" i="13" a="1"/>
  <c r="G7" i="13" s="1"/>
  <c r="F7" i="13" a="1"/>
  <c r="F7" i="13" s="1"/>
  <c r="E7" i="13" a="1"/>
  <c r="E7" i="13" s="1"/>
  <c r="D7" i="13" a="1"/>
  <c r="D7" i="13" s="1"/>
  <c r="C7" i="13" a="1"/>
  <c r="C7" i="13" s="1"/>
  <c r="S7" i="13" s="1" a="1"/>
  <c r="S7" i="13" s="1"/>
  <c r="B7" i="13" a="1"/>
  <c r="B7" i="13" s="1"/>
  <c r="Q6" i="13" a="1"/>
  <c r="Q6" i="13" s="1"/>
  <c r="O6" i="13" a="1"/>
  <c r="O6" i="13" s="1"/>
  <c r="M6" i="13" a="1"/>
  <c r="M6" i="13" s="1"/>
  <c r="K6" i="13" a="1"/>
  <c r="K6" i="13" s="1"/>
  <c r="I6" i="13" a="1"/>
  <c r="I6" i="13" s="1"/>
  <c r="G6" i="13" a="1"/>
  <c r="G6" i="13" s="1"/>
  <c r="F6" i="13" a="1"/>
  <c r="F6" i="13" s="1"/>
  <c r="E6" i="13" a="1"/>
  <c r="E6" i="13" s="1"/>
  <c r="D6" i="13" a="1"/>
  <c r="D6" i="13" s="1"/>
  <c r="C6" i="13" a="1"/>
  <c r="C6" i="13" s="1"/>
  <c r="S6" i="13" s="1" a="1"/>
  <c r="S6" i="13" s="1"/>
  <c r="B6" i="13" a="1"/>
  <c r="B6" i="13" s="1"/>
  <c r="Q5" i="13" a="1"/>
  <c r="Q5" i="13" s="1"/>
  <c r="O5" i="13" a="1"/>
  <c r="O5" i="13" s="1"/>
  <c r="M5" i="13" a="1"/>
  <c r="M5" i="13" s="1"/>
  <c r="K5" i="13" a="1"/>
  <c r="K5" i="13" s="1"/>
  <c r="I5" i="13" a="1"/>
  <c r="I5" i="13" s="1"/>
  <c r="G5" i="13" a="1"/>
  <c r="G5" i="13" s="1"/>
  <c r="F5" i="13" a="1"/>
  <c r="F5" i="13" s="1"/>
  <c r="E5" i="13" a="1"/>
  <c r="E5" i="13" s="1"/>
  <c r="D5" i="13" a="1"/>
  <c r="D5" i="13" s="1"/>
  <c r="C5" i="13" a="1"/>
  <c r="C5" i="13" s="1"/>
  <c r="S5" i="13" s="1" a="1"/>
  <c r="S5" i="13" s="1"/>
  <c r="B5" i="13" a="1"/>
  <c r="B5" i="13" s="1"/>
  <c r="Q4" i="13" a="1"/>
  <c r="Q4" i="13" s="1"/>
  <c r="O4" i="13" a="1"/>
  <c r="O4" i="13" s="1"/>
  <c r="M4" i="13" a="1"/>
  <c r="M4" i="13" s="1"/>
  <c r="K4" i="13" a="1"/>
  <c r="K4" i="13" s="1"/>
  <c r="I4" i="13" a="1"/>
  <c r="I4" i="13" s="1"/>
  <c r="G4" i="13" a="1"/>
  <c r="G4" i="13" s="1"/>
  <c r="F4" i="13" a="1"/>
  <c r="F4" i="13" s="1"/>
  <c r="E4" i="13" a="1"/>
  <c r="E4" i="13" s="1"/>
  <c r="D4" i="13" a="1"/>
  <c r="D4" i="13" s="1"/>
  <c r="C4" i="13" a="1"/>
  <c r="C4" i="13" s="1"/>
  <c r="S4" i="13" s="1" a="1"/>
  <c r="S4" i="13" s="1"/>
  <c r="B4" i="13" a="1"/>
  <c r="B4" i="13" s="1"/>
  <c r="Q3" i="13" a="1"/>
  <c r="Q3" i="13" s="1"/>
  <c r="O3" i="13" a="1"/>
  <c r="O3" i="13" s="1"/>
  <c r="M3" i="13" a="1"/>
  <c r="M3" i="13" s="1"/>
  <c r="K3" i="13" a="1"/>
  <c r="K3" i="13" s="1"/>
  <c r="I3" i="13" a="1"/>
  <c r="I3" i="13" s="1"/>
  <c r="G3" i="13" a="1"/>
  <c r="G3" i="13" s="1"/>
  <c r="F3" i="13" a="1"/>
  <c r="F3" i="13" s="1"/>
  <c r="E3" i="13" a="1"/>
  <c r="E3" i="13" s="1"/>
  <c r="D3" i="13" a="1"/>
  <c r="D3" i="13" s="1"/>
  <c r="C3" i="13" a="1"/>
  <c r="C3" i="13" s="1"/>
  <c r="S3" i="13" s="1" a="1"/>
  <c r="S3" i="13" s="1"/>
  <c r="B3" i="13" a="1"/>
  <c r="B3" i="13" s="1"/>
  <c r="K12" i="12" a="1"/>
  <c r="K12" i="12" s="1"/>
  <c r="S21" i="13" l="1" a="1"/>
  <c r="S21" i="13" s="1"/>
  <c r="R37" i="13" a="1"/>
  <c r="R37" i="13" s="1"/>
  <c r="R43" i="13" a="1"/>
  <c r="R43" i="13" s="1"/>
  <c r="R29" i="13" a="1"/>
  <c r="R29" i="13" s="1"/>
  <c r="R31" i="13" a="1"/>
  <c r="R31" i="13" s="1"/>
  <c r="R39" i="13" a="1"/>
  <c r="R39" i="13" s="1"/>
  <c r="R45" i="13" a="1"/>
  <c r="R45" i="13" s="1"/>
  <c r="R33" i="13" a="1"/>
  <c r="R33" i="13" s="1"/>
  <c r="R41" i="13" a="1"/>
  <c r="R41" i="13" s="1"/>
  <c r="R47" i="13" a="1"/>
  <c r="R47" i="13" s="1"/>
  <c r="R35" i="13" a="1"/>
  <c r="R35" i="13" s="1"/>
  <c r="S17" i="13" a="1"/>
  <c r="S17" i="13" s="1"/>
  <c r="R24" i="13" a="1"/>
  <c r="R24" i="13" s="1"/>
  <c r="R27" i="13" a="1"/>
  <c r="R27" i="13" s="1"/>
  <c r="R30" i="13" a="1"/>
  <c r="R30" i="13" s="1"/>
  <c r="S36" i="13" a="1"/>
  <c r="S36" i="13" s="1"/>
  <c r="S42" i="13" a="1"/>
  <c r="S42" i="13" s="1"/>
  <c r="R13" i="13" a="1"/>
  <c r="R13" i="13" s="1"/>
  <c r="R18" i="13" a="1"/>
  <c r="R18" i="13" s="1"/>
  <c r="R34" i="13" a="1"/>
  <c r="R34" i="13" s="1"/>
  <c r="R40" i="13" a="1"/>
  <c r="R40" i="13" s="1"/>
  <c r="R46" i="13" a="1"/>
  <c r="R46" i="13" s="1"/>
  <c r="R14" i="13" a="1"/>
  <c r="R14" i="13" s="1"/>
  <c r="R22" i="13" a="1"/>
  <c r="R22" i="13" s="1"/>
  <c r="R25" i="13" a="1"/>
  <c r="R25" i="13" s="1"/>
  <c r="R28" i="13" a="1"/>
  <c r="R28" i="13" s="1"/>
  <c r="S15" i="13" a="1"/>
  <c r="S15" i="13" s="1"/>
  <c r="R19" i="13" a="1"/>
  <c r="R19" i="13" s="1"/>
  <c r="R38" i="13" a="1"/>
  <c r="R38" i="13" s="1"/>
  <c r="R44" i="13" a="1"/>
  <c r="R44" i="13" s="1"/>
  <c r="R16" i="13" a="1"/>
  <c r="R16" i="13" s="1"/>
  <c r="R20" i="13" a="1"/>
  <c r="R20" i="13" s="1"/>
  <c r="R23" i="13" a="1"/>
  <c r="R23" i="13" s="1"/>
  <c r="R26" i="13" a="1"/>
  <c r="R26" i="13" s="1"/>
  <c r="R32" i="13" a="1"/>
  <c r="R32" i="13" s="1"/>
  <c r="L31" i="12" a="1"/>
  <c r="L31" i="12" s="1"/>
  <c r="K11" i="12" a="1"/>
  <c r="K11" i="12" s="1"/>
  <c r="L46" i="12" a="1"/>
  <c r="L46" i="12" s="1"/>
  <c r="K46" i="12" a="1"/>
  <c r="K46" i="12" s="1"/>
  <c r="J46" i="12" a="1"/>
  <c r="J46" i="12" s="1"/>
  <c r="L45" i="12" a="1"/>
  <c r="L45" i="12" s="1"/>
  <c r="K45" i="12" a="1"/>
  <c r="K45" i="12" s="1"/>
  <c r="J45" i="12" a="1"/>
  <c r="J45" i="12" s="1"/>
  <c r="L44" i="12" a="1"/>
  <c r="L44" i="12" s="1"/>
  <c r="K44" i="12" a="1"/>
  <c r="K44" i="12" s="1"/>
  <c r="J44" i="12" a="1"/>
  <c r="J44" i="12" s="1"/>
  <c r="L43" i="12" a="1"/>
  <c r="L43" i="12" s="1"/>
  <c r="K43" i="12" a="1"/>
  <c r="K43" i="12" s="1"/>
  <c r="J43" i="12" a="1"/>
  <c r="J43" i="12" s="1"/>
  <c r="L42" i="12" a="1"/>
  <c r="L42" i="12" s="1"/>
  <c r="K42" i="12" a="1"/>
  <c r="K42" i="12" s="1"/>
  <c r="J42" i="12" a="1"/>
  <c r="J42" i="12" s="1"/>
  <c r="L41" i="12" a="1"/>
  <c r="L41" i="12" s="1"/>
  <c r="K41" i="12" a="1"/>
  <c r="K41" i="12" s="1"/>
  <c r="J41" i="12" a="1"/>
  <c r="J41" i="12" s="1"/>
  <c r="L40" i="12" a="1"/>
  <c r="L40" i="12" s="1"/>
  <c r="K40" i="12" a="1"/>
  <c r="K40" i="12" s="1"/>
  <c r="J40" i="12" a="1"/>
  <c r="J40" i="12" s="1"/>
  <c r="L39" i="12" a="1"/>
  <c r="L39" i="12" s="1"/>
  <c r="K39" i="12" a="1"/>
  <c r="K39" i="12" s="1"/>
  <c r="J39" i="12" a="1"/>
  <c r="J39" i="12" s="1"/>
  <c r="L38" i="12" a="1"/>
  <c r="L38" i="12" s="1"/>
  <c r="K38" i="12" a="1"/>
  <c r="K38" i="12" s="1"/>
  <c r="J38" i="12" a="1"/>
  <c r="J38" i="12" s="1"/>
  <c r="L37" i="12" a="1"/>
  <c r="L37" i="12" s="1"/>
  <c r="K37" i="12" a="1"/>
  <c r="K37" i="12" s="1"/>
  <c r="J37" i="12" a="1"/>
  <c r="J37" i="12" s="1"/>
  <c r="L36" i="12" a="1"/>
  <c r="L36" i="12" s="1"/>
  <c r="K36" i="12" a="1"/>
  <c r="K36" i="12" s="1"/>
  <c r="J36" i="12" a="1"/>
  <c r="J36" i="12" s="1"/>
  <c r="L35" i="12" a="1"/>
  <c r="L35" i="12" s="1"/>
  <c r="K35" i="12" a="1"/>
  <c r="K35" i="12" s="1"/>
  <c r="J35" i="12" a="1"/>
  <c r="J35" i="12" s="1"/>
  <c r="L34" i="12" a="1"/>
  <c r="L34" i="12" s="1"/>
  <c r="K34" i="12" a="1"/>
  <c r="K34" i="12" s="1"/>
  <c r="J34" i="12" a="1"/>
  <c r="J34" i="12" s="1"/>
  <c r="L33" i="12" a="1"/>
  <c r="L33" i="12" s="1"/>
  <c r="K33" i="12" a="1"/>
  <c r="K33" i="12" s="1"/>
  <c r="J33" i="12" a="1"/>
  <c r="J33" i="12" s="1"/>
  <c r="L32" i="12" a="1"/>
  <c r="L32" i="12" s="1"/>
  <c r="K32" i="12" a="1"/>
  <c r="K32" i="12" s="1"/>
  <c r="J32" i="12" a="1"/>
  <c r="J32" i="12" s="1"/>
  <c r="K31" i="12" a="1"/>
  <c r="K31" i="12" s="1"/>
  <c r="J31" i="12" a="1"/>
  <c r="J31" i="12" s="1"/>
  <c r="L30" i="12" a="1"/>
  <c r="L30" i="12" s="1"/>
  <c r="K30" i="12" a="1"/>
  <c r="K30" i="12" s="1"/>
  <c r="J30" i="12" a="1"/>
  <c r="J30" i="12" s="1"/>
  <c r="L29" i="12" a="1"/>
  <c r="L29" i="12" s="1"/>
  <c r="K29" i="12" a="1"/>
  <c r="K29" i="12" s="1"/>
  <c r="J29" i="12" a="1"/>
  <c r="J29" i="12" s="1"/>
  <c r="L28" i="12" a="1"/>
  <c r="L28" i="12" s="1"/>
  <c r="K28" i="12" a="1"/>
  <c r="K28" i="12" s="1"/>
  <c r="J28" i="12" a="1"/>
  <c r="J28" i="12" s="1"/>
  <c r="L27" i="12" a="1"/>
  <c r="L27" i="12" s="1"/>
  <c r="K27" i="12" a="1"/>
  <c r="K27" i="12" s="1"/>
  <c r="J27" i="12" a="1"/>
  <c r="J27" i="12" s="1"/>
  <c r="L26" i="12" a="1"/>
  <c r="L26" i="12" s="1"/>
  <c r="K26" i="12" a="1"/>
  <c r="K26" i="12" s="1"/>
  <c r="J26" i="12" a="1"/>
  <c r="J26" i="12" s="1"/>
  <c r="L25" i="12" a="1"/>
  <c r="L25" i="12" s="1"/>
  <c r="K25" i="12" a="1"/>
  <c r="K25" i="12" s="1"/>
  <c r="J25" i="12" a="1"/>
  <c r="J25" i="12" s="1"/>
  <c r="L24" i="12" a="1"/>
  <c r="L24" i="12" s="1"/>
  <c r="K24" i="12" a="1"/>
  <c r="K24" i="12" s="1"/>
  <c r="J24" i="12" a="1"/>
  <c r="J24" i="12" s="1"/>
  <c r="L23" i="12" a="1"/>
  <c r="L23" i="12" s="1"/>
  <c r="K23" i="12" a="1"/>
  <c r="K23" i="12" s="1"/>
  <c r="J23" i="12" a="1"/>
  <c r="J23" i="12" s="1"/>
  <c r="L22" i="12" a="1"/>
  <c r="L22" i="12" s="1"/>
  <c r="K22" i="12" a="1"/>
  <c r="K22" i="12" s="1"/>
  <c r="J22" i="12" a="1"/>
  <c r="J22" i="12" s="1"/>
  <c r="L21" i="12" a="1"/>
  <c r="L21" i="12" s="1"/>
  <c r="K21" i="12" a="1"/>
  <c r="K21" i="12" s="1"/>
  <c r="J21" i="12" a="1"/>
  <c r="J21" i="12" s="1"/>
  <c r="L20" i="12" a="1"/>
  <c r="L20" i="12" s="1"/>
  <c r="K20" i="12" a="1"/>
  <c r="K20" i="12" s="1"/>
  <c r="J20" i="12" a="1"/>
  <c r="J20" i="12" s="1"/>
  <c r="L19" i="12" a="1"/>
  <c r="L19" i="12" s="1"/>
  <c r="K19" i="12" a="1"/>
  <c r="K19" i="12" s="1"/>
  <c r="J19" i="12" a="1"/>
  <c r="J19" i="12" s="1"/>
  <c r="L18" i="12" a="1"/>
  <c r="L18" i="12" s="1"/>
  <c r="K18" i="12" a="1"/>
  <c r="K18" i="12" s="1"/>
  <c r="J18" i="12" a="1"/>
  <c r="J18" i="12" s="1"/>
  <c r="L17" i="12" a="1"/>
  <c r="L17" i="12" s="1"/>
  <c r="K17" i="12" a="1"/>
  <c r="K17" i="12" s="1"/>
  <c r="J17" i="12" a="1"/>
  <c r="J17" i="12" s="1"/>
  <c r="L16" i="12" a="1"/>
  <c r="L16" i="12" s="1"/>
  <c r="K16" i="12" a="1"/>
  <c r="K16" i="12" s="1"/>
  <c r="J16" i="12" a="1"/>
  <c r="J16" i="12" s="1"/>
  <c r="L15" i="12" a="1"/>
  <c r="L15" i="12" s="1"/>
  <c r="K15" i="12" a="1"/>
  <c r="K15" i="12" s="1"/>
  <c r="J15" i="12" a="1"/>
  <c r="J15" i="12" s="1"/>
  <c r="L14" i="12" a="1"/>
  <c r="L14" i="12" s="1"/>
  <c r="K14" i="12" a="1"/>
  <c r="K14" i="12" s="1"/>
  <c r="J14" i="12" a="1"/>
  <c r="J14" i="12" s="1"/>
  <c r="L13" i="12" a="1"/>
  <c r="L13" i="12" s="1"/>
  <c r="K13" i="12" a="1"/>
  <c r="K13" i="12" s="1"/>
  <c r="J13" i="12" a="1"/>
  <c r="J13" i="12" s="1"/>
  <c r="L12" i="12" a="1"/>
  <c r="L12" i="12" s="1"/>
  <c r="J12" i="12" a="1"/>
  <c r="J12" i="12" s="1"/>
  <c r="L11" i="12" a="1"/>
  <c r="L11" i="12" s="1"/>
  <c r="J11" i="12" a="1"/>
  <c r="J11" i="12" s="1"/>
  <c r="L10" i="12" a="1"/>
  <c r="L10" i="12" s="1"/>
  <c r="K10" i="12" a="1"/>
  <c r="K10" i="12" s="1"/>
  <c r="J10" i="12" a="1"/>
  <c r="J10" i="12" s="1"/>
  <c r="L9" i="12" a="1"/>
  <c r="L9" i="12" s="1"/>
  <c r="K9" i="12" a="1"/>
  <c r="K9" i="12" s="1"/>
  <c r="J9" i="12" a="1"/>
  <c r="J9" i="12" s="1"/>
  <c r="L8" i="12" a="1"/>
  <c r="L8" i="12" s="1"/>
  <c r="K8" i="12" a="1"/>
  <c r="K8" i="12" s="1"/>
  <c r="J8" i="12" a="1"/>
  <c r="J8" i="12" s="1"/>
  <c r="L7" i="12" a="1"/>
  <c r="L7" i="12" s="1"/>
  <c r="K7" i="12" a="1"/>
  <c r="K7" i="12" s="1"/>
  <c r="J7" i="12" a="1"/>
  <c r="J7" i="12" s="1"/>
  <c r="L6" i="12" a="1"/>
  <c r="L6" i="12" s="1"/>
  <c r="K6" i="12" a="1"/>
  <c r="K6" i="12" s="1"/>
  <c r="J6" i="12" a="1"/>
  <c r="J6" i="12" s="1"/>
  <c r="L5" i="12" a="1"/>
  <c r="L5" i="12" s="1"/>
  <c r="K5" i="12" a="1"/>
  <c r="K5" i="12" s="1"/>
  <c r="J5" i="12" a="1"/>
  <c r="J5" i="12" s="1"/>
  <c r="L4" i="12" a="1"/>
  <c r="L4" i="12" s="1"/>
  <c r="K4" i="12" a="1"/>
  <c r="K4" i="12" s="1"/>
  <c r="J4" i="12" a="1"/>
  <c r="J4" i="12" s="1"/>
  <c r="L3" i="12" a="1"/>
  <c r="L3" i="12" s="1"/>
  <c r="K3" i="12" a="1"/>
  <c r="K3" i="12" s="1"/>
  <c r="J3" i="12" a="1"/>
  <c r="J3" i="12" s="1"/>
  <c r="L2" i="12" a="1"/>
  <c r="L2" i="12" s="1"/>
  <c r="K2" i="12" a="1"/>
  <c r="K2" i="12" s="1"/>
  <c r="J2" i="12" a="1"/>
  <c r="J2" i="12" s="1"/>
  <c r="I46" i="12" a="1"/>
  <c r="I46" i="12" s="1"/>
  <c r="I45" i="12" a="1"/>
  <c r="I45" i="12" s="1"/>
  <c r="I44" i="12" a="1"/>
  <c r="I44" i="12" s="1"/>
  <c r="I43" i="12" a="1"/>
  <c r="I43" i="12" s="1"/>
  <c r="I42" i="12" a="1"/>
  <c r="I42" i="12" s="1"/>
  <c r="I41" i="12" a="1"/>
  <c r="I41" i="12" s="1"/>
  <c r="I40" i="12" a="1"/>
  <c r="I40" i="12" s="1"/>
  <c r="I39" i="12" a="1"/>
  <c r="I39" i="12" s="1"/>
  <c r="I38" i="12" a="1"/>
  <c r="I38" i="12" s="1"/>
  <c r="I37" i="12" a="1"/>
  <c r="I37" i="12" s="1"/>
  <c r="I36" i="12" a="1"/>
  <c r="I36" i="12" s="1"/>
  <c r="I35" i="12" a="1"/>
  <c r="I35" i="12" s="1"/>
  <c r="I34" i="12" a="1"/>
  <c r="I34" i="12" s="1"/>
  <c r="I33" i="12" a="1"/>
  <c r="I33" i="12" s="1"/>
  <c r="I32" i="12" a="1"/>
  <c r="I32" i="12" s="1"/>
  <c r="I31" i="12" a="1"/>
  <c r="I31" i="12" s="1"/>
  <c r="I30" i="12" a="1"/>
  <c r="I30" i="12" s="1"/>
  <c r="I29" i="12" a="1"/>
  <c r="I29" i="12" s="1"/>
  <c r="I28" i="12" a="1"/>
  <c r="I28" i="12" s="1"/>
  <c r="I27" i="12" a="1"/>
  <c r="I27" i="12" s="1"/>
  <c r="I26" i="12" a="1"/>
  <c r="I26" i="12" s="1"/>
  <c r="I25" i="12" a="1"/>
  <c r="I25" i="12" s="1"/>
  <c r="I24" i="12" a="1"/>
  <c r="I24" i="12" s="1"/>
  <c r="I23" i="12" a="1"/>
  <c r="I23" i="12" s="1"/>
  <c r="I22" i="12" a="1"/>
  <c r="I22" i="12" s="1"/>
  <c r="I21" i="12" a="1"/>
  <c r="I21" i="12" s="1"/>
  <c r="I20" i="12" a="1"/>
  <c r="I20" i="12" s="1"/>
  <c r="I19" i="12" a="1"/>
  <c r="I19" i="12" s="1"/>
  <c r="I18" i="12" a="1"/>
  <c r="I18" i="12" s="1"/>
  <c r="I17" i="12" a="1"/>
  <c r="I17" i="12" s="1"/>
  <c r="I16" i="12" a="1"/>
  <c r="I16" i="12" s="1"/>
  <c r="I15" i="12" a="1"/>
  <c r="I15" i="12" s="1"/>
  <c r="I14" i="12" a="1"/>
  <c r="I14" i="12" s="1"/>
  <c r="I13" i="12" a="1"/>
  <c r="I13" i="12" s="1"/>
  <c r="I12" i="12" a="1"/>
  <c r="I12" i="12" s="1"/>
  <c r="I11" i="12" a="1"/>
  <c r="I11" i="12" s="1"/>
  <c r="I10" i="12" a="1"/>
  <c r="I10" i="12" s="1"/>
  <c r="I9" i="12" a="1"/>
  <c r="I9" i="12" s="1"/>
  <c r="I8" i="12" a="1"/>
  <c r="I8" i="12" s="1"/>
  <c r="I7" i="12" a="1"/>
  <c r="I7" i="12" s="1"/>
  <c r="I6" i="12" a="1"/>
  <c r="I6" i="12" s="1"/>
  <c r="I5" i="12" a="1"/>
  <c r="I5" i="12" s="1"/>
  <c r="I4" i="12" a="1"/>
  <c r="I4" i="12" s="1"/>
  <c r="I3" i="12" a="1"/>
  <c r="I3" i="12" s="1"/>
  <c r="I2" i="12" a="1"/>
  <c r="I2" i="12" s="1"/>
  <c r="H6" i="12" a="1"/>
  <c r="H6" i="12" s="1"/>
  <c r="H17" i="12" a="1"/>
  <c r="H17" i="12" s="1"/>
  <c r="H2" i="12" a="1"/>
  <c r="H2" i="12" s="1"/>
  <c r="H46" i="12" a="1"/>
  <c r="H46" i="12" s="1"/>
  <c r="H45" i="12" a="1"/>
  <c r="H45" i="12" s="1"/>
  <c r="H44" i="12" a="1"/>
  <c r="H44" i="12" s="1"/>
  <c r="H43" i="12" a="1"/>
  <c r="H43" i="12" s="1"/>
  <c r="H42" i="12" a="1"/>
  <c r="H42" i="12" s="1"/>
  <c r="H41" i="12" a="1"/>
  <c r="H41" i="12" s="1"/>
  <c r="H40" i="12" a="1"/>
  <c r="H40" i="12" s="1"/>
  <c r="H39" i="12" a="1"/>
  <c r="H39" i="12" s="1"/>
  <c r="H38" i="12" a="1"/>
  <c r="H38" i="12" s="1"/>
  <c r="H37" i="12" a="1"/>
  <c r="H37" i="12" s="1"/>
  <c r="H36" i="12" a="1"/>
  <c r="H36" i="12" s="1"/>
  <c r="H35" i="12" a="1"/>
  <c r="H35" i="12" s="1"/>
  <c r="H34" i="12" a="1"/>
  <c r="H34" i="12" s="1"/>
  <c r="H33" i="12" a="1"/>
  <c r="H33" i="12" s="1"/>
  <c r="H32" i="12" a="1"/>
  <c r="H32" i="12" s="1"/>
  <c r="H31" i="12" a="1"/>
  <c r="H31" i="12" s="1"/>
  <c r="H30" i="12" a="1"/>
  <c r="H30" i="12" s="1"/>
  <c r="H29" i="12" a="1"/>
  <c r="H29" i="12" s="1"/>
  <c r="H28" i="12" a="1"/>
  <c r="H28" i="12" s="1"/>
  <c r="H27" i="12" a="1"/>
  <c r="H27" i="12" s="1"/>
  <c r="H26" i="12" a="1"/>
  <c r="H26" i="12" s="1"/>
  <c r="H25" i="12" a="1"/>
  <c r="H25" i="12" s="1"/>
  <c r="H24" i="12" a="1"/>
  <c r="H24" i="12" s="1"/>
  <c r="H23" i="12" a="1"/>
  <c r="H23" i="12" s="1"/>
  <c r="H22" i="12" a="1"/>
  <c r="H22" i="12" s="1"/>
  <c r="H21" i="12" a="1"/>
  <c r="H21" i="12" s="1"/>
  <c r="H20" i="12" a="1"/>
  <c r="H20" i="12" s="1"/>
  <c r="H19" i="12" a="1"/>
  <c r="H19" i="12" s="1"/>
  <c r="H18" i="12" a="1"/>
  <c r="H18" i="12" s="1"/>
  <c r="H16" i="12" a="1"/>
  <c r="H16" i="12" s="1"/>
  <c r="H15" i="12" a="1"/>
  <c r="H15" i="12" s="1"/>
  <c r="H14" i="12" a="1"/>
  <c r="H14" i="12" s="1"/>
  <c r="H13" i="12" a="1"/>
  <c r="H13" i="12" s="1"/>
  <c r="H12" i="12" a="1"/>
  <c r="H12" i="12" s="1"/>
  <c r="H11" i="12" a="1"/>
  <c r="H11" i="12" s="1"/>
  <c r="H10" i="12" a="1"/>
  <c r="H10" i="12" s="1"/>
  <c r="H9" i="12" a="1"/>
  <c r="H9" i="12" s="1"/>
  <c r="H8" i="12" a="1"/>
  <c r="H8" i="12" s="1"/>
  <c r="H7" i="12" a="1"/>
  <c r="H7" i="12" s="1"/>
  <c r="H5" i="12" a="1"/>
  <c r="H5" i="12" s="1"/>
  <c r="H4" i="12" a="1"/>
  <c r="H4" i="12" s="1"/>
  <c r="H3" i="12" a="1"/>
  <c r="H3" i="12" s="1"/>
  <c r="C16" i="12" a="1"/>
  <c r="C16" i="12" s="1"/>
  <c r="D36" i="12" a="1"/>
  <c r="D36" i="12" s="1"/>
  <c r="G3" i="12" a="1"/>
  <c r="G3" i="12" s="1"/>
  <c r="G4" i="12" a="1"/>
  <c r="G4" i="12" s="1"/>
  <c r="G5" i="12" a="1"/>
  <c r="G5" i="12" s="1"/>
  <c r="G6" i="12" a="1"/>
  <c r="G6" i="12" s="1"/>
  <c r="G7" i="12" a="1"/>
  <c r="G7" i="12" s="1"/>
  <c r="G8" i="12" a="1"/>
  <c r="G8" i="12" s="1"/>
  <c r="G9" i="12" a="1"/>
  <c r="G9" i="12" s="1"/>
  <c r="G10" i="12" a="1"/>
  <c r="G10" i="12" s="1"/>
  <c r="G11" i="12" a="1"/>
  <c r="G11" i="12" s="1"/>
  <c r="G12" i="12" a="1"/>
  <c r="G12" i="12" s="1"/>
  <c r="G13" i="12" a="1"/>
  <c r="G13" i="12" s="1"/>
  <c r="G15" i="12" a="1"/>
  <c r="G15" i="12" s="1"/>
  <c r="G16" i="12" a="1"/>
  <c r="G16" i="12" s="1"/>
  <c r="G17" i="12" a="1"/>
  <c r="G17" i="12" s="1"/>
  <c r="G18" i="12" a="1"/>
  <c r="G18" i="12" s="1"/>
  <c r="G19" i="12" a="1"/>
  <c r="G19" i="12" s="1"/>
  <c r="G20" i="12" a="1"/>
  <c r="G20" i="12" s="1"/>
  <c r="G21" i="12" a="1"/>
  <c r="G21" i="12" s="1"/>
  <c r="G22" i="12" a="1"/>
  <c r="G22" i="12" s="1"/>
  <c r="G23" i="12" a="1"/>
  <c r="G23" i="12" s="1"/>
  <c r="G24" i="12" a="1"/>
  <c r="G24" i="12" s="1"/>
  <c r="G25" i="12" a="1"/>
  <c r="G25" i="12" s="1"/>
  <c r="G26" i="12" a="1"/>
  <c r="G26" i="12" s="1"/>
  <c r="G27" i="12" a="1"/>
  <c r="G27" i="12" s="1"/>
  <c r="G28" i="12" a="1"/>
  <c r="G28" i="12" s="1"/>
  <c r="G29" i="12" a="1"/>
  <c r="G29" i="12" s="1"/>
  <c r="G30" i="12" a="1"/>
  <c r="G30" i="12" s="1"/>
  <c r="G31" i="12" a="1"/>
  <c r="G31" i="12" s="1"/>
  <c r="G32" i="12" a="1"/>
  <c r="G32" i="12" s="1"/>
  <c r="G33" i="12" a="1"/>
  <c r="G33" i="12" s="1"/>
  <c r="G34" i="12" a="1"/>
  <c r="G34" i="12" s="1"/>
  <c r="G35" i="12" a="1"/>
  <c r="G35" i="12" s="1"/>
  <c r="G36" i="12" a="1"/>
  <c r="G36" i="12" s="1"/>
  <c r="G37" i="12" a="1"/>
  <c r="G37" i="12" s="1"/>
  <c r="G38" i="12" a="1"/>
  <c r="G38" i="12" s="1"/>
  <c r="G39" i="12" a="1"/>
  <c r="G39" i="12" s="1"/>
  <c r="G40" i="12" a="1"/>
  <c r="G40" i="12" s="1"/>
  <c r="G41" i="12" a="1"/>
  <c r="G41" i="12" s="1"/>
  <c r="G42" i="12" a="1"/>
  <c r="G42" i="12" s="1"/>
  <c r="G43" i="12" a="1"/>
  <c r="G43" i="12" s="1"/>
  <c r="G44" i="12" a="1"/>
  <c r="G44" i="12" s="1"/>
  <c r="G45" i="12" a="1"/>
  <c r="G45" i="12" s="1"/>
  <c r="G46" i="12" a="1"/>
  <c r="G46" i="12" s="1"/>
  <c r="F3" i="12" a="1"/>
  <c r="F3" i="12" s="1"/>
  <c r="F4" i="12" a="1"/>
  <c r="F4" i="12" s="1"/>
  <c r="F5" i="12" a="1"/>
  <c r="F5" i="12" s="1"/>
  <c r="F6" i="12" a="1"/>
  <c r="F6" i="12" s="1"/>
  <c r="F7" i="12" a="1"/>
  <c r="F7" i="12" s="1"/>
  <c r="F8" i="12" a="1"/>
  <c r="F8" i="12" s="1"/>
  <c r="F9" i="12" a="1"/>
  <c r="F9" i="12" s="1"/>
  <c r="F10" i="12" a="1"/>
  <c r="F10" i="12" s="1"/>
  <c r="F11" i="12" a="1"/>
  <c r="F11" i="12" s="1"/>
  <c r="F12" i="12" a="1"/>
  <c r="F12" i="12" s="1"/>
  <c r="F13" i="12" a="1"/>
  <c r="F13" i="12" s="1"/>
  <c r="F14" i="12" a="1"/>
  <c r="F14" i="12" s="1"/>
  <c r="F15" i="12" a="1"/>
  <c r="F15" i="12" s="1"/>
  <c r="F16" i="12" a="1"/>
  <c r="F16" i="12" s="1"/>
  <c r="F17" i="12" a="1"/>
  <c r="F17" i="12" s="1"/>
  <c r="F18" i="12" a="1"/>
  <c r="F18" i="12" s="1"/>
  <c r="F19" i="12" a="1"/>
  <c r="F19" i="12" s="1"/>
  <c r="F20" i="12" a="1"/>
  <c r="F20" i="12" s="1"/>
  <c r="F21" i="12" a="1"/>
  <c r="F21" i="12" s="1"/>
  <c r="F22" i="12" a="1"/>
  <c r="F22" i="12" s="1"/>
  <c r="F23" i="12" a="1"/>
  <c r="F23" i="12" s="1"/>
  <c r="F24" i="12" a="1"/>
  <c r="F24" i="12" s="1"/>
  <c r="F25" i="12" a="1"/>
  <c r="F25" i="12" s="1"/>
  <c r="F26" i="12" a="1"/>
  <c r="F26" i="12" s="1"/>
  <c r="F27" i="12" a="1"/>
  <c r="F27" i="12" s="1"/>
  <c r="F28" i="12" a="1"/>
  <c r="F28" i="12" s="1"/>
  <c r="F29" i="12" a="1"/>
  <c r="F29" i="12" s="1"/>
  <c r="F30" i="12" a="1"/>
  <c r="F30" i="12" s="1"/>
  <c r="F31" i="12" a="1"/>
  <c r="F31" i="12" s="1"/>
  <c r="F32" i="12" a="1"/>
  <c r="F32" i="12" s="1"/>
  <c r="F33" i="12" a="1"/>
  <c r="F33" i="12" s="1"/>
  <c r="F34" i="12" a="1"/>
  <c r="F34" i="12" s="1"/>
  <c r="F35" i="12" a="1"/>
  <c r="F35" i="12" s="1"/>
  <c r="F36" i="12" a="1"/>
  <c r="F36" i="12" s="1"/>
  <c r="F37" i="12" a="1"/>
  <c r="F37" i="12" s="1"/>
  <c r="F38" i="12" a="1"/>
  <c r="F38" i="12" s="1"/>
  <c r="F39" i="12" a="1"/>
  <c r="F39" i="12" s="1"/>
  <c r="F40" i="12" a="1"/>
  <c r="F40" i="12" s="1"/>
  <c r="F41" i="12" a="1"/>
  <c r="F41" i="12" s="1"/>
  <c r="F42" i="12" a="1"/>
  <c r="F42" i="12" s="1"/>
  <c r="F43" i="12" a="1"/>
  <c r="F43" i="12" s="1"/>
  <c r="F44" i="12" a="1"/>
  <c r="F44" i="12" s="1"/>
  <c r="F45" i="12" a="1"/>
  <c r="F45" i="12" s="1"/>
  <c r="F46" i="12" a="1"/>
  <c r="F46" i="12" s="1"/>
  <c r="E3" i="12" a="1"/>
  <c r="E3" i="12" s="1"/>
  <c r="E4" i="12" a="1"/>
  <c r="E4" i="12" s="1"/>
  <c r="E5" i="12" a="1"/>
  <c r="E5" i="12" s="1"/>
  <c r="E6" i="12" a="1"/>
  <c r="E6" i="12" s="1"/>
  <c r="E7" i="12" a="1"/>
  <c r="E7" i="12" s="1"/>
  <c r="E8" i="12" a="1"/>
  <c r="E8" i="12" s="1"/>
  <c r="E9" i="12" a="1"/>
  <c r="E9" i="12" s="1"/>
  <c r="E10" i="12" a="1"/>
  <c r="E10" i="12" s="1"/>
  <c r="E11" i="12" a="1"/>
  <c r="E11" i="12" s="1"/>
  <c r="E12" i="12" a="1"/>
  <c r="E12" i="12" s="1"/>
  <c r="E13" i="12" a="1"/>
  <c r="E13" i="12" s="1"/>
  <c r="E14" i="12" a="1"/>
  <c r="E14" i="12" s="1"/>
  <c r="E15" i="12" a="1"/>
  <c r="E15" i="12" s="1"/>
  <c r="E16" i="12" a="1"/>
  <c r="E16" i="12" s="1"/>
  <c r="E17" i="12" a="1"/>
  <c r="E17" i="12" s="1"/>
  <c r="E18" i="12" a="1"/>
  <c r="E18" i="12" s="1"/>
  <c r="E19" i="12" a="1"/>
  <c r="E19" i="12" s="1"/>
  <c r="E20" i="12" a="1"/>
  <c r="E20" i="12" s="1"/>
  <c r="E21" i="12" a="1"/>
  <c r="E21" i="12" s="1"/>
  <c r="E22" i="12" a="1"/>
  <c r="E22" i="12" s="1"/>
  <c r="E23" i="12" a="1"/>
  <c r="E23" i="12" s="1"/>
  <c r="E24" i="12" a="1"/>
  <c r="E24" i="12" s="1"/>
  <c r="E25" i="12" a="1"/>
  <c r="E25" i="12" s="1"/>
  <c r="E26" i="12" a="1"/>
  <c r="E26" i="12" s="1"/>
  <c r="E27" i="12" a="1"/>
  <c r="E27" i="12" s="1"/>
  <c r="E28" i="12" a="1"/>
  <c r="E28" i="12" s="1"/>
  <c r="E29" i="12" a="1"/>
  <c r="E29" i="12" s="1"/>
  <c r="E30" i="12" a="1"/>
  <c r="E30" i="12" s="1"/>
  <c r="E31" i="12" a="1"/>
  <c r="E31" i="12" s="1"/>
  <c r="E32" i="12" a="1"/>
  <c r="E32" i="12" s="1"/>
  <c r="E33" i="12" a="1"/>
  <c r="E33" i="12" s="1"/>
  <c r="E34" i="12" a="1"/>
  <c r="E34" i="12" s="1"/>
  <c r="E35" i="12" a="1"/>
  <c r="E35" i="12" s="1"/>
  <c r="E36" i="12" a="1"/>
  <c r="E36" i="12" s="1"/>
  <c r="E37" i="12" a="1"/>
  <c r="E37" i="12" s="1"/>
  <c r="E38" i="12" a="1"/>
  <c r="E38" i="12" s="1"/>
  <c r="E39" i="12" a="1"/>
  <c r="E39" i="12" s="1"/>
  <c r="E40" i="12" a="1"/>
  <c r="E40" i="12" s="1"/>
  <c r="E41" i="12" a="1"/>
  <c r="E41" i="12" s="1"/>
  <c r="E42" i="12" a="1"/>
  <c r="E42" i="12" s="1"/>
  <c r="E43" i="12" a="1"/>
  <c r="E43" i="12" s="1"/>
  <c r="E44" i="12" a="1"/>
  <c r="E44" i="12" s="1"/>
  <c r="E45" i="12" a="1"/>
  <c r="E45" i="12" s="1"/>
  <c r="E46" i="12" a="1"/>
  <c r="E46" i="12" s="1"/>
  <c r="D3" i="12" a="1"/>
  <c r="D3" i="12" s="1"/>
  <c r="D4" i="12" a="1"/>
  <c r="D4" i="12" s="1"/>
  <c r="D5" i="12" a="1"/>
  <c r="D5" i="12" s="1"/>
  <c r="D6" i="12" a="1"/>
  <c r="D6" i="12" s="1"/>
  <c r="D7" i="12" a="1"/>
  <c r="D7" i="12" s="1"/>
  <c r="D8" i="12" a="1"/>
  <c r="D8" i="12" s="1"/>
  <c r="D9" i="12" a="1"/>
  <c r="D9" i="12" s="1"/>
  <c r="D10" i="12" a="1"/>
  <c r="D10" i="12" s="1"/>
  <c r="D11" i="12" a="1"/>
  <c r="D11" i="12" s="1"/>
  <c r="D12" i="12" a="1"/>
  <c r="D12" i="12" s="1"/>
  <c r="D13" i="12" a="1"/>
  <c r="D13" i="12" s="1"/>
  <c r="D14" i="12" a="1"/>
  <c r="D14" i="12" s="1"/>
  <c r="D15" i="12" a="1"/>
  <c r="D15" i="12" s="1"/>
  <c r="D16" i="12" a="1"/>
  <c r="D16" i="12" s="1"/>
  <c r="D17" i="12" a="1"/>
  <c r="D17" i="12" s="1"/>
  <c r="D18" i="12" a="1"/>
  <c r="D18" i="12" s="1"/>
  <c r="D19" i="12" a="1"/>
  <c r="D19" i="12" s="1"/>
  <c r="D20" i="12" a="1"/>
  <c r="D20" i="12" s="1"/>
  <c r="D21" i="12" a="1"/>
  <c r="D21" i="12" s="1"/>
  <c r="D22" i="12" a="1"/>
  <c r="D22" i="12" s="1"/>
  <c r="D23" i="12" a="1"/>
  <c r="D23" i="12" s="1"/>
  <c r="D24" i="12" a="1"/>
  <c r="D24" i="12" s="1"/>
  <c r="D25" i="12" a="1"/>
  <c r="D25" i="12" s="1"/>
  <c r="D26" i="12" a="1"/>
  <c r="D26" i="12" s="1"/>
  <c r="D27" i="12" a="1"/>
  <c r="D27" i="12" s="1"/>
  <c r="D28" i="12" a="1"/>
  <c r="D28" i="12" s="1"/>
  <c r="D29" i="12" a="1"/>
  <c r="D29" i="12" s="1"/>
  <c r="D30" i="12" a="1"/>
  <c r="D30" i="12" s="1"/>
  <c r="D31" i="12" a="1"/>
  <c r="D31" i="12" s="1"/>
  <c r="D32" i="12" a="1"/>
  <c r="D32" i="12" s="1"/>
  <c r="D33" i="12" a="1"/>
  <c r="D33" i="12" s="1"/>
  <c r="D34" i="12" a="1"/>
  <c r="D34" i="12" s="1"/>
  <c r="D35" i="12" a="1"/>
  <c r="D35" i="12" s="1"/>
  <c r="D37" i="12" a="1"/>
  <c r="D37" i="12" s="1"/>
  <c r="D38" i="12" a="1"/>
  <c r="D38" i="12" s="1"/>
  <c r="D39" i="12" a="1"/>
  <c r="D39" i="12" s="1"/>
  <c r="D40" i="12" a="1"/>
  <c r="D40" i="12" s="1"/>
  <c r="D41" i="12" a="1"/>
  <c r="D41" i="12" s="1"/>
  <c r="D42" i="12" a="1"/>
  <c r="D42" i="12" s="1"/>
  <c r="D43" i="12" a="1"/>
  <c r="D43" i="12" s="1"/>
  <c r="D44" i="12" a="1"/>
  <c r="D44" i="12" s="1"/>
  <c r="D45" i="12" a="1"/>
  <c r="D45" i="12" s="1"/>
  <c r="D46" i="12" a="1"/>
  <c r="D46" i="12" s="1"/>
  <c r="C3" i="12" a="1"/>
  <c r="C3" i="12" s="1"/>
  <c r="C4" i="12" a="1"/>
  <c r="C4" i="12" s="1"/>
  <c r="C5" i="12" a="1"/>
  <c r="C5" i="12" s="1"/>
  <c r="C6" i="12" a="1"/>
  <c r="C6" i="12" s="1"/>
  <c r="C7" i="12" a="1"/>
  <c r="C7" i="12" s="1"/>
  <c r="C8" i="12" a="1"/>
  <c r="C8" i="12" s="1"/>
  <c r="C9" i="12" a="1"/>
  <c r="C9" i="12" s="1"/>
  <c r="C10" i="12" a="1"/>
  <c r="C10" i="12" s="1"/>
  <c r="C11" i="12" a="1"/>
  <c r="C11" i="12" s="1"/>
  <c r="C12" i="12" a="1"/>
  <c r="C12" i="12" s="1"/>
  <c r="C13" i="12" a="1"/>
  <c r="C13" i="12" s="1"/>
  <c r="C14" i="12" a="1"/>
  <c r="C14" i="12" s="1"/>
  <c r="C15" i="12" a="1"/>
  <c r="C15" i="12" s="1"/>
  <c r="C17" i="12" a="1"/>
  <c r="C17" i="12" s="1"/>
  <c r="C18" i="12" a="1"/>
  <c r="C18" i="12" s="1"/>
  <c r="C19" i="12" a="1"/>
  <c r="C19" i="12" s="1"/>
  <c r="C20" i="12" a="1"/>
  <c r="C20" i="12" s="1"/>
  <c r="C21" i="12" a="1"/>
  <c r="C21" i="12" s="1"/>
  <c r="C22" i="12" a="1"/>
  <c r="C22" i="12" s="1"/>
  <c r="C23" i="12" a="1"/>
  <c r="C23" i="12" s="1"/>
  <c r="C24" i="12" a="1"/>
  <c r="C24" i="12" s="1"/>
  <c r="C25" i="12" a="1"/>
  <c r="C25" i="12" s="1"/>
  <c r="C26" i="12" a="1"/>
  <c r="C26" i="12" s="1"/>
  <c r="C27" i="12" a="1"/>
  <c r="C27" i="12" s="1"/>
  <c r="C28" i="12" a="1"/>
  <c r="C28" i="12" s="1"/>
  <c r="C29" i="12" a="1"/>
  <c r="C29" i="12" s="1"/>
  <c r="C30" i="12" a="1"/>
  <c r="C30" i="12" s="1"/>
  <c r="C31" i="12" a="1"/>
  <c r="C31" i="12" s="1"/>
  <c r="C32" i="12" a="1"/>
  <c r="C32" i="12" s="1"/>
  <c r="C33" i="12" a="1"/>
  <c r="C33" i="12" s="1"/>
  <c r="C34" i="12" a="1"/>
  <c r="C34" i="12" s="1"/>
  <c r="C35" i="12" a="1"/>
  <c r="C35" i="12" s="1"/>
  <c r="C36" i="12" a="1"/>
  <c r="C36" i="12" s="1"/>
  <c r="C37" i="12" a="1"/>
  <c r="C37" i="12" s="1"/>
  <c r="C38" i="12" a="1"/>
  <c r="C38" i="12" s="1"/>
  <c r="C39" i="12" a="1"/>
  <c r="C39" i="12" s="1"/>
  <c r="C40" i="12" a="1"/>
  <c r="C40" i="12" s="1"/>
  <c r="C41" i="12" a="1"/>
  <c r="C41" i="12" s="1"/>
  <c r="C42" i="12" a="1"/>
  <c r="C42" i="12" s="1"/>
  <c r="C43" i="12" a="1"/>
  <c r="C43" i="12" s="1"/>
  <c r="C44" i="12" a="1"/>
  <c r="C44" i="12" s="1"/>
  <c r="C45" i="12" a="1"/>
  <c r="C45" i="12" s="1"/>
  <c r="C46" i="12" a="1"/>
  <c r="C46" i="12" s="1"/>
  <c r="B3" i="12" a="1"/>
  <c r="B3" i="12" s="1"/>
  <c r="B4" i="12" a="1"/>
  <c r="B4" i="12" s="1"/>
  <c r="B5" i="12" a="1"/>
  <c r="B5" i="12" s="1"/>
  <c r="B6" i="12" a="1"/>
  <c r="B6" i="12" s="1"/>
  <c r="B7" i="12" a="1"/>
  <c r="B7" i="12" s="1"/>
  <c r="B8" i="12" a="1"/>
  <c r="B8" i="12" s="1"/>
  <c r="B9" i="12" a="1"/>
  <c r="B9" i="12" s="1"/>
  <c r="B10" i="12" a="1"/>
  <c r="B10" i="12" s="1"/>
  <c r="B11" i="12" a="1"/>
  <c r="B11" i="12" s="1"/>
  <c r="B12" i="12" a="1"/>
  <c r="B12" i="12" s="1"/>
  <c r="B13" i="12" a="1"/>
  <c r="B13" i="12" s="1"/>
  <c r="B14" i="12" a="1"/>
  <c r="B14" i="12" s="1"/>
  <c r="B15" i="12" a="1"/>
  <c r="B15" i="12" s="1"/>
  <c r="B16" i="12" a="1"/>
  <c r="B16" i="12" s="1"/>
  <c r="B17" i="12" a="1"/>
  <c r="B17" i="12" s="1"/>
  <c r="B18" i="12" a="1"/>
  <c r="B18" i="12" s="1"/>
  <c r="B19" i="12" a="1"/>
  <c r="B19" i="12" s="1"/>
  <c r="B20" i="12" a="1"/>
  <c r="B20" i="12" s="1"/>
  <c r="B21" i="12" a="1"/>
  <c r="B21" i="12" s="1"/>
  <c r="B22" i="12" a="1"/>
  <c r="B22" i="12" s="1"/>
  <c r="B23" i="12" a="1"/>
  <c r="B23" i="12" s="1"/>
  <c r="B24" i="12" a="1"/>
  <c r="B24" i="12" s="1"/>
  <c r="B25" i="12" a="1"/>
  <c r="B25" i="12" s="1"/>
  <c r="B26" i="12" a="1"/>
  <c r="B26" i="12" s="1"/>
  <c r="B27" i="12" a="1"/>
  <c r="B27" i="12" s="1"/>
  <c r="B28" i="12" a="1"/>
  <c r="B28" i="12" s="1"/>
  <c r="B29" i="12" a="1"/>
  <c r="B29" i="12" s="1"/>
  <c r="B30" i="12" a="1"/>
  <c r="B30" i="12" s="1"/>
  <c r="B31" i="12" a="1"/>
  <c r="B31" i="12" s="1"/>
  <c r="B32" i="12" a="1"/>
  <c r="B32" i="12" s="1"/>
  <c r="B33" i="12" a="1"/>
  <c r="B33" i="12" s="1"/>
  <c r="B34" i="12" a="1"/>
  <c r="B34" i="12" s="1"/>
  <c r="B35" i="12" a="1"/>
  <c r="B35" i="12" s="1"/>
  <c r="B36" i="12" a="1"/>
  <c r="B36" i="12" s="1"/>
  <c r="B37" i="12" a="1"/>
  <c r="B37" i="12" s="1"/>
  <c r="B38" i="12" a="1"/>
  <c r="B38" i="12" s="1"/>
  <c r="B39" i="12" a="1"/>
  <c r="B39" i="12" s="1"/>
  <c r="B40" i="12" a="1"/>
  <c r="B40" i="12" s="1"/>
  <c r="B41" i="12" a="1"/>
  <c r="B41" i="12" s="1"/>
  <c r="B42" i="12" a="1"/>
  <c r="B42" i="12" s="1"/>
  <c r="B43" i="12" a="1"/>
  <c r="B43" i="12" s="1"/>
  <c r="B44" i="12" a="1"/>
  <c r="B44" i="12" s="1"/>
  <c r="B45" i="12" a="1"/>
  <c r="B45" i="12" s="1"/>
  <c r="B46" i="12" a="1"/>
  <c r="B46" i="12" s="1"/>
  <c r="G2" i="12" a="1"/>
  <c r="G2" i="12" s="1"/>
  <c r="F2" i="12" a="1"/>
  <c r="F2" i="12" s="1"/>
  <c r="E2" i="12" a="1"/>
  <c r="E2" i="12" s="1"/>
  <c r="D2" i="12" a="1"/>
  <c r="D2" i="12" s="1"/>
  <c r="B2" i="12" a="1"/>
  <c r="B2" i="12" s="1"/>
  <c r="C2" i="12" a="1"/>
  <c r="C2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<sst xmlns="http://schemas.openxmlformats.org/spreadsheetml/2006/main" count="11758" uniqueCount="2211">
  <si>
    <t>Tarih</t>
  </si>
  <si>
    <t>Vardiya</t>
  </si>
  <si>
    <t>İş Emri No</t>
  </si>
  <si>
    <t>Makine Adı</t>
  </si>
  <si>
    <t>Ürün Adı</t>
  </si>
  <si>
    <t>JADE</t>
  </si>
  <si>
    <t>500 CC SP006 30 ŞEFFAF ŞEFFAF PLS. PLT K.TAVA STANDART</t>
  </si>
  <si>
    <t>400 CC SP040 25 ŞEFFAF ŞEFFAF PLS. PLT K.TAVA STANDART</t>
  </si>
  <si>
    <t>500 CC X369 45 ŞEFFAF ŞEFFAF YÜKSEK PALET STANDART</t>
  </si>
  <si>
    <t>750 CC X214 35 ŞEFFAF ŞEFFAF PLS. PLT STANDART</t>
  </si>
  <si>
    <t>1000 CC X265 45 ŞEFFAF ŞEFFAF POSET STANDART</t>
  </si>
  <si>
    <t>1000 CC X404 52 ŞEFFAF ŞEFFAF PALET STANDART</t>
  </si>
  <si>
    <t>1500 CC S043 74 OPAK BEYAZ PALET STANDART</t>
  </si>
  <si>
    <t>310 CC S032 24 ŞEFFAF ŞEFFAF YÜKSEK PLT K.TAVA STANDART</t>
  </si>
  <si>
    <t>1200 CC S023 91 OPAK SİYAH PALET STANDART</t>
  </si>
  <si>
    <t>1000 CC D075 45 ŞEFFAF ŞEFFAF PALET STANDART</t>
  </si>
  <si>
    <t>750 CC D106 35 ŞEFFAF ŞEFFAF PLS. PLT K.TAVA STANDART</t>
  </si>
  <si>
    <t>1000 CC D107 52 OPAK BEYAZ PALET STANDART</t>
  </si>
  <si>
    <t>350 CC D026 45 OPAK SİYAH PALET STANDART</t>
  </si>
  <si>
    <t>200 CC Y323 25 OPAK TURUNCU PALET STANDART</t>
  </si>
  <si>
    <t>100 CC Y243 19 ŞEFFAF ŞEFFAF PLT.IC.KOLI STANDART</t>
  </si>
  <si>
    <t>150 CC Y341 25 ŞEFFAF KAHVE KOLI STANDART</t>
  </si>
  <si>
    <t>E062 24MM PİM 1 ŞEFFAF ŞEFFAF PLT.IC.KOLI STANDART</t>
  </si>
  <si>
    <t>E129 6 ŞEFFAF SARI PLT.IC.KOLI STANDART</t>
  </si>
  <si>
    <t>E123 28 MM FLİPTOP 13 ŞEFFAF YEŞİL PLT.IC.KOLI STANDART</t>
  </si>
  <si>
    <t>E121 28 MM KAPAK 10 OPAK KIRMIZI KOLI STANDART</t>
  </si>
  <si>
    <t>E034 100 MM KULPLU KİLİTLİ 30 OPAK SARI PLT.IC.KOLI STANDART</t>
  </si>
  <si>
    <t>E124 28 MM FLİPTOP 13 SEDEF TURUNCU PLT.IC.KOLI STANDART</t>
  </si>
  <si>
    <t>E031A 110 MM ETİKETLİ FOLYOLU 17 OPAK GOLD PLT.IC.KOLI STANDART</t>
  </si>
  <si>
    <t>1200 CC S009 91 OPAK SİYAH PALET STANDART</t>
  </si>
  <si>
    <t>PR001 62 MM 8 GÖZ PREFORM 24 ŞEFFAF ŞEFFAF KOLI STANDART</t>
  </si>
  <si>
    <t>PR017 38 MM 12 GÖZ YİVLİ PREFORM  73 OPAK BEYAZ KOLI STANDART</t>
  </si>
  <si>
    <t>PR014 110 MM 12 GÖZ TWIST OFF PREFORM 91 OPAK SİYAH KOLI STANDART</t>
  </si>
  <si>
    <t>30 CC I003 6 OPAK BEYAZ PLT.IC.KOLI STANDART</t>
  </si>
  <si>
    <t>3000 CC P111 120 ŞEFFAF ŞEFFAF POSET STANDART</t>
  </si>
  <si>
    <t>Vardiya
Amiri</t>
  </si>
  <si>
    <t>LATİF DÖNER</t>
  </si>
  <si>
    <t>ÜRETİM MÜH.</t>
  </si>
  <si>
    <t>ALİ DÜZEL</t>
  </si>
  <si>
    <t>Şişirme Süresi (sn)</t>
  </si>
  <si>
    <t>Soğutma Süresi (sn)</t>
  </si>
  <si>
    <t>Çevrim Süresi (sn)</t>
  </si>
  <si>
    <t>Toplam Göz Sayısı (ad)</t>
  </si>
  <si>
    <t>Çalışan Göz Sayısı (ad)</t>
  </si>
  <si>
    <t>Şartlandırıcı Sıcaklığı ©</t>
  </si>
  <si>
    <t>Kurutucu Sıcaklığı ©</t>
  </si>
  <si>
    <t>Ocak Isıları ©</t>
  </si>
  <si>
    <t>Kalıp Isıları ©</t>
  </si>
  <si>
    <t>Hammadde</t>
  </si>
  <si>
    <t>SASA + %10 KIRMA</t>
  </si>
  <si>
    <t>Enjeksiyon Basınçları</t>
  </si>
  <si>
    <t>Enjeksiyon Hızları</t>
  </si>
  <si>
    <t>Ütüleme Zamanı (sn)</t>
  </si>
  <si>
    <t>Ütüleme Hızı</t>
  </si>
  <si>
    <t>Ütüleme Basıncı</t>
  </si>
  <si>
    <t>Mengene Kuvveti</t>
  </si>
  <si>
    <t>Enjeksiyon Zamanı (sn)</t>
  </si>
  <si>
    <t>750 CC Z105 28 OPAK MAVİ PLS. PLT STANDART</t>
  </si>
  <si>
    <t>E013 45 MM FLİPTOP 10 OPAK SİYAH PLT.IC.KOLI STANDART</t>
  </si>
  <si>
    <t>350 CC P119 28 OPAK SEDEFLİ MOR PALET STANDART</t>
  </si>
  <si>
    <t>75-35-65</t>
  </si>
  <si>
    <t>37-39-42</t>
  </si>
  <si>
    <t>42-42-50</t>
  </si>
  <si>
    <t>50-49-48-47-46-45</t>
  </si>
  <si>
    <t>61-60-59-58-57-56</t>
  </si>
  <si>
    <t>90-89-88-87-86-85</t>
  </si>
  <si>
    <t>92-91-90-89-88</t>
  </si>
  <si>
    <t>54-53-52-51-50-49</t>
  </si>
  <si>
    <t>70-69-68-67-66-65</t>
  </si>
  <si>
    <t>85-84-83-82</t>
  </si>
  <si>
    <t>73-72-71-70</t>
  </si>
  <si>
    <t>40-39-38-37-36-35</t>
  </si>
  <si>
    <t>48-47-46-45-44-43</t>
  </si>
  <si>
    <t>77-76-75-74-73-72</t>
  </si>
  <si>
    <t>82-81-80-79</t>
  </si>
  <si>
    <t>35-34-33-32-31-30</t>
  </si>
  <si>
    <t>83-82-81-80</t>
  </si>
  <si>
    <t>63-62-61-60</t>
  </si>
  <si>
    <t>280-290-290-290</t>
  </si>
  <si>
    <t>280-280-280-280-280</t>
  </si>
  <si>
    <t>270-270-270-270</t>
  </si>
  <si>
    <t>270-270-270</t>
  </si>
  <si>
    <t>285-280-280-280</t>
  </si>
  <si>
    <t>270-275</t>
  </si>
  <si>
    <t>280-280-280-280</t>
  </si>
  <si>
    <t>275-270-270</t>
  </si>
  <si>
    <t>275-275-275</t>
  </si>
  <si>
    <t>275-275-275-275</t>
  </si>
  <si>
    <t>265-270-270-270</t>
  </si>
  <si>
    <t>260-260-260-260</t>
  </si>
  <si>
    <t>255-255-264-260-265</t>
  </si>
  <si>
    <t>275-275-280-275</t>
  </si>
  <si>
    <t>242-242-242-255-255</t>
  </si>
  <si>
    <t>196-214-194-189-185</t>
  </si>
  <si>
    <t>190-215-215-205-200</t>
  </si>
  <si>
    <t>171-195-190-175-170</t>
  </si>
  <si>
    <t>250-225-225-225-230-225</t>
  </si>
  <si>
    <t>215-210-210-210-195</t>
  </si>
  <si>
    <t>170-165-165-160-160</t>
  </si>
  <si>
    <t>239-260-240-230</t>
  </si>
  <si>
    <t>185-220-230-.205-205-190-220-195-190-190-170</t>
  </si>
  <si>
    <t>215-210-210-205-200</t>
  </si>
  <si>
    <t>205-205-205-190-180-175</t>
  </si>
  <si>
    <t>230-230-230-250-230-240-220-220</t>
  </si>
  <si>
    <t>241-215-210-210-205-200</t>
  </si>
  <si>
    <t>215-215-230-230-360-205</t>
  </si>
  <si>
    <t>70-34-38-36-33-34-40-42-45</t>
  </si>
  <si>
    <t>90-175-185-185-185-185-185-185</t>
  </si>
  <si>
    <t>170-175-175-175</t>
  </si>
  <si>
    <t>OCAK ISILARINDAN KASIT FIRIN ISILARIDIR.</t>
  </si>
  <si>
    <t>HDPE</t>
  </si>
  <si>
    <t>PP</t>
  </si>
  <si>
    <t>PE</t>
  </si>
  <si>
    <t>HDPE+LDPE</t>
  </si>
  <si>
    <t>500 CC X065 40 ŞEFFAF ŞEFFAF YÜKSEK PALET STANDART</t>
  </si>
  <si>
    <t>E123 28 MM FLİPTOP 13 ŞEFFAF MAVİ PLT.IC.KOLI STANDART</t>
  </si>
  <si>
    <t>Soğutma
(sn)</t>
  </si>
  <si>
    <t>Çevrim
(sn)</t>
  </si>
  <si>
    <t>Çalışan
Göz (ad)</t>
  </si>
  <si>
    <t>Toplam 
Göz (ad)</t>
  </si>
  <si>
    <t>Şişirme
(sn)</t>
  </si>
  <si>
    <t>Enj.
(sn)</t>
  </si>
  <si>
    <t>Şartland.
©</t>
  </si>
  <si>
    <t>Kurutucu
©</t>
  </si>
  <si>
    <t>Ütüleme
(sn)</t>
  </si>
  <si>
    <t>37-40-42</t>
  </si>
  <si>
    <t>90-89-88-87-86</t>
  </si>
  <si>
    <t>54-52-51-50-49-48-48</t>
  </si>
  <si>
    <t>55-53-51-50-49-48</t>
  </si>
  <si>
    <t>77-70-65-60-50-40</t>
  </si>
  <si>
    <t>69-68-67-66-65-64</t>
  </si>
  <si>
    <t>27-26-24</t>
  </si>
  <si>
    <t>81-81-80-80-79</t>
  </si>
  <si>
    <t>44-43-42-41-40-39</t>
  </si>
  <si>
    <t>42-41-40-36-35-33</t>
  </si>
  <si>
    <t>56-55-54-53-52-51</t>
  </si>
  <si>
    <t>25-23-23</t>
  </si>
  <si>
    <t>300 HIZ</t>
  </si>
  <si>
    <t>285-285-285-285</t>
  </si>
  <si>
    <t>280-280-280</t>
  </si>
  <si>
    <t>85-35-40-46-55-40-40-40-40-40-32-45</t>
  </si>
  <si>
    <t>23-57-75-78-101-102-105</t>
  </si>
  <si>
    <t>260-270-270-270</t>
  </si>
  <si>
    <t>270-273-275-275</t>
  </si>
  <si>
    <t>170-195-190-175-170</t>
  </si>
  <si>
    <t>214-210-210-210-195</t>
  </si>
  <si>
    <t>244-220-215-210-205-200</t>
  </si>
  <si>
    <t>285-280-280-280-275</t>
  </si>
  <si>
    <t>285-285-285-285-280</t>
  </si>
  <si>
    <t>262-285-285-285-275</t>
  </si>
  <si>
    <t>240-240-240-235-230-245</t>
  </si>
  <si>
    <t>100-175-185-185-185-185-185-185</t>
  </si>
  <si>
    <t>270-270</t>
  </si>
  <si>
    <t>275-275</t>
  </si>
  <si>
    <t>245-245-255-255</t>
  </si>
  <si>
    <t>240-240-240-255-255</t>
  </si>
  <si>
    <t>250-225-225-225-225-235-225</t>
  </si>
  <si>
    <t>230-230-230-250-230-240</t>
  </si>
  <si>
    <t>239-260-240-230-300-265</t>
  </si>
  <si>
    <t>235-235-225-245-355-210</t>
  </si>
  <si>
    <t>55-55-55-55-55</t>
  </si>
  <si>
    <t>83-85-82-90-100-100-90-90-100-100</t>
  </si>
  <si>
    <t>120-120-120-120-90-90-95</t>
  </si>
  <si>
    <t>700 CC SP009 40 ŞEFFAF SARI PLS. PLT STANDART</t>
  </si>
  <si>
    <t>ENİS</t>
  </si>
  <si>
    <t>400 CC SP053 29 ŞEFFAF SARI PLS. PLT STANDART</t>
  </si>
  <si>
    <t>18373</t>
  </si>
  <si>
    <t>18371</t>
  </si>
  <si>
    <t>18390</t>
  </si>
  <si>
    <t>150 CC SP020 20 ŞEFFAF ŞEFFAF PLS. PLT K.TAVA STANDART</t>
  </si>
  <si>
    <t>18266</t>
  </si>
  <si>
    <t>1000 CC X075 45 ŞEFFAF ŞEFFAF YÜKSEK PALET STANDART</t>
  </si>
  <si>
    <t>18368</t>
  </si>
  <si>
    <t>18369</t>
  </si>
  <si>
    <t>1000 CC X285 52 ŞEFFAF ŞEFFAF K.TAVA PALET STANDART</t>
  </si>
  <si>
    <t>18339</t>
  </si>
  <si>
    <t>450 CC Z069 28 ŞEFFAF MAVİ PALET STANDART</t>
  </si>
  <si>
    <t>18384</t>
  </si>
  <si>
    <t>3000 CC S048 74 ŞEFFAF UV PLS. PLT K.TAVA STANDART</t>
  </si>
  <si>
    <t>18400</t>
  </si>
  <si>
    <t>18304</t>
  </si>
  <si>
    <t>450 CC D120 35 ŞEFFAF UV PLS. PLT K.TAVA CAKMA</t>
  </si>
  <si>
    <t>18389</t>
  </si>
  <si>
    <t>18279</t>
  </si>
  <si>
    <t>18327</t>
  </si>
  <si>
    <t>200 CC Y323 25 OPAK SİYAH PALET STANDART</t>
  </si>
  <si>
    <t>18362</t>
  </si>
  <si>
    <t>18364</t>
  </si>
  <si>
    <t>18241</t>
  </si>
  <si>
    <t>18310</t>
  </si>
  <si>
    <t>18353</t>
  </si>
  <si>
    <t>E031A 110 MM ETİKETLİ FOLYOLU 17 OPAK YEŞİL PLT.IC.KOLI STANDART</t>
  </si>
  <si>
    <t>18381</t>
  </si>
  <si>
    <t>18361</t>
  </si>
  <si>
    <t>17562</t>
  </si>
  <si>
    <t>17523</t>
  </si>
  <si>
    <t>20 CC I004 6 OPAK BEYAZ PLT.IC.KOLI STANDART</t>
  </si>
  <si>
    <t>18385</t>
  </si>
  <si>
    <t>43-40-40</t>
  </si>
  <si>
    <t>54-53-52-51-50-49-48</t>
  </si>
  <si>
    <t>72-71-70-69-68-67</t>
  </si>
  <si>
    <t>79-78-77-76-75-74</t>
  </si>
  <si>
    <t>20-15-18</t>
  </si>
  <si>
    <t>62-61-60-59-58-57</t>
  </si>
  <si>
    <t>41-39-37-35-33-30</t>
  </si>
  <si>
    <t>20-13-18</t>
  </si>
  <si>
    <t>280-285-285-285</t>
  </si>
  <si>
    <t>295-295-295-295</t>
  </si>
  <si>
    <t>36-33-39-39-39-39-39-39-39-35-97</t>
  </si>
  <si>
    <t>122-105-100-40</t>
  </si>
  <si>
    <t>190-215-215-215-205-200</t>
  </si>
  <si>
    <t>168-195-190-175-170</t>
  </si>
  <si>
    <t>171-166-166-161-160</t>
  </si>
  <si>
    <t>246-220-215-210-205-200</t>
  </si>
  <si>
    <t>34-38-36-53-36-40-42-43</t>
  </si>
  <si>
    <t>185-285-283-285-280</t>
  </si>
  <si>
    <t>245-252-245-240</t>
  </si>
  <si>
    <t>277-277-277-277</t>
  </si>
  <si>
    <t>245-245-245-245</t>
  </si>
  <si>
    <t>250-225-225-225-235-225-225-225-225-225</t>
  </si>
  <si>
    <t>239-260-240-230-300-316</t>
  </si>
  <si>
    <t>230-230-225-215</t>
  </si>
  <si>
    <t>125-120-122-115-142-122</t>
  </si>
  <si>
    <t>400 CC SP012 25 ŞEFFAF ŞEFFAF PALET STANDART</t>
  </si>
  <si>
    <t>18402</t>
  </si>
  <si>
    <t>650 CC D118 40 OPAK GOLD PLS. PLT K.TAVA CAKMA</t>
  </si>
  <si>
    <t>18359</t>
  </si>
  <si>
    <t>700 CC D128 80 ŞEFFAF ŞEFFAF PLS. PLT STANDART</t>
  </si>
  <si>
    <t>18409</t>
  </si>
  <si>
    <t>250 CC Y201 25 ŞEFFAF ŞEFFAF KOLI UZUN</t>
  </si>
  <si>
    <t>18323</t>
  </si>
  <si>
    <t>E041 20 MM DAMLALIK TIPA 1 ŞEFFAF ŞEFFAF PLT.IC.KOLI STANDART</t>
  </si>
  <si>
    <t>18410</t>
  </si>
  <si>
    <t>E040A 24 MM KUMSUZ KAPAK 3 OPAK SİYAH KOLI STANDART</t>
  </si>
  <si>
    <t>18393</t>
  </si>
  <si>
    <t>E128 28 MM 8 OPAK PEMBE KOLI CAKMA</t>
  </si>
  <si>
    <t>18397</t>
  </si>
  <si>
    <t>18379</t>
  </si>
  <si>
    <t>17685</t>
  </si>
  <si>
    <t>42-39-42</t>
  </si>
  <si>
    <t>45,5-42-48</t>
  </si>
  <si>
    <t>85-20-90</t>
  </si>
  <si>
    <t>53-52-51-50-49-48</t>
  </si>
  <si>
    <t>82-81-80-79-78-77</t>
  </si>
  <si>
    <t>43-42-41-40-39-38</t>
  </si>
  <si>
    <t>87-86-85-84-83-82</t>
  </si>
  <si>
    <t>99-98-97-96-95</t>
  </si>
  <si>
    <t>70-68-61-69-57-53</t>
  </si>
  <si>
    <t>81-80-79-78-77</t>
  </si>
  <si>
    <t>62-58-50-45-40-35</t>
  </si>
  <si>
    <t>280-285-285-285-285</t>
  </si>
  <si>
    <t>295-295-295-295-295</t>
  </si>
  <si>
    <t>285-280-280-280-280</t>
  </si>
  <si>
    <t>270-270-270-270-270</t>
  </si>
  <si>
    <t>275-275-275-275-275</t>
  </si>
  <si>
    <t>272-270-270-270-275</t>
  </si>
  <si>
    <t>194-215-195-190-184</t>
  </si>
  <si>
    <t>191-215-215-205-200</t>
  </si>
  <si>
    <t>173-195-190-175-170</t>
  </si>
  <si>
    <t>214-210-205-200-195</t>
  </si>
  <si>
    <t>210-210-210-210-191</t>
  </si>
  <si>
    <t>215-210-210-205-202</t>
  </si>
  <si>
    <t>245-220-215-210-205-200</t>
  </si>
  <si>
    <t>34-38-36-32-30-32-38-40</t>
  </si>
  <si>
    <t>255-285-285-285-274</t>
  </si>
  <si>
    <t>255-255-265-265</t>
  </si>
  <si>
    <t>210-287-250-225-225-225-195</t>
  </si>
  <si>
    <t>235-235-235-235-325-235</t>
  </si>
  <si>
    <t>120-125-90-90-90-95</t>
  </si>
  <si>
    <t>LDPE</t>
  </si>
  <si>
    <t>ORTAM SICAKLIĞI</t>
  </si>
  <si>
    <t>18423</t>
  </si>
  <si>
    <t>750 CC X116 45 ŞEFFAF ŞEFFAF YÜKSEK PALET STANDART</t>
  </si>
  <si>
    <t>18391</t>
  </si>
  <si>
    <t>1000 CC X233 45 ŞEFFAF ŞEFFAF PALET STANDART</t>
  </si>
  <si>
    <t>18408</t>
  </si>
  <si>
    <t>750 CC Z104 28 ŞEFFAF ŞEFFAF PLS. PLT STANDART</t>
  </si>
  <si>
    <t>18406</t>
  </si>
  <si>
    <t>E031A 110 MM ETİKETLİ FOLYOLU 17 OPAK SARI PLT.IC.KOLI STANDART</t>
  </si>
  <si>
    <t>18401</t>
  </si>
  <si>
    <t>1200 CC S009A 91 OPAK SİYAH PALET STANDART</t>
  </si>
  <si>
    <t>18248</t>
  </si>
  <si>
    <t>42-43-48</t>
  </si>
  <si>
    <t>54-53-52-51-49</t>
  </si>
  <si>
    <t>45-44-43-42-41-40</t>
  </si>
  <si>
    <t>90-88-87-85-84-83</t>
  </si>
  <si>
    <t>69-67-60-59-56-52</t>
  </si>
  <si>
    <t>83-82-81-80-79-78</t>
  </si>
  <si>
    <t>285-285-285-285-285</t>
  </si>
  <si>
    <t>272-270-270-275</t>
  </si>
  <si>
    <t>196-215-195-190-185</t>
  </si>
  <si>
    <t>189-215-215-205-201</t>
  </si>
  <si>
    <t>172-195-190-175-170</t>
  </si>
  <si>
    <t>211-210-210-210-195</t>
  </si>
  <si>
    <t>286-285-284-284-265</t>
  </si>
  <si>
    <t>257-285-285-285-276</t>
  </si>
  <si>
    <t>255-255-255-255</t>
  </si>
  <si>
    <t>240-240-260-260</t>
  </si>
  <si>
    <t>250-250-250-225-225-225-250-225-225-225-225-225</t>
  </si>
  <si>
    <t>280-275-240-220-225-225-190</t>
  </si>
  <si>
    <t>235-235-235-235-325-220</t>
  </si>
  <si>
    <t>85-82-82-88-96-95-77</t>
  </si>
  <si>
    <t>120-125-120-125-90-90-97</t>
  </si>
  <si>
    <t>750 CC X319 40 ŞEFFAF ŞEFFAF K.TAVA PALET STANDART</t>
  </si>
  <si>
    <t>18380</t>
  </si>
  <si>
    <t>18405</t>
  </si>
  <si>
    <t>750 CC D108 45 ŞEFFAF UV PLS. PLT K.TAVA STANDART</t>
  </si>
  <si>
    <t>18386</t>
  </si>
  <si>
    <t>100 CC Y266 16 ŞEFFAF ŞEFFAF PLS. PLT K.TAVA STANDART</t>
  </si>
  <si>
    <t>18376</t>
  </si>
  <si>
    <t>1000 CC D123 95 ŞEFFAF ŞEFFAF PLS. PLT STANDART</t>
  </si>
  <si>
    <t>18414</t>
  </si>
  <si>
    <t>750 CC P114 55 ŞEFFAF ŞEFFAF PALET STANDART</t>
  </si>
  <si>
    <t>18417</t>
  </si>
  <si>
    <t>47-50-45</t>
  </si>
  <si>
    <t>60-59-58-57-56-55</t>
  </si>
  <si>
    <t>84-83-82-81-80-79</t>
  </si>
  <si>
    <t>71-70-63-61-59-54</t>
  </si>
  <si>
    <t>75-74-73-72-71-70</t>
  </si>
  <si>
    <t>79-78-77-76-75</t>
  </si>
  <si>
    <t>60-56-48-43-38-33</t>
  </si>
  <si>
    <t>110-120-45-40</t>
  </si>
  <si>
    <t>272-270-275-275</t>
  </si>
  <si>
    <t>269-270-270-270</t>
  </si>
  <si>
    <t>205-210-210-205-194</t>
  </si>
  <si>
    <t>261-285-284-285-275</t>
  </si>
  <si>
    <t>210-190-180</t>
  </si>
  <si>
    <t>240-240-250-250</t>
  </si>
  <si>
    <t>295-245-246-260-260</t>
  </si>
  <si>
    <t>250-225-225-225-250-230-225-225-225-225</t>
  </si>
  <si>
    <t>235-230-195-220-220-225-190</t>
  </si>
  <si>
    <t>120-130-120-95-90-90-100</t>
  </si>
  <si>
    <t>18430</t>
  </si>
  <si>
    <t>18413</t>
  </si>
  <si>
    <t>750 CC D071 40 ŞEFFAF SARI PALET STANDART</t>
  </si>
  <si>
    <t>18416</t>
  </si>
  <si>
    <t>100 CC Y256 16 OPAK BEYAZ KOLI STANDART</t>
  </si>
  <si>
    <t>18434</t>
  </si>
  <si>
    <t>E128 28 MM 8 OPAK YEŞİL KOLI CAKMA</t>
  </si>
  <si>
    <t>18411</t>
  </si>
  <si>
    <t>18424</t>
  </si>
  <si>
    <t>50-40-57</t>
  </si>
  <si>
    <t>80-79-78-76-51-41</t>
  </si>
  <si>
    <t>72-41-70-69-68-67</t>
  </si>
  <si>
    <t>77-72-67-62-27-23</t>
  </si>
  <si>
    <t>88-122-63-52</t>
  </si>
  <si>
    <t>30-52-72-82-105-117</t>
  </si>
  <si>
    <t>188-215-215-205-200</t>
  </si>
  <si>
    <t>169-195-190-175-170</t>
  </si>
  <si>
    <t>200-210-210-200-200</t>
  </si>
  <si>
    <t>245-220-215-216-206-201</t>
  </si>
  <si>
    <t>260-285-285-285-275</t>
  </si>
  <si>
    <t>240-240-240-250-250</t>
  </si>
  <si>
    <t>230-240-240-225-230</t>
  </si>
  <si>
    <t>60-60-60-60-60</t>
  </si>
  <si>
    <t>HAMZA</t>
  </si>
  <si>
    <t>200 CC SP028 25 ŞEFFAF MOR PALET STANDART</t>
  </si>
  <si>
    <t>18419</t>
  </si>
  <si>
    <t>18443</t>
  </si>
  <si>
    <t>739 CC X300 40 ŞEFFAF ŞEFFAF PALET STANDART</t>
  </si>
  <si>
    <t>18446</t>
  </si>
  <si>
    <t>1000 CC X197 52 ŞEFFAF ŞEFFAF PALET STANDART</t>
  </si>
  <si>
    <t>18442</t>
  </si>
  <si>
    <t>400 CC D010 35 OPAK SİYAH PALET STANDART</t>
  </si>
  <si>
    <t>18343</t>
  </si>
  <si>
    <t>750 CC D108 45 OPAK BEYAZ SABLAJ PLS. PLT K.TAVA STANDART</t>
  </si>
  <si>
    <t>18387</t>
  </si>
  <si>
    <t>500 CC D076 40 ŞEFFAF MAVİ PALET STANDART</t>
  </si>
  <si>
    <t>18438</t>
  </si>
  <si>
    <t>250 CC Y251 25 ŞEFFAF ŞEFFAF PALET STANDART</t>
  </si>
  <si>
    <t>18431</t>
  </si>
  <si>
    <t>E128 28 MM 8 OPAK MAVİ KOLI CAKMA</t>
  </si>
  <si>
    <t>18437</t>
  </si>
  <si>
    <t>E123 28 MM FLİPTOP 13 ŞEFFAF TURUNCU PLT.IC.KOLI STANDART</t>
  </si>
  <si>
    <t>18439</t>
  </si>
  <si>
    <t>E016 20 MM DAMLALIK 2 OPAK BEYAZ PLT.IC.KOLI STANDART</t>
  </si>
  <si>
    <t>18398</t>
  </si>
  <si>
    <t>E023 24 MM KAPAK 8 OPAK SİYAH PLT.IC.KOLI STANDART</t>
  </si>
  <si>
    <t>18433</t>
  </si>
  <si>
    <t>18448</t>
  </si>
  <si>
    <t>55-50-50</t>
  </si>
  <si>
    <t>41,5-40-40</t>
  </si>
  <si>
    <t>79-78-75-70-50-41</t>
  </si>
  <si>
    <t>95-94-93-92</t>
  </si>
  <si>
    <t>76-75-75-74</t>
  </si>
  <si>
    <t>71-70-70-69-26-23</t>
  </si>
  <si>
    <t>58-57-56-55-54-53</t>
  </si>
  <si>
    <t>66-65-64-63</t>
  </si>
  <si>
    <t>290-290-290-290</t>
  </si>
  <si>
    <t>290-285-285-285-285</t>
  </si>
  <si>
    <t>270-275-275-275-275</t>
  </si>
  <si>
    <t>195-210-210-200-200</t>
  </si>
  <si>
    <t>210-210-210-210-200</t>
  </si>
  <si>
    <t>215-210-205-200-195-190</t>
  </si>
  <si>
    <t>243-220-215-215-205-200</t>
  </si>
  <si>
    <t>34-38-34-32-30-32-36-38</t>
  </si>
  <si>
    <t>280-280</t>
  </si>
  <si>
    <t>275-275-280</t>
  </si>
  <si>
    <t>265-265-265-265</t>
  </si>
  <si>
    <t>250-250-250-260-260</t>
  </si>
  <si>
    <t>330-190-180-220-220-200-220</t>
  </si>
  <si>
    <t>230-230-235-235-320-235</t>
  </si>
  <si>
    <t>65-65-65-65-65</t>
  </si>
  <si>
    <t>200 CC SP028 25 ŞEFFAF ŞEFFAF PALET STANDART</t>
  </si>
  <si>
    <t>18421</t>
  </si>
  <si>
    <t>1200 CC S051 74 OPAK BEYAZ PALET STANDART</t>
  </si>
  <si>
    <t>18441</t>
  </si>
  <si>
    <t>300 CC S053 24 ŞEFFAF ŞEFFAF PLS. PLT STANDART</t>
  </si>
  <si>
    <t>18444</t>
  </si>
  <si>
    <t>80 CC Y330 19 ŞEFFAF TURUNCU PLT.IC.KOLI STANDART</t>
  </si>
  <si>
    <t>18420</t>
  </si>
  <si>
    <t>18450</t>
  </si>
  <si>
    <t>E031A 110 MM ETİKETLİ FOLYOLU 17 OPAK MAVİ PLT.IC.KOLI STANDART</t>
  </si>
  <si>
    <t>18451</t>
  </si>
  <si>
    <t>52-50-50</t>
  </si>
  <si>
    <t>82-79-76-71-51-42</t>
  </si>
  <si>
    <t>94-92-89-87-85</t>
  </si>
  <si>
    <t>59-58-57-56-55-55</t>
  </si>
  <si>
    <t>70-70-69-68</t>
  </si>
  <si>
    <t>73-72-71-70-27-24</t>
  </si>
  <si>
    <t>80-78-76-72-70</t>
  </si>
  <si>
    <t>61-60-59-58</t>
  </si>
  <si>
    <t>42-40-38-36-35-33</t>
  </si>
  <si>
    <t>46-41-38-37-40-40-40-35-35-36-68</t>
  </si>
  <si>
    <t>128-63-48-43</t>
  </si>
  <si>
    <t>272--270-270-275</t>
  </si>
  <si>
    <t>209-210-210-210-199</t>
  </si>
  <si>
    <t>210-205-205-200-195</t>
  </si>
  <si>
    <t>244-220-215-215-205-200</t>
  </si>
  <si>
    <t>286-280-280-281-276</t>
  </si>
  <si>
    <t>290-290-290-290-280</t>
  </si>
  <si>
    <t>242-242-250-260-260</t>
  </si>
  <si>
    <t>185-200-200-200-200-200-200-175-180-185-200</t>
  </si>
  <si>
    <t>230-230-240-240-328-270</t>
  </si>
  <si>
    <t>79-79-79-86-100-100-75-89-88-100</t>
  </si>
  <si>
    <t>1000 CC S013 43 ŞEFFAF ŞEFFAF PLS. PLT STANDART</t>
  </si>
  <si>
    <t>18382</t>
  </si>
  <si>
    <t>950 CC D059 40 OPAK BEYAZ PALET STANDART</t>
  </si>
  <si>
    <t>18456</t>
  </si>
  <si>
    <t>E125 62 MM BAHARAT FLİPTOP 12 OPAK GOLD KOLI STANDART</t>
  </si>
  <si>
    <t>18445</t>
  </si>
  <si>
    <t>35-35-40</t>
  </si>
  <si>
    <t>41-5-40-40</t>
  </si>
  <si>
    <t>82-20-90</t>
  </si>
  <si>
    <t>95-93-92-90-89</t>
  </si>
  <si>
    <t>42-39-38-37-36-35</t>
  </si>
  <si>
    <t>68-67-66-65</t>
  </si>
  <si>
    <t>70-69-68-67</t>
  </si>
  <si>
    <t>57-56-55-54</t>
  </si>
  <si>
    <t>58-57-56-55</t>
  </si>
  <si>
    <t>61-60-59-59-58</t>
  </si>
  <si>
    <t>53-52-51-50</t>
  </si>
  <si>
    <t>38-35-35-35-40-40-40-35-42-40-70</t>
  </si>
  <si>
    <t>132-63-48-43</t>
  </si>
  <si>
    <t>165-85-70-50-44</t>
  </si>
  <si>
    <t>175-170-165-165-160</t>
  </si>
  <si>
    <t>210-210-205-200-195-191</t>
  </si>
  <si>
    <t>286-280-280-280-275</t>
  </si>
  <si>
    <t>290-290-290-290-279</t>
  </si>
  <si>
    <t>210-210-189-195-190</t>
  </si>
  <si>
    <t>270-200-210-215-200-200-195</t>
  </si>
  <si>
    <t>240-240-240-240-240-240-260-240-240-175-175-175</t>
  </si>
  <si>
    <t>230-230-240-240-328-262</t>
  </si>
  <si>
    <t>79-79-79-86-100-100-70-89-88-100</t>
  </si>
  <si>
    <t>225-228-257</t>
  </si>
  <si>
    <t>500 CC X305 35 ŞEFFAF ŞEFFAF PALET STANDART</t>
  </si>
  <si>
    <t>18457</t>
  </si>
  <si>
    <t>1000 CC X380 52 OPAK BEYAZ PALET STANDART</t>
  </si>
  <si>
    <t>18454</t>
  </si>
  <si>
    <t>400 CC Z100 28 ŞEFFAF ŞEFFAF PALET STANDART</t>
  </si>
  <si>
    <t>18455</t>
  </si>
  <si>
    <t>18460</t>
  </si>
  <si>
    <t>1000 CC D125 52 ŞEFFAF ŞEFFAF PALET STANDART</t>
  </si>
  <si>
    <t>18465</t>
  </si>
  <si>
    <t>500 CC D105 35 ŞEFFAF ŞEFFAF PALET STANDART</t>
  </si>
  <si>
    <t>18462</t>
  </si>
  <si>
    <t>E121A 28MM TRIMSIZ KAPAK 10 OPAK KIRMIZI KOLI STANDART</t>
  </si>
  <si>
    <t>18469</t>
  </si>
  <si>
    <t>18468</t>
  </si>
  <si>
    <t>1000 CC Z102 27 ŞEFFAF YEŞİL PALET CAKMA</t>
  </si>
  <si>
    <t>18216</t>
  </si>
  <si>
    <t>160 CC Y286 29 ŞEFFAF SARI PALET STANDART</t>
  </si>
  <si>
    <t>18449</t>
  </si>
  <si>
    <t>JADE + %10 KIRMA</t>
  </si>
  <si>
    <t>65-40-68</t>
  </si>
  <si>
    <t>34-44-42,5</t>
  </si>
  <si>
    <t>92-91-89-87-86</t>
  </si>
  <si>
    <t>80-79-78-77-76-75</t>
  </si>
  <si>
    <t>70-65-60-55-50-45</t>
  </si>
  <si>
    <t>75-74-73-72-74</t>
  </si>
  <si>
    <t>36-35-34-33-32-31</t>
  </si>
  <si>
    <t>42-41-40-39-38-37</t>
  </si>
  <si>
    <t>42-40-39-37-35-33</t>
  </si>
  <si>
    <t>65-55-50-45-40-35</t>
  </si>
  <si>
    <t>290-286-284-282</t>
  </si>
  <si>
    <t>125-82-61-40</t>
  </si>
  <si>
    <t>290-290-290-290-290</t>
  </si>
  <si>
    <t>280-280-280-280-282</t>
  </si>
  <si>
    <t>270-270-270-270-275</t>
  </si>
  <si>
    <t>205-215-210-205-193</t>
  </si>
  <si>
    <t>175-169-165-165-159</t>
  </si>
  <si>
    <t>210-191-205-200-195</t>
  </si>
  <si>
    <t>290-290-290-288-275</t>
  </si>
  <si>
    <t>256-285-286-285-275</t>
  </si>
  <si>
    <t>280-275-275-270</t>
  </si>
  <si>
    <t>275-280</t>
  </si>
  <si>
    <t>270-200-235-210-200-200-180-180-180</t>
  </si>
  <si>
    <t>240-240-240-270-240-240-260-240</t>
  </si>
  <si>
    <t>120-130-120-95-95-95</t>
  </si>
  <si>
    <t>245-245-245-250-260</t>
  </si>
  <si>
    <t>18459</t>
  </si>
  <si>
    <t>18461</t>
  </si>
  <si>
    <t>750 CC D082 35 ŞEFFAF ŞEFFAF K.TAVA PALET STANDART</t>
  </si>
  <si>
    <t>18473</t>
  </si>
  <si>
    <t>150 CC Y285 19 ŞEFFAF MAVİ PALET STANDART</t>
  </si>
  <si>
    <t>18464</t>
  </si>
  <si>
    <t>46-43-44</t>
  </si>
  <si>
    <t>96-94-92-92-89</t>
  </si>
  <si>
    <t>85-84-83-81</t>
  </si>
  <si>
    <t>65-53-51-50-49-48</t>
  </si>
  <si>
    <t>63-61-60-58-53-48</t>
  </si>
  <si>
    <t>65-64-63-62-60</t>
  </si>
  <si>
    <t>76-75-74-73-72</t>
  </si>
  <si>
    <t>46-45-44-43-42-41</t>
  </si>
  <si>
    <t>68-67-66-64</t>
  </si>
  <si>
    <t>57-55-50-45-40-35</t>
  </si>
  <si>
    <t>59-58-57-56-55</t>
  </si>
  <si>
    <t>290-286-284-282-280</t>
  </si>
  <si>
    <t>45-61-34-34-34-48-44-43-34-29-39</t>
  </si>
  <si>
    <t>125-85-61-40</t>
  </si>
  <si>
    <t>65-65-65-90-120-89</t>
  </si>
  <si>
    <t>280-280-280-280-280-282</t>
  </si>
  <si>
    <t>195-210-215-210-211</t>
  </si>
  <si>
    <t>210-192-205-200-195</t>
  </si>
  <si>
    <t>190-185-180-180-175-170</t>
  </si>
  <si>
    <t>290-290-290-290-266</t>
  </si>
  <si>
    <t>257-285-285-285-275</t>
  </si>
  <si>
    <t>210-210-186-195-189</t>
  </si>
  <si>
    <t>250-250-250-250</t>
  </si>
  <si>
    <t>245-245-240-255-256</t>
  </si>
  <si>
    <t>200-195-210-200-185-195</t>
  </si>
  <si>
    <t>280-280-240-240-280-250-265</t>
  </si>
  <si>
    <t>75-77-81-77-100-100-67-89-89</t>
  </si>
  <si>
    <t>120-135-120-95-95-95-100</t>
  </si>
  <si>
    <t>245-270-240-260</t>
  </si>
  <si>
    <t>LATİF</t>
  </si>
  <si>
    <t>18482</t>
  </si>
  <si>
    <t>1500 CC SP026 52 ŞEFFAF ŞEFFAF PALET STANDART</t>
  </si>
  <si>
    <t>18471</t>
  </si>
  <si>
    <t>750 CC X419 35 ŞEFFAF ŞEFFAF PALET STANDART</t>
  </si>
  <si>
    <t>18472</t>
  </si>
  <si>
    <t>18475</t>
  </si>
  <si>
    <t>500 CC D052 40 ŞEFFAF PEMBE PALET STANDART</t>
  </si>
  <si>
    <t>18480</t>
  </si>
  <si>
    <t>600 CC D113 40 OPAK BEYAZ PALET CAKMA</t>
  </si>
  <si>
    <t>18476</t>
  </si>
  <si>
    <t>1000 CC D107 52 OPAK YEŞİL PALET STANDART</t>
  </si>
  <si>
    <t>18477</t>
  </si>
  <si>
    <t>500 CC D088 45 ŞEFFAF ŞEFFAF PLS. PLT STANDART</t>
  </si>
  <si>
    <t>18418</t>
  </si>
  <si>
    <t>200 CC Y296 25 OPAK BEYAZ PALET STANDART</t>
  </si>
  <si>
    <t>18463</t>
  </si>
  <si>
    <t>150 CC Y285 19 ŞEFFAF KAHVE PALET STANDART</t>
  </si>
  <si>
    <t>18478</t>
  </si>
  <si>
    <t>18474</t>
  </si>
  <si>
    <t>18487</t>
  </si>
  <si>
    <t>1000 CC Z102 27 ŞEFFAF ŞEFFAF PALET CAKMA</t>
  </si>
  <si>
    <t>18227</t>
  </si>
  <si>
    <t>49,5-34-32</t>
  </si>
  <si>
    <t>43-43-44</t>
  </si>
  <si>
    <t>44-43-45,5</t>
  </si>
  <si>
    <t>99-95-93-94-93</t>
  </si>
  <si>
    <t>55-53-52-51-50-49-48</t>
  </si>
  <si>
    <t>85-84-83-82-81-80</t>
  </si>
  <si>
    <t>49-44-34-32-34-46-35-32-32-53-50</t>
  </si>
  <si>
    <t>125-85-61-42</t>
  </si>
  <si>
    <t>195-210-215-210-202</t>
  </si>
  <si>
    <t>287-280-280-280-275</t>
  </si>
  <si>
    <t>270-280-280-275-265</t>
  </si>
  <si>
    <t>280-275-275-275</t>
  </si>
  <si>
    <t>275-275-275-275-275-275-275</t>
  </si>
  <si>
    <t>275-275,5</t>
  </si>
  <si>
    <t>241-241-255-255</t>
  </si>
  <si>
    <t>245-245-245-255-256</t>
  </si>
  <si>
    <t>230-195-205-200-200-195-200</t>
  </si>
  <si>
    <t>95-95-95-88-95-95-95-85</t>
  </si>
  <si>
    <t>245-245-245-255-255</t>
  </si>
  <si>
    <t>1000 CC X383 45 ŞEFFAF ŞEFFAF PALET STANDART</t>
  </si>
  <si>
    <t>18491</t>
  </si>
  <si>
    <t>18499</t>
  </si>
  <si>
    <t>750 CC D072 35 ŞEFFAF ŞEFFAF PALET STANDART</t>
  </si>
  <si>
    <t>18485</t>
  </si>
  <si>
    <t>18505</t>
  </si>
  <si>
    <t>E063 110 MM 32 OPAK SARI KOLI STANDART</t>
  </si>
  <si>
    <t>18496</t>
  </si>
  <si>
    <t>200 CC P118 17 OPAK SİYAH PALET STANDART</t>
  </si>
  <si>
    <t>18501</t>
  </si>
  <si>
    <t>3000 CC P111 120 OPAK TURKUAZ POSET STANDART</t>
  </si>
  <si>
    <t>18440</t>
  </si>
  <si>
    <t>78-45-65</t>
  </si>
  <si>
    <t>85-20</t>
  </si>
  <si>
    <t>100-95-91-89-88</t>
  </si>
  <si>
    <t>94-93-92-91-90-90</t>
  </si>
  <si>
    <t>87-85-79-78-77-76</t>
  </si>
  <si>
    <t>60-59-58-57-56</t>
  </si>
  <si>
    <t>78-77-76-75-74</t>
  </si>
  <si>
    <t>33-32-31-30-29-28</t>
  </si>
  <si>
    <t>44-43-42-41-40-39-38</t>
  </si>
  <si>
    <t>45-43-40-39-38-37</t>
  </si>
  <si>
    <t>61-60-59-58-55</t>
  </si>
  <si>
    <t>52-47-37-34-36</t>
  </si>
  <si>
    <t>285-285-285-285-290</t>
  </si>
  <si>
    <t>195-210-215-210-206</t>
  </si>
  <si>
    <t>175-170-165-160-160</t>
  </si>
  <si>
    <t>220-200-210-205-200</t>
  </si>
  <si>
    <t>285-280-280-280-276</t>
  </si>
  <si>
    <t>270-280-280-280-275</t>
  </si>
  <si>
    <t>175-185-185-185-185-185-185</t>
  </si>
  <si>
    <t>175-170-170-175</t>
  </si>
  <si>
    <t>210-210-191-195-190</t>
  </si>
  <si>
    <t>270-265-250-290-280-290</t>
  </si>
  <si>
    <t>280-260</t>
  </si>
  <si>
    <t>290-290-235-235-325-235</t>
  </si>
  <si>
    <t>95-95-95-95-95-95-95-95-95-100</t>
  </si>
  <si>
    <t>245-280-240-249</t>
  </si>
  <si>
    <t>1500 CC SP026 52 ŞEFFAF ŞEFFAF PLS. PLT STANDART</t>
  </si>
  <si>
    <t>18481</t>
  </si>
  <si>
    <t>1000 CC X134 45 ŞEFFAF ŞEFFAF PALET STANDART</t>
  </si>
  <si>
    <t>18395</t>
  </si>
  <si>
    <t>18502</t>
  </si>
  <si>
    <t>1000 CC X366 45 ŞEFFAF ŞEFFAF PALET STANDART</t>
  </si>
  <si>
    <t>18503</t>
  </si>
  <si>
    <t>18493</t>
  </si>
  <si>
    <t>18510</t>
  </si>
  <si>
    <t>18488</t>
  </si>
  <si>
    <t>44-40,6-45</t>
  </si>
  <si>
    <t>100-95-92-90-88</t>
  </si>
  <si>
    <t>41-40-39-38-37-36</t>
  </si>
  <si>
    <t>90-89-87-86-84</t>
  </si>
  <si>
    <t>90-85-80-78-77-76</t>
  </si>
  <si>
    <t>61-60-59-58-57</t>
  </si>
  <si>
    <t>80-79-78-77-76</t>
  </si>
  <si>
    <t>51-47-45-40-38-37</t>
  </si>
  <si>
    <t>40-59-58-57-55</t>
  </si>
  <si>
    <t>295-295-295-295-290</t>
  </si>
  <si>
    <t>65-35-22-22-50-55-52-34-34-70-55</t>
  </si>
  <si>
    <t>150-102-60-30</t>
  </si>
  <si>
    <t>285-285-280-280-280</t>
  </si>
  <si>
    <t>195-210-215-210-205</t>
  </si>
  <si>
    <t>240-220-215-215-205-200</t>
  </si>
  <si>
    <t>255-280-280-280-275</t>
  </si>
  <si>
    <t>276-280-280-280-275</t>
  </si>
  <si>
    <t>82-175-185-185-185-185-185-185</t>
  </si>
  <si>
    <t>280-270-270-270</t>
  </si>
  <si>
    <t>210-210-185-195-190</t>
  </si>
  <si>
    <t>2275-275-275-275-275-275-275</t>
  </si>
  <si>
    <t>270-265-257-250-290-280</t>
  </si>
  <si>
    <t>290-270</t>
  </si>
  <si>
    <t>230-230-280-235-330-235</t>
  </si>
  <si>
    <t>90-90-90-88-90-90-85-90-88-100</t>
  </si>
  <si>
    <t>245-280-230-250</t>
  </si>
  <si>
    <t>500 CC X097 35 ŞEFFAF ŞEFFAF PLS. PLT STANDART</t>
  </si>
  <si>
    <t>18509</t>
  </si>
  <si>
    <t>18513</t>
  </si>
  <si>
    <t>18516</t>
  </si>
  <si>
    <t>150 CC Y285 19 ŞEFFAF KIRMIZI PALET STANDART</t>
  </si>
  <si>
    <t>18512</t>
  </si>
  <si>
    <t>E123 28 MM FLİPTOP 13 ŞEFFAF LİLA PLT.IC.KOLI STANDART</t>
  </si>
  <si>
    <t>18506</t>
  </si>
  <si>
    <t>5000 CC S001 90 ŞEFFAF ŞEFFAF POSET STANDART</t>
  </si>
  <si>
    <t>18495</t>
  </si>
  <si>
    <t>18511</t>
  </si>
  <si>
    <t>66-28-60</t>
  </si>
  <si>
    <t>44-43-45</t>
  </si>
  <si>
    <t>97-96-94-90-88</t>
  </si>
  <si>
    <t>41-40-39-38-37-36-35</t>
  </si>
  <si>
    <t>95-94-93-92-91-90</t>
  </si>
  <si>
    <t>79-78-77-76</t>
  </si>
  <si>
    <t>88-87-86-85-84-83</t>
  </si>
  <si>
    <t>126-100-60-90</t>
  </si>
  <si>
    <t>300-290-290-290-290</t>
  </si>
  <si>
    <t>270-267-265-265</t>
  </si>
  <si>
    <t>220-215-210-205-200-194</t>
  </si>
  <si>
    <t>220-215-210-205-200</t>
  </si>
  <si>
    <t>72-68-46-50-30-36-39-42</t>
  </si>
  <si>
    <t>280-267-267-268</t>
  </si>
  <si>
    <t>280-280-280-285</t>
  </si>
  <si>
    <t>245-245-240-255-255</t>
  </si>
  <si>
    <t>270-265-260-250-315-250</t>
  </si>
  <si>
    <t>280-255</t>
  </si>
  <si>
    <t>240-240-237-250-250</t>
  </si>
  <si>
    <t>1000 CC X378 45 ŞEFFAF ŞEFFAF K.TAVA PALET STANDART</t>
  </si>
  <si>
    <t>18520</t>
  </si>
  <si>
    <t>750 CC Z099 26 ŞEFFAF ŞEFFAF PLS. PLT STANDART</t>
  </si>
  <si>
    <t>18504</t>
  </si>
  <si>
    <t>500 CC D085 35 ŞEFFAF ŞEFFAF K.TAVA PALET STANDART</t>
  </si>
  <si>
    <t>18518</t>
  </si>
  <si>
    <t>52-25-52</t>
  </si>
  <si>
    <t>40-45-76</t>
  </si>
  <si>
    <t>97-96-64-90-88</t>
  </si>
  <si>
    <t>90-91-90-89-88-87</t>
  </si>
  <si>
    <t>77-76-75-74</t>
  </si>
  <si>
    <t>126-100-60-30</t>
  </si>
  <si>
    <t>70-195-120-55-40-40</t>
  </si>
  <si>
    <t>195-210-215-210-210</t>
  </si>
  <si>
    <t>220-215-210-205-200-195</t>
  </si>
  <si>
    <t>85-68-55-45-35-25-25-30</t>
  </si>
  <si>
    <t>280-280-285-280-280</t>
  </si>
  <si>
    <t>235-195-205-200-200-195</t>
  </si>
  <si>
    <t>280-275</t>
  </si>
  <si>
    <t>750 CC X031 35 ŞEFFAF ŞEFFAF PALET STANDART</t>
  </si>
  <si>
    <t>18521</t>
  </si>
  <si>
    <t>18517</t>
  </si>
  <si>
    <t>400 CC Z101 26 ŞEFFAF ŞEFFAF PALET STANDART</t>
  </si>
  <si>
    <t>18529</t>
  </si>
  <si>
    <t>18514</t>
  </si>
  <si>
    <t>1000 CC D107 52 OPAK SİYAH PALET STANDART</t>
  </si>
  <si>
    <t>18522</t>
  </si>
  <si>
    <t>18532</t>
  </si>
  <si>
    <t>18489</t>
  </si>
  <si>
    <t>400 CC Z032 28 ŞEFFAF ŞEFFAF PALET STANDART</t>
  </si>
  <si>
    <t>18427</t>
  </si>
  <si>
    <t>200 CC Y321 25 ŞEFFAF TURKUAZ PALET STANDART</t>
  </si>
  <si>
    <t>18530</t>
  </si>
  <si>
    <t>40-45-49</t>
  </si>
  <si>
    <t>91-90-89-88-87-86</t>
  </si>
  <si>
    <t>47-46-45-44-43-42</t>
  </si>
  <si>
    <t>125-100-60-30</t>
  </si>
  <si>
    <t>195-210-215-210-215</t>
  </si>
  <si>
    <t>215-200-210-205-200</t>
  </si>
  <si>
    <t>230-210-215-215-205-200</t>
  </si>
  <si>
    <t>75-61-52-45-37-32-25-30</t>
  </si>
  <si>
    <t>245-285-285-270</t>
  </si>
  <si>
    <t>280-275-274-274</t>
  </si>
  <si>
    <t>220-195-205-200-190-195-180</t>
  </si>
  <si>
    <t>270-265-285-295-315-300-340</t>
  </si>
  <si>
    <t>340-280</t>
  </si>
  <si>
    <t>230-235-230-330-235</t>
  </si>
  <si>
    <t>95-130-95-85-90-90</t>
  </si>
  <si>
    <t>255-255-255-275-275</t>
  </si>
  <si>
    <t>40-45-47,5</t>
  </si>
  <si>
    <t>85-20-87</t>
  </si>
  <si>
    <t>92-91-90-89-88-87</t>
  </si>
  <si>
    <t>80-79-78-77</t>
  </si>
  <si>
    <t>69-68-67-66</t>
  </si>
  <si>
    <t>80-78-76-74-72-70</t>
  </si>
  <si>
    <t>48-47-46-44-44-42</t>
  </si>
  <si>
    <t>48-28-30-46-44-44-40-36-35-62-48</t>
  </si>
  <si>
    <t>123-110-60-30</t>
  </si>
  <si>
    <t>70-82-78-76-96-131</t>
  </si>
  <si>
    <t>270-275-275-277-275</t>
  </si>
  <si>
    <t>265-260-260-260</t>
  </si>
  <si>
    <t>38-45-35-36-38-39-37-41</t>
  </si>
  <si>
    <t>215-285-285-285-270</t>
  </si>
  <si>
    <t>275-280-280-280-275</t>
  </si>
  <si>
    <t>248-248-260-260</t>
  </si>
  <si>
    <t>245-245-265-265</t>
  </si>
  <si>
    <t>220-195-205-200-190-195</t>
  </si>
  <si>
    <t>275-265-285-295-315-300</t>
  </si>
  <si>
    <t>230-230-243-245-330-210</t>
  </si>
  <si>
    <t>90-90-90-95-95-90-87-90-90</t>
  </si>
  <si>
    <t>255-255-255-270-270</t>
  </si>
  <si>
    <t>400 CC X282 35 ŞEFFAF ŞEFFAF PALET CAKMA</t>
  </si>
  <si>
    <t>18527</t>
  </si>
  <si>
    <t>1000 CC X134 52 ŞEFFAF ŞEFFAF PALET STANDART</t>
  </si>
  <si>
    <t>18536</t>
  </si>
  <si>
    <t>18523</t>
  </si>
  <si>
    <t>18546</t>
  </si>
  <si>
    <t>400 CC Y105 25 ŞEFFAF ŞEFFAF PALET KISA</t>
  </si>
  <si>
    <t>18535</t>
  </si>
  <si>
    <t>300 CC Y044 25 OPAK SİYAH PALET CAKMA</t>
  </si>
  <si>
    <t>18483</t>
  </si>
  <si>
    <t>E123 28 MM FLİPTOP 13 ŞEFFAF BUZ BEYAZ PLT.IC.KOLI STANDART</t>
  </si>
  <si>
    <t>18534</t>
  </si>
  <si>
    <t>18542</t>
  </si>
  <si>
    <t>700 CC S006 90 ŞEFFAF ŞEFFAF PLS. PLT STANDART</t>
  </si>
  <si>
    <t>18537</t>
  </si>
  <si>
    <t>3000 CC P111 120 OPAK BEYAZ POSET STANDART</t>
  </si>
  <si>
    <t>18526</t>
  </si>
  <si>
    <t>200 CC Y340 22 ŞEFFAF KAHVE PALET STANDART</t>
  </si>
  <si>
    <t>18540</t>
  </si>
  <si>
    <t>400 CC Y206 29 ŞEFFAF ŞEFFAF PALET KISA</t>
  </si>
  <si>
    <t>18538</t>
  </si>
  <si>
    <t>450 CC SP032 29 ŞEFFAF ŞEFFAF K.TAVA PALET CAKMA</t>
  </si>
  <si>
    <t>18515</t>
  </si>
  <si>
    <t>400 CC Z018 26 ŞEFFAF ŞEFFAF PLS. PLT K.TAVA STANDART</t>
  </si>
  <si>
    <t>18544</t>
  </si>
  <si>
    <t>300 CC Y044 25 OPAK KIRMIZI PALET CAKMA</t>
  </si>
  <si>
    <t>18494</t>
  </si>
  <si>
    <t>750 CC Z064 28 ŞEFFAF ŞEFFAF POSET STANDART</t>
  </si>
  <si>
    <t>18528</t>
  </si>
  <si>
    <t>E125 62 MM BAHARAT FLİPTOP 12 OPAK KIRMIZI KOLI STANDART</t>
  </si>
  <si>
    <t>18531</t>
  </si>
  <si>
    <t>İNDROMA</t>
  </si>
  <si>
    <t>85-48-70</t>
  </si>
  <si>
    <t>45-45-42</t>
  </si>
  <si>
    <t>99-98-96-92-90</t>
  </si>
  <si>
    <t>101-100-99-98-97-96</t>
  </si>
  <si>
    <t>55-53-48-46-45-46</t>
  </si>
  <si>
    <t>53-52-51-50-49</t>
  </si>
  <si>
    <t>89-88-87-86-85-84</t>
  </si>
  <si>
    <t>50-48-45-43-40-38</t>
  </si>
  <si>
    <t>50-49-48-47-46</t>
  </si>
  <si>
    <t>52-47-37-35-37-37-37-35-34-61-45</t>
  </si>
  <si>
    <t>86-77-56-70-96-131</t>
  </si>
  <si>
    <t>272-270-270-268</t>
  </si>
  <si>
    <t>275-280-280-280-260</t>
  </si>
  <si>
    <t>245-285-285-285-270</t>
  </si>
  <si>
    <t>280-275-280-280</t>
  </si>
  <si>
    <t>200-200-200-195-190</t>
  </si>
  <si>
    <t>280-280-280-280-280-280</t>
  </si>
  <si>
    <t>244-244-257-257</t>
  </si>
  <si>
    <t>220-195-205-200-195-195-175</t>
  </si>
  <si>
    <t>275-265-280-295-315-300</t>
  </si>
  <si>
    <t>340-270</t>
  </si>
  <si>
    <t>92-92-92-95-95-95-92-90-90-100</t>
  </si>
  <si>
    <t>200-240-260</t>
  </si>
  <si>
    <t>18552</t>
  </si>
  <si>
    <t>1000 CC X288 45 ŞEFFAF ŞEFFAF PLS. PLT STANDART</t>
  </si>
  <si>
    <t>18548</t>
  </si>
  <si>
    <t>18524</t>
  </si>
  <si>
    <t>18551</t>
  </si>
  <si>
    <t>18547</t>
  </si>
  <si>
    <t>85-48-68</t>
  </si>
  <si>
    <t>44,5-43-45,5</t>
  </si>
  <si>
    <t>96-93-90-89-86</t>
  </si>
  <si>
    <t>51-50-49-48-47</t>
  </si>
  <si>
    <t>60-59-58-57</t>
  </si>
  <si>
    <t>55-50-40-37-32-36-40-40-35-35-70</t>
  </si>
  <si>
    <t>268-270-270-268</t>
  </si>
  <si>
    <t>244-244-253-253</t>
  </si>
  <si>
    <t>220-195-205-200-230-195</t>
  </si>
  <si>
    <t>248-248-245-265-265</t>
  </si>
  <si>
    <t>200-240-300</t>
  </si>
  <si>
    <t>500 CC SP052 25 ŞEFFAF ŞEFFAF PALET STANDART</t>
  </si>
  <si>
    <t>18428</t>
  </si>
  <si>
    <t>18492</t>
  </si>
  <si>
    <t>450 CC Z069 26 ŞEFFAF MAVİ PLS. PLT STANDART</t>
  </si>
  <si>
    <t>18557</t>
  </si>
  <si>
    <t>300 CC S044 24 ŞEFFAF ŞEFFAF PALET STANDART</t>
  </si>
  <si>
    <t>18549</t>
  </si>
  <si>
    <t>500 CC D077 40 ŞEFFAF TURKUAZ PALET STANDART</t>
  </si>
  <si>
    <t>18564</t>
  </si>
  <si>
    <t>18539</t>
  </si>
  <si>
    <t>1500 CC S011 125 ŞEFFAF ŞEFFAF PLS. PLT STANDART</t>
  </si>
  <si>
    <t>18559</t>
  </si>
  <si>
    <t>3000 CC P111 120 OPAK KIRMIZI POSET STANDART</t>
  </si>
  <si>
    <t>18550</t>
  </si>
  <si>
    <t>80-48-70</t>
  </si>
  <si>
    <t>48-45-51,5</t>
  </si>
  <si>
    <t>99-98-95-93-89</t>
  </si>
  <si>
    <t>66-65-64-63-62-61</t>
  </si>
  <si>
    <t>81-80-79-79-78-77</t>
  </si>
  <si>
    <t>59-58-57-56-55-54</t>
  </si>
  <si>
    <t>180-120-39</t>
  </si>
  <si>
    <t>220-195-205-200-210-195-180</t>
  </si>
  <si>
    <t>270-265-265-270-270-285-320</t>
  </si>
  <si>
    <t>228-185-230-230</t>
  </si>
  <si>
    <t>18555</t>
  </si>
  <si>
    <t>1000 CC D103 52 ŞEFFAF ŞEFFAF PALET STANDART</t>
  </si>
  <si>
    <t>18567</t>
  </si>
  <si>
    <t>18553</t>
  </si>
  <si>
    <t>E032 100 MM ETİKETLİ FOLYOLU 13 OPAK YEŞİL PLT.IC.KOLI STANDART</t>
  </si>
  <si>
    <t>18558</t>
  </si>
  <si>
    <t>48-50,5-60</t>
  </si>
  <si>
    <t>56-55-54-53-52</t>
  </si>
  <si>
    <t>67-66-65-64-63-62</t>
  </si>
  <si>
    <t>72-71-70-69</t>
  </si>
  <si>
    <t>41-40-39-38-37-33</t>
  </si>
  <si>
    <t>62-61-60-59</t>
  </si>
  <si>
    <t>52-85-40-60-148-148</t>
  </si>
  <si>
    <t>230-210-215-215-205-210</t>
  </si>
  <si>
    <t>255-255-250-265-265</t>
  </si>
  <si>
    <t>205-225-240</t>
  </si>
  <si>
    <t>220-195-210-200-210-200-180</t>
  </si>
  <si>
    <t>900 CC X377 45 ŞEFFAF SARI PLS. PLT STANDART</t>
  </si>
  <si>
    <t>18575</t>
  </si>
  <si>
    <t>400 CC Z078 26 ŞEFFAF ŞEFFAF PALET STANDART</t>
  </si>
  <si>
    <t>18574</t>
  </si>
  <si>
    <t>18572</t>
  </si>
  <si>
    <t>18577</t>
  </si>
  <si>
    <t>400 CC D032 29 OPAK KREM PLS. PLT K.TAVA STANDART</t>
  </si>
  <si>
    <t>18566</t>
  </si>
  <si>
    <t>700 CC D062 40 ŞEFFAF SARI PLS. PLT STANDART</t>
  </si>
  <si>
    <t>18576</t>
  </si>
  <si>
    <t>250 CC D127  28 ŞEFFAF ŞEFFAF PALET CAKMA</t>
  </si>
  <si>
    <t>18582</t>
  </si>
  <si>
    <t>E123 28 MM FLİPTOP 13 ŞEFFAF SARI PLT.IC.KOLI STANDART</t>
  </si>
  <si>
    <t>18578</t>
  </si>
  <si>
    <t>265 CC P130 30 OPAK BEYAZ PLS. PLT STANDART</t>
  </si>
  <si>
    <t>18571</t>
  </si>
  <si>
    <t>49-41-47</t>
  </si>
  <si>
    <t>60-45--40</t>
  </si>
  <si>
    <t>57-56-55-54-53</t>
  </si>
  <si>
    <t>39-38-37-36-35-34</t>
  </si>
  <si>
    <t>75-55</t>
  </si>
  <si>
    <t>54-53-52-51-50</t>
  </si>
  <si>
    <t>80-78-76-74-72</t>
  </si>
  <si>
    <t>70-50</t>
  </si>
  <si>
    <t>80-57-63-64-57-43-32-25-35-35-28</t>
  </si>
  <si>
    <t>53-30-40-40-42-42-42-42-34-55-80</t>
  </si>
  <si>
    <t>290-280-280-280-280</t>
  </si>
  <si>
    <t>280-280-280-280-285</t>
  </si>
  <si>
    <t>275-280-280-280-248</t>
  </si>
  <si>
    <t>90-175-175-175-175-175-175-175</t>
  </si>
  <si>
    <t>265-265</t>
  </si>
  <si>
    <t>260-265-270-270-275</t>
  </si>
  <si>
    <t>250-250-250-265-265</t>
  </si>
  <si>
    <t>210-225-250</t>
  </si>
  <si>
    <t>220-195-210-200-210-200</t>
  </si>
  <si>
    <t>270-265-265-270-270-285</t>
  </si>
  <si>
    <t>110-105-105-105-110-104-104-104-105-105-105-105</t>
  </si>
  <si>
    <t>700 CC SP009 40 OPAK SARI PLS. PLT STANDART</t>
  </si>
  <si>
    <t>18587</t>
  </si>
  <si>
    <t>18579</t>
  </si>
  <si>
    <t>18591</t>
  </si>
  <si>
    <t>60-45-40</t>
  </si>
  <si>
    <t>65-64-63-62</t>
  </si>
  <si>
    <t>72-72-71-70</t>
  </si>
  <si>
    <t>55-54-53-52</t>
  </si>
  <si>
    <t>38-29-34-34-44-48-34-34-34-61-45</t>
  </si>
  <si>
    <t>280-270-270-270-280</t>
  </si>
  <si>
    <t>275-265-270-270-275</t>
  </si>
  <si>
    <t>240-240-255-255</t>
  </si>
  <si>
    <t>248-248-248-265-265</t>
  </si>
  <si>
    <t>120-195-210-200-210-200-180</t>
  </si>
  <si>
    <t>225-182-215-210-210</t>
  </si>
  <si>
    <t>110-105-105-105-110-104-104-104-105-105-105-105-80</t>
  </si>
  <si>
    <t>18592</t>
  </si>
  <si>
    <t>18584</t>
  </si>
  <si>
    <t>18594</t>
  </si>
  <si>
    <t>18593</t>
  </si>
  <si>
    <t>1000 CC D103 52 OPAK YEŞİL PALET STANDART</t>
  </si>
  <si>
    <t>18588</t>
  </si>
  <si>
    <t>200 CC Y253 25 ŞEFFAF ŞEFFAF PALET STANDART</t>
  </si>
  <si>
    <t>18595</t>
  </si>
  <si>
    <t>250 CC Y122 21 OPAK SARI PLS. PLT STANDART</t>
  </si>
  <si>
    <t>18597</t>
  </si>
  <si>
    <t>E083 24 MM FLİPTOP 4 OPAK BEYAZ KOLI STANDART</t>
  </si>
  <si>
    <t>18599</t>
  </si>
  <si>
    <t>E128 28 MM 8 OPAK BORDO KOLI CAKMA</t>
  </si>
  <si>
    <t>18601</t>
  </si>
  <si>
    <t>E121 28 MM KAPAK 10 OPAK GOLD KOLI STANDART</t>
  </si>
  <si>
    <t>18598</t>
  </si>
  <si>
    <t>E032 100 MM ETİKETLİ FOLYOLU 13 OPAK YEŞİL-BEYAZ PLT.IC.KOLI STANDART</t>
  </si>
  <si>
    <t>18600</t>
  </si>
  <si>
    <t>3000 CC P111 120 OPAK SİYAH POSET STANDART</t>
  </si>
  <si>
    <t>18589</t>
  </si>
  <si>
    <t>65 CC I018 8 ŞEFFAF ŞEFFAF KOLI STANDART</t>
  </si>
  <si>
    <t>18561</t>
  </si>
  <si>
    <t>pp</t>
  </si>
  <si>
    <t>84-81-78-73-53-44</t>
  </si>
  <si>
    <t>32-31-30-29-28-28</t>
  </si>
  <si>
    <t>78-75-74-72-30-27</t>
  </si>
  <si>
    <t>31-30-29</t>
  </si>
  <si>
    <t>29-28-27</t>
  </si>
  <si>
    <t>80-75-61-52-45-37-37-27-30</t>
  </si>
  <si>
    <t>52-47-37-32-36-37-37-34-31-61-80</t>
  </si>
  <si>
    <t>180-215-210-205-205</t>
  </si>
  <si>
    <t>239-250-239-238-233-245</t>
  </si>
  <si>
    <t>239-239-250-250</t>
  </si>
  <si>
    <t>265-265-260-265</t>
  </si>
  <si>
    <t>260-260-265-260-260-270</t>
  </si>
  <si>
    <t>225-180-215-215-215</t>
  </si>
  <si>
    <t>18585</t>
  </si>
  <si>
    <t>18613</t>
  </si>
  <si>
    <t>18596</t>
  </si>
  <si>
    <t>E032 100 MM ETİKETLİ FOLYOLU 13 OPAK MAVİ PLT.IC.KOLI STANDART</t>
  </si>
  <si>
    <t>18609</t>
  </si>
  <si>
    <t>500 CC P131 38 SEDEF LACİVERT PLS. PLT K.TAVA STANDART</t>
  </si>
  <si>
    <t>18560</t>
  </si>
  <si>
    <t>45-45-41</t>
  </si>
  <si>
    <t>280-280-275-275-275</t>
  </si>
  <si>
    <t>61-39-34-34-44-52-34-34-34-65-75</t>
  </si>
  <si>
    <t>264-260-260-260</t>
  </si>
  <si>
    <t>220-200-210-187-200</t>
  </si>
  <si>
    <t>268-268-268-268</t>
  </si>
  <si>
    <t>260-260-250-250</t>
  </si>
  <si>
    <t>270-270-270-280-280</t>
  </si>
  <si>
    <t>260-260-255-260</t>
  </si>
  <si>
    <t>270-265-265-270-270-285-325</t>
  </si>
  <si>
    <t>225-180-210-210-200</t>
  </si>
  <si>
    <t>18631</t>
  </si>
  <si>
    <t>300 CC S044 24 ŞEFFAF ŞEFFAF PLS. PLT STANDART</t>
  </si>
  <si>
    <t>18614</t>
  </si>
  <si>
    <t>900 CC D066 45 ŞEFFAF SARI PLS. PLT STANDART</t>
  </si>
  <si>
    <t>18612</t>
  </si>
  <si>
    <t>250 CC D127  28 OPAK BEYAZ PALET CAKMA</t>
  </si>
  <si>
    <t>18583</t>
  </si>
  <si>
    <t>900 CC D124 52 SEDEF MOR PALET STANDART</t>
  </si>
  <si>
    <t>18630</t>
  </si>
  <si>
    <t>18602</t>
  </si>
  <si>
    <t>310 CC Y344 26 ŞEFFAF ŞEFFAF YÜKSEK PLT K.TAVA STANDART</t>
  </si>
  <si>
    <t>18629</t>
  </si>
  <si>
    <t>E018 24 MM TIPA 1 ŞEFFAF ŞEFFAF KOLI STANDART</t>
  </si>
  <si>
    <t>18625</t>
  </si>
  <si>
    <t>E125 62 MM BAHARAT FLİPTOP 12 OPAK YEŞİL PLT.IC.KOLI STANDART</t>
  </si>
  <si>
    <t>18633</t>
  </si>
  <si>
    <t>18617</t>
  </si>
  <si>
    <t>E032 100 MM ETİKETLİ FOLYOLU 13 OPAK GOLD PLT.IC.KOLI STANDART</t>
  </si>
  <si>
    <t>18632</t>
  </si>
  <si>
    <t>48-50,5-50</t>
  </si>
  <si>
    <t>49-38,5-45</t>
  </si>
  <si>
    <t>66-45</t>
  </si>
  <si>
    <t>48-43-42</t>
  </si>
  <si>
    <t>45-44-43-42-40</t>
  </si>
  <si>
    <t>74-73-72-71</t>
  </si>
  <si>
    <t>30-29-28</t>
  </si>
  <si>
    <t>43-42-41-40-39</t>
  </si>
  <si>
    <t>65-64-63-60</t>
  </si>
  <si>
    <t>191-150-42</t>
  </si>
  <si>
    <t>275-280-280-270-270</t>
  </si>
  <si>
    <t>270-265-268-268</t>
  </si>
  <si>
    <t>283-283-283-283</t>
  </si>
  <si>
    <t>175-175-175-175-175</t>
  </si>
  <si>
    <t>215-210-200-200-190</t>
  </si>
  <si>
    <t>249-256-246-246-238-246</t>
  </si>
  <si>
    <t>290-280</t>
  </si>
  <si>
    <t>285-285</t>
  </si>
  <si>
    <t>238-238-238-250-250</t>
  </si>
  <si>
    <t>283-283</t>
  </si>
  <si>
    <t>230-250-215</t>
  </si>
  <si>
    <t>270-265-270-270-295-285</t>
  </si>
  <si>
    <t>225-189-220-210-209</t>
  </si>
  <si>
    <t>İNDROMA + %10 KIRMA</t>
  </si>
  <si>
    <t>18636</t>
  </si>
  <si>
    <t>1500 CC X227 52 ŞEFFAF ŞEFFAF PALET STANDART</t>
  </si>
  <si>
    <t>18615</t>
  </si>
  <si>
    <t>400 CC Y006 25 ŞEFFAF YEŞİL PLS. PLT STANDART</t>
  </si>
  <si>
    <t>18623</t>
  </si>
  <si>
    <t>18638</t>
  </si>
  <si>
    <t>PR014 110 MM 12 GÖZ YİVLİ PREFORM 91 ŞEFFAF ŞEFFAF KOLI STANDART</t>
  </si>
  <si>
    <t>17971</t>
  </si>
  <si>
    <t>76-75-74-73</t>
  </si>
  <si>
    <t>68-67-66-65-64-63</t>
  </si>
  <si>
    <t>66-65-64-60</t>
  </si>
  <si>
    <t>33-32-31-29-28-27</t>
  </si>
  <si>
    <t>275-285-285-285-285</t>
  </si>
  <si>
    <t>260-310-310-310-310</t>
  </si>
  <si>
    <t>245-245-250-250</t>
  </si>
  <si>
    <t>235-235-235-250-250</t>
  </si>
  <si>
    <t>240-250-230</t>
  </si>
  <si>
    <t>275-260-270-270-295-285</t>
  </si>
  <si>
    <t>225-189-217-210-203</t>
  </si>
  <si>
    <t>60-60-60-60-60-60</t>
  </si>
  <si>
    <t>150-130-145-145-145-145-150</t>
  </si>
  <si>
    <t>62-40-55</t>
  </si>
  <si>
    <t>43-40-46</t>
  </si>
  <si>
    <t>75-42-70</t>
  </si>
  <si>
    <t>52-51-50-49-48-47</t>
  </si>
  <si>
    <t>55-45-40-35</t>
  </si>
  <si>
    <t>64-63-62-61-60-60</t>
  </si>
  <si>
    <t>90-89-86-84</t>
  </si>
  <si>
    <t>55-54-53-52-51-50</t>
  </si>
  <si>
    <t>80-77-63-55-45-37-32-25-30</t>
  </si>
  <si>
    <t>285-285-290-290-290</t>
  </si>
  <si>
    <t>280-280-285-280</t>
  </si>
  <si>
    <t>150-215-205-195-190</t>
  </si>
  <si>
    <t>170-170-170-165-160</t>
  </si>
  <si>
    <t>215-200-210-187-200</t>
  </si>
  <si>
    <t>260-305-305-305-305</t>
  </si>
  <si>
    <t>275-275-270-270</t>
  </si>
  <si>
    <t>260-265-250-250</t>
  </si>
  <si>
    <t>260-260-261-260-260</t>
  </si>
  <si>
    <t>290-280-270-300-290-280</t>
  </si>
  <si>
    <t>230-230-300-300-230-225</t>
  </si>
  <si>
    <t>225-189-220-210-207</t>
  </si>
  <si>
    <t>150-145-145-145-135-145-153</t>
  </si>
  <si>
    <t>250 CC D027 25 OPAK BEYAZ PALET STANDART</t>
  </si>
  <si>
    <t>18643</t>
  </si>
  <si>
    <t>18642</t>
  </si>
  <si>
    <t>500 CC D060 40 ŞEFFAF ŞEFFAF PLS. PLT K.TAVA CAKMA</t>
  </si>
  <si>
    <t>18644</t>
  </si>
  <si>
    <t>18640</t>
  </si>
  <si>
    <t>900 CC D124 52 SEDEF TURKUAZ PALET STANDART</t>
  </si>
  <si>
    <t>18645</t>
  </si>
  <si>
    <t>200 CC Y099 25 ŞEFFAF YEŞİL PLS. PLT K.TAVA STANDART</t>
  </si>
  <si>
    <t>18639</t>
  </si>
  <si>
    <t>E043 KAPAK 10 OPAK SİYAH PLT.IC.KOLI STANDART</t>
  </si>
  <si>
    <t>18649</t>
  </si>
  <si>
    <t>E121 28 MM KAPAK 10 OPAK YEŞİL KOLI STANDART</t>
  </si>
  <si>
    <t>18650</t>
  </si>
  <si>
    <t>E069 24 MM KAPAK 8 OPAK YEŞİL KOLI STANDART</t>
  </si>
  <si>
    <t>18626</t>
  </si>
  <si>
    <t>E124 28 MM FLİPTOP 13 OPAK MOR PLT.IC.KOLI STANDART</t>
  </si>
  <si>
    <t>18627</t>
  </si>
  <si>
    <t>E032 100 MM ETİKETLİ FOLYOLU 13 OPAK SARI PLT.IC.KOLI STANDART</t>
  </si>
  <si>
    <t>18647</t>
  </si>
  <si>
    <t>18641</t>
  </si>
  <si>
    <t>18620</t>
  </si>
  <si>
    <t>1000 CC X236 45 ŞEFFAF ŞEFFAF PLS. PLT STANDART</t>
  </si>
  <si>
    <t>18651</t>
  </si>
  <si>
    <t>500 CC D077 40 ŞEFFAF BUZ BEYAZ PALET STANDART</t>
  </si>
  <si>
    <t>18655</t>
  </si>
  <si>
    <t>18648</t>
  </si>
  <si>
    <t>E032 100 MM ETİKETLİ FOLYOLU 13 OPAK KIRMIZIBEYAZ PLT.IC.KOLI STANDART</t>
  </si>
  <si>
    <t>18653</t>
  </si>
  <si>
    <t>52-40-55</t>
  </si>
  <si>
    <t>49-40-55</t>
  </si>
  <si>
    <t>89-48-84,5</t>
  </si>
  <si>
    <t>50-45-40-32</t>
  </si>
  <si>
    <t>99-98-97-96</t>
  </si>
  <si>
    <t>60-59-58-53</t>
  </si>
  <si>
    <t>70-85-75-60-40-35-32-28</t>
  </si>
  <si>
    <t>295-285-290-290-290</t>
  </si>
  <si>
    <t>275-280-280-280-280</t>
  </si>
  <si>
    <t>265-262-265-265</t>
  </si>
  <si>
    <t>170-195-195-195-185</t>
  </si>
  <si>
    <t>270-280</t>
  </si>
  <si>
    <t>275-275-270-275</t>
  </si>
  <si>
    <t>280-260-261-260-260</t>
  </si>
  <si>
    <t>245-245-245-265-265</t>
  </si>
  <si>
    <t>290-290-290-295-290-295-300</t>
  </si>
  <si>
    <t>270-230-230-250-230-245</t>
  </si>
  <si>
    <t>225-189-198-210-195</t>
  </si>
  <si>
    <t>18668</t>
  </si>
  <si>
    <t>500 CC Z004 26 ŞEFFAF ŞEFFAF K.TAVA PALET STANDART</t>
  </si>
  <si>
    <t>18621</t>
  </si>
  <si>
    <t>18635</t>
  </si>
  <si>
    <t>650 CC D118 40 OPAK BEYAZ PLS. PLT K.TAVA CAKMA</t>
  </si>
  <si>
    <t>18672</t>
  </si>
  <si>
    <t>18656</t>
  </si>
  <si>
    <t>18608</t>
  </si>
  <si>
    <t>18670</t>
  </si>
  <si>
    <t>E124 28 MM FLİPTOP 13 OPAK ZEYTİN YEŞİLİ PLT.IC.KOLI STANDART</t>
  </si>
  <si>
    <t>18667</t>
  </si>
  <si>
    <t>63-40-55</t>
  </si>
  <si>
    <t>45-42-47,7</t>
  </si>
  <si>
    <t>85-83-81-80-75-70</t>
  </si>
  <si>
    <t>97-96-95-94-93</t>
  </si>
  <si>
    <t>48-44-39-31</t>
  </si>
  <si>
    <t>64-63-62-61-60-59</t>
  </si>
  <si>
    <t>30-29-28-27-26-25</t>
  </si>
  <si>
    <t>34-33-32-31-30-29</t>
  </si>
  <si>
    <t>49-49-49-49-49-49</t>
  </si>
  <si>
    <t>160-150-41</t>
  </si>
  <si>
    <t>50-95-110-85-55-55</t>
  </si>
  <si>
    <t>150-180-180-180-180</t>
  </si>
  <si>
    <t>170-170-170-170-160</t>
  </si>
  <si>
    <t>215-200-210-185-200</t>
  </si>
  <si>
    <t>285-285-285-280-275</t>
  </si>
  <si>
    <t>210-195-200-200-200-200-200-210-190</t>
  </si>
  <si>
    <t>320-290-280-295-290</t>
  </si>
  <si>
    <t>235-240-240-270</t>
  </si>
  <si>
    <t>270-240-230-250-230-245</t>
  </si>
  <si>
    <t>140-140-140-135-135-140-147</t>
  </si>
  <si>
    <t>500 CC D058 29 ŞEFFAF ŞEFFAF PALET STANDART</t>
  </si>
  <si>
    <t>18664</t>
  </si>
  <si>
    <t>18673</t>
  </si>
  <si>
    <t>900 CC D124 52 SEDEF GOLD PALET STANDART</t>
  </si>
  <si>
    <t>18674</t>
  </si>
  <si>
    <t>100 CC Y274 25 ŞEFFAF TURUNCU PLT.IC.KOLI STANDART</t>
  </si>
  <si>
    <t>18665</t>
  </si>
  <si>
    <t>E043 KAPAK 10 OPAK BEYAZ PLT.IC.KOLI STANDART</t>
  </si>
  <si>
    <t>18658</t>
  </si>
  <si>
    <t>18666</t>
  </si>
  <si>
    <t>18659</t>
  </si>
  <si>
    <t>47-36-40</t>
  </si>
  <si>
    <t>56-50-67</t>
  </si>
  <si>
    <t>96-95-94-93-92</t>
  </si>
  <si>
    <t>53-48-43-34</t>
  </si>
  <si>
    <t>75-74-73-72</t>
  </si>
  <si>
    <t>63-62-61-60-59-58</t>
  </si>
  <si>
    <t>42-41-40-39-36-34</t>
  </si>
  <si>
    <t>160-153-41</t>
  </si>
  <si>
    <t>300-285-285-285-285</t>
  </si>
  <si>
    <t>285-280-280-280-285</t>
  </si>
  <si>
    <t>200-200-200-200-200</t>
  </si>
  <si>
    <t>220-210-205-200-195-190</t>
  </si>
  <si>
    <t>300-300</t>
  </si>
  <si>
    <t>271-272-273-260-260</t>
  </si>
  <si>
    <t>210-195-200-200-195-200</t>
  </si>
  <si>
    <t>285-290-280-280-300-290-320</t>
  </si>
  <si>
    <t>220-215-215-250</t>
  </si>
  <si>
    <t>270-240-230-250-230-225</t>
  </si>
  <si>
    <t>225-191-210-210-215</t>
  </si>
  <si>
    <t>18675</t>
  </si>
  <si>
    <t>18661</t>
  </si>
  <si>
    <t>18652</t>
  </si>
  <si>
    <t>400 CC Z079 30 ŞEFFAF ŞEFFAF PALET STANDART</t>
  </si>
  <si>
    <t>18663</t>
  </si>
  <si>
    <t>500 CC D096 28 ŞEFFAF ŞEFFAF PALET STANDART</t>
  </si>
  <si>
    <t>18657</t>
  </si>
  <si>
    <t>18680</t>
  </si>
  <si>
    <t>E125 62 MM BAHARAT FLİPTOP 12 OPAK SİYAH PLT.IC.KOLI STANDART</t>
  </si>
  <si>
    <t>18669</t>
  </si>
  <si>
    <t>E124 28 MM FLİPTOP 13 OPAK SİYAH PLT.IC.KOLI STANDART</t>
  </si>
  <si>
    <t>18681</t>
  </si>
  <si>
    <t>E031A 110 MM ETİKETLİ FOLYOLU 17 OPAK KIRMIZIBEYAZ PLT.IC.KOLI STANDART</t>
  </si>
  <si>
    <t>18682</t>
  </si>
  <si>
    <t>52-40-64</t>
  </si>
  <si>
    <t>35-35-48</t>
  </si>
  <si>
    <t>85-83-81-80-79-78</t>
  </si>
  <si>
    <t>59-50-43-38</t>
  </si>
  <si>
    <t>72-71-70-69-68</t>
  </si>
  <si>
    <t>89-88-87-86</t>
  </si>
  <si>
    <t>285-280-280-285-285</t>
  </si>
  <si>
    <t>215-210-205-200-200</t>
  </si>
  <si>
    <t>220-215-205-200-200-195</t>
  </si>
  <si>
    <t>210-195-200-200-195-200-200</t>
  </si>
  <si>
    <t>285-290-280-280-300-290</t>
  </si>
  <si>
    <t>205-215-215-245</t>
  </si>
  <si>
    <t>236-240-270-250-470-310</t>
  </si>
  <si>
    <t>18696</t>
  </si>
  <si>
    <t>300 CC Y324 29 ŞEFFAF MAVİ PALET STANDART</t>
  </si>
  <si>
    <t>18684</t>
  </si>
  <si>
    <t>E011-E020 24 MM ÇOCUK KİLİTLİ 6 OPAK BEYAZ KOLI STANDART</t>
  </si>
  <si>
    <t>18616</t>
  </si>
  <si>
    <t>18686</t>
  </si>
  <si>
    <t>45-35-40</t>
  </si>
  <si>
    <t>75-74-74-73-72-71</t>
  </si>
  <si>
    <t>59-58-57-56</t>
  </si>
  <si>
    <t>38-130-137-69-42-36</t>
  </si>
  <si>
    <t>210-205-200-195-195</t>
  </si>
  <si>
    <t>220-215-210-205-195</t>
  </si>
  <si>
    <t>270-285-285-280-280</t>
  </si>
  <si>
    <t>100-175-175-175-175-175-175-175</t>
  </si>
  <si>
    <t>255-255-255-265-265</t>
  </si>
  <si>
    <t>285-290--280-280-300-290</t>
  </si>
  <si>
    <t>235-240-250-250-425-300</t>
  </si>
  <si>
    <t>65-65-65-65-65-60</t>
  </si>
  <si>
    <t>18694</t>
  </si>
  <si>
    <t>400 CC X282 35 ŞEFFAF ŞEFFAF TAHTA PLT. K.TAVA CAKMA</t>
  </si>
  <si>
    <t>18709</t>
  </si>
  <si>
    <t>18713</t>
  </si>
  <si>
    <t>160 CC D093 29 ŞEFFAF SARI PALET STANDART</t>
  </si>
  <si>
    <t>18695</t>
  </si>
  <si>
    <t>1000 CC D057 52 OPAK SİYAH PALET STANDART</t>
  </si>
  <si>
    <t>18702</t>
  </si>
  <si>
    <t>18698</t>
  </si>
  <si>
    <t>39-38-38</t>
  </si>
  <si>
    <t>75-74-73-72-71</t>
  </si>
  <si>
    <t>81-80-79-78-77-76</t>
  </si>
  <si>
    <t>53-43-39-35</t>
  </si>
  <si>
    <t>290-290-295-295</t>
  </si>
  <si>
    <t>60-50-64-65-58-45-32-38</t>
  </si>
  <si>
    <t>212-205-200-195-195</t>
  </si>
  <si>
    <t>240-240-240-265-265</t>
  </si>
  <si>
    <t>205-230-215</t>
  </si>
  <si>
    <t>270--235-250-240-255-225</t>
  </si>
  <si>
    <t>235-240-250-250-430-275</t>
  </si>
  <si>
    <t>40-55-40-55-55-55</t>
  </si>
  <si>
    <t>18671</t>
  </si>
  <si>
    <t>750 CC X128 45 ŞEFFAF SARI PALET STANDART</t>
  </si>
  <si>
    <t>18712</t>
  </si>
  <si>
    <t>500 CC PCR Z098A 28 ŞEFFAF ŞEFFAF PALET STANDART</t>
  </si>
  <si>
    <t>18700</t>
  </si>
  <si>
    <t>400 CC Z101 26 OPAK BEYAZ PALET STANDART</t>
  </si>
  <si>
    <t>18679</t>
  </si>
  <si>
    <t>400 CC D063 28 ŞEFFAF ŞEFFAF PALET STANDART</t>
  </si>
  <si>
    <t>18685</t>
  </si>
  <si>
    <t>250 CC Y269 25 ŞEFFAF ŞEFFAF PLT.IC.KOLI STANDART</t>
  </si>
  <si>
    <t>18704</t>
  </si>
  <si>
    <t>18710</t>
  </si>
  <si>
    <t>110 CC Y343 25 OPAK SARI PLT.IC.KOLI STANDART</t>
  </si>
  <si>
    <t>18715</t>
  </si>
  <si>
    <t>18706</t>
  </si>
  <si>
    <t>18714</t>
  </si>
  <si>
    <t>PR011 110 MM 8 GÖZ YİVLİ PREFORM 125 ŞEFFAF ŞEFFAF KOLI STANDART</t>
  </si>
  <si>
    <t>18047</t>
  </si>
  <si>
    <t>500 CC P131 38 SEDEF KEMİK RENGİ PLS. PLT K.TAVA STANDART</t>
  </si>
  <si>
    <t>18699</t>
  </si>
  <si>
    <t>46-48-47</t>
  </si>
  <si>
    <t>41-40-39-38-37-35</t>
  </si>
  <si>
    <t>73-72-71-70-69-68</t>
  </si>
  <si>
    <t>65-64-63-62-61-60</t>
  </si>
  <si>
    <t>73-72-71-70-69</t>
  </si>
  <si>
    <t>34-33-32-30-29-28</t>
  </si>
  <si>
    <t>200-195-190-185-185</t>
  </si>
  <si>
    <t>170-170-170-170-165</t>
  </si>
  <si>
    <t>275-290-290-290-290</t>
  </si>
  <si>
    <t>285-285-285-285-285-285</t>
  </si>
  <si>
    <t>285-285-280-280</t>
  </si>
  <si>
    <t>255-255-255-260-260</t>
  </si>
  <si>
    <t>249-250-250-250-250-250-250-250-225-225</t>
  </si>
  <si>
    <t>200-195-200-200-195</t>
  </si>
  <si>
    <t>215-230-215</t>
  </si>
  <si>
    <t>236-240-250-235-430-275</t>
  </si>
  <si>
    <t>55-55-45-60-60</t>
  </si>
  <si>
    <t>80-80-80-80-80-80-80</t>
  </si>
  <si>
    <t>18711</t>
  </si>
  <si>
    <t>18703</t>
  </si>
  <si>
    <t>1000 CC  SP051 52 ŞEFFAF ŞEFFAF PALET STANDART</t>
  </si>
  <si>
    <t>18693</t>
  </si>
  <si>
    <t>73-50-65</t>
  </si>
  <si>
    <t>46-47-48</t>
  </si>
  <si>
    <t>60-50-64-65-58-45-37-32-38</t>
  </si>
  <si>
    <t>28-50-68-68-119-120-125</t>
  </si>
  <si>
    <t>275-305-305-305-305</t>
  </si>
  <si>
    <t>273-273</t>
  </si>
  <si>
    <t>260-260-260-267-267</t>
  </si>
  <si>
    <t>200-195-200-200-195-200</t>
  </si>
  <si>
    <t>75-75-75-75-79-75-75</t>
  </si>
  <si>
    <t>300 CC Z056 26 ŞEFFAF KAHVE PALET STANDART</t>
  </si>
  <si>
    <t>18718</t>
  </si>
  <si>
    <t>1200 CC S023A 91 OPAK SİYAH YÜKSEK PALET STANDART</t>
  </si>
  <si>
    <t>18723</t>
  </si>
  <si>
    <t>950 CC D059 40 OPAK BEYAZ TAHTA PLT. K.TAVA STANDART</t>
  </si>
  <si>
    <t>18719</t>
  </si>
  <si>
    <t>18724</t>
  </si>
  <si>
    <t>250 CC Y141 25 ŞEFFAF YAĞYEŞİL PALET STANDART</t>
  </si>
  <si>
    <t>18717</t>
  </si>
  <si>
    <t>18733</t>
  </si>
  <si>
    <t/>
  </si>
  <si>
    <t>18726</t>
  </si>
  <si>
    <t>E031A 110 MM ETİKETLİ FOLYOLU 17 OPAK YEŞİL-BEYAZ PLT.IC.KOLI STANDART</t>
  </si>
  <si>
    <t>18727</t>
  </si>
  <si>
    <t>72-48-66</t>
  </si>
  <si>
    <t>45-35-36</t>
  </si>
  <si>
    <t>76-75-74-73-72-71</t>
  </si>
  <si>
    <t>43-42-41-40-39-35</t>
  </si>
  <si>
    <t>55-54-53-52-551-50</t>
  </si>
  <si>
    <t>18-45-72-72-119-125-129</t>
  </si>
  <si>
    <t>270-270-270-270-270-270</t>
  </si>
  <si>
    <t>265-265-265-270</t>
  </si>
  <si>
    <t>220-220-220-220-210</t>
  </si>
  <si>
    <t>220-215-205-200-200</t>
  </si>
  <si>
    <t>268-265</t>
  </si>
  <si>
    <t>285-285-275-275</t>
  </si>
  <si>
    <t>270-300-300-291-280-345</t>
  </si>
  <si>
    <t>240-240-240-240-240-240-240-240-225-225</t>
  </si>
  <si>
    <t>200-195-200-200-200-200-200-230-230</t>
  </si>
  <si>
    <t>236-240-250-235-435-267</t>
  </si>
  <si>
    <t>65-65-55-65-65</t>
  </si>
  <si>
    <t>75-75-75-75-75-75-75</t>
  </si>
  <si>
    <t>18722</t>
  </si>
  <si>
    <t>18731</t>
  </si>
  <si>
    <t>400 CC D032 29 ŞEFFAF YEŞİL PLS. PLT K.TAVA STANDART ( S )</t>
  </si>
  <si>
    <t>18720</t>
  </si>
  <si>
    <t>18739</t>
  </si>
  <si>
    <t>18721</t>
  </si>
  <si>
    <t>E092 CAM TIPA 1 ŞEFFAF ŞEFFAF PLT.IC.KOLI STANDART</t>
  </si>
  <si>
    <t>18732</t>
  </si>
  <si>
    <t>E037 38 MM TIPA 2 OPAK SİYAH PLT.IC.KOLI STANDART</t>
  </si>
  <si>
    <t>E004 38 MM 5 OPAK SİYAH PLT.IC.KOLI STANDART</t>
  </si>
  <si>
    <t>18708</t>
  </si>
  <si>
    <t>E124 28 MM FLİPTOP 13 SEDEF AÇIK YEŞİL PLT.IC.KOLI STANDART</t>
  </si>
  <si>
    <t>18697</t>
  </si>
  <si>
    <t>18734</t>
  </si>
  <si>
    <t>79-45-64</t>
  </si>
  <si>
    <t>84-83-82-81-80</t>
  </si>
  <si>
    <t>48-47-46-45-44-43-42</t>
  </si>
  <si>
    <t>52-47-42-37</t>
  </si>
  <si>
    <t>66-65-64-63-62-58</t>
  </si>
  <si>
    <t>285-290-290-290-290</t>
  </si>
  <si>
    <t>60-50-64-61-56-45-35-30-37</t>
  </si>
  <si>
    <t>173-140-37</t>
  </si>
  <si>
    <t>280-280-280-285-285</t>
  </si>
  <si>
    <t>275-280-280-280</t>
  </si>
  <si>
    <t>175-180-175-175-175</t>
  </si>
  <si>
    <t>220-230-225-215-215</t>
  </si>
  <si>
    <t>190-190-190-185-185</t>
  </si>
  <si>
    <t>225-225-215-210-200</t>
  </si>
  <si>
    <t>195-215-212-210-205</t>
  </si>
  <si>
    <t>220-215-210-205-200-200</t>
  </si>
  <si>
    <t>220-215-205-200-195-190</t>
  </si>
  <si>
    <t>275-275-265-275-275</t>
  </si>
  <si>
    <t>250-250-250-245-245-250-250-250-230-230</t>
  </si>
  <si>
    <t>205-195-200-200-200-200-200-205-215</t>
  </si>
  <si>
    <t>285-290-290-290-290-290-290-300-190-190-190</t>
  </si>
  <si>
    <t>215-220-215</t>
  </si>
  <si>
    <t>260-200-280-260-230-250</t>
  </si>
  <si>
    <t>235-240-250-240-410-230</t>
  </si>
  <si>
    <t>18735</t>
  </si>
  <si>
    <t>1000 CC X201 40 ŞEFFAF ŞEFFAF PLS. PLT K.TAVA STANDART</t>
  </si>
  <si>
    <t>18737</t>
  </si>
  <si>
    <t>18740</t>
  </si>
  <si>
    <t>500 CC D068 28 ŞEFFAF ŞEFFAF PALET STANDART</t>
  </si>
  <si>
    <t>18747</t>
  </si>
  <si>
    <t>400 CC D099 45 ŞEFFAF ŞEFFAF PALET STANDART</t>
  </si>
  <si>
    <t>18742</t>
  </si>
  <si>
    <t>E128 28 MM 8 OPAK TURUNCU KOLI CAKMA</t>
  </si>
  <si>
    <t>18707</t>
  </si>
  <si>
    <t>18748</t>
  </si>
  <si>
    <t>46,5-41,5-50</t>
  </si>
  <si>
    <t>47-42-55</t>
  </si>
  <si>
    <t>45-47-50</t>
  </si>
  <si>
    <t>53-65-45</t>
  </si>
  <si>
    <t>51-46-41-36</t>
  </si>
  <si>
    <t>98-97-96-95</t>
  </si>
  <si>
    <t>173-145-38</t>
  </si>
  <si>
    <t>15-45-72-72-119-125-130</t>
  </si>
  <si>
    <t>210-220-215-210-205</t>
  </si>
  <si>
    <t>190-220-215-210-205</t>
  </si>
  <si>
    <t>245-245-245-245-245-245-245-245-230-230</t>
  </si>
  <si>
    <t>205-195-200-200-200-200-200-170-215</t>
  </si>
  <si>
    <t>285-290-290-290-290-290-300-300-190-190-190</t>
  </si>
  <si>
    <t>225-195-185-240-230-250-210</t>
  </si>
  <si>
    <t>18750</t>
  </si>
  <si>
    <t>414 CC Z097 30 ŞEFFAF ŞEFFAF PALET CAKMA</t>
  </si>
  <si>
    <t>18730</t>
  </si>
  <si>
    <t>18746</t>
  </si>
  <si>
    <t>18754</t>
  </si>
  <si>
    <t>18760</t>
  </si>
  <si>
    <t>E124 28 MM FLİPTOP 13 OPAK BORDO PLT.IC.KOLI STANDART</t>
  </si>
  <si>
    <t>18755</t>
  </si>
  <si>
    <t>42-40-65,5</t>
  </si>
  <si>
    <t>78-77-76-75-74-73</t>
  </si>
  <si>
    <t>74-73-72-71-70-69</t>
  </si>
  <si>
    <t>70-69-68-67-66</t>
  </si>
  <si>
    <t>55-40-55-47-45-45-43-43</t>
  </si>
  <si>
    <t>220-230-225-220-215</t>
  </si>
  <si>
    <t>220-215-210-210-200</t>
  </si>
  <si>
    <t>205-200-215-210-205</t>
  </si>
  <si>
    <t>200-220-215-210-200</t>
  </si>
  <si>
    <t>280-270</t>
  </si>
  <si>
    <t>190-200-200-200-200-200-170-215-200</t>
  </si>
  <si>
    <t>285-290-290-290-290-290-300-200-200</t>
  </si>
  <si>
    <t>235-195-270-240-233</t>
  </si>
  <si>
    <t>18763</t>
  </si>
  <si>
    <t>400 CC Z090 26 ŞEFFAF YEŞİL PLS. PLT K.TAVA STANDART</t>
  </si>
  <si>
    <t>18753</t>
  </si>
  <si>
    <t>350 CC D026 45 OPAK LACİVERT PALET STANDART</t>
  </si>
  <si>
    <t>18756</t>
  </si>
  <si>
    <t>18767</t>
  </si>
  <si>
    <t>150 CC Y003 25 ŞEFFAF ŞEFFAF PLS. PLT STANDART</t>
  </si>
  <si>
    <t>18743</t>
  </si>
  <si>
    <t>42-40-45</t>
  </si>
  <si>
    <t>76-75-74-70-72-71</t>
  </si>
  <si>
    <t>55-40-52-45-44-44-43-43</t>
  </si>
  <si>
    <t>15-45-72-72-125-130-153</t>
  </si>
  <si>
    <t>260-265-265-270</t>
  </si>
  <si>
    <t>210-205-200-190-190</t>
  </si>
  <si>
    <t>205-220-215-210-205</t>
  </si>
  <si>
    <t>200-200-215-210-200</t>
  </si>
  <si>
    <t>105-175-185-185-185-185-185-185</t>
  </si>
  <si>
    <t>95-170-175-175-175-175-175-175</t>
  </si>
  <si>
    <t>250-250-250-250-250-250-250-250-225-225</t>
  </si>
  <si>
    <t>285-285-290-290-290-290-200-200-200</t>
  </si>
  <si>
    <t>244-220-205</t>
  </si>
  <si>
    <t>262-190-265-240-233</t>
  </si>
  <si>
    <t>500 CC SP002 30 ŞEFFAF MOR PALET STANDART</t>
  </si>
  <si>
    <t>18744</t>
  </si>
  <si>
    <t>18765</t>
  </si>
  <si>
    <t>18769</t>
  </si>
  <si>
    <t>18771</t>
  </si>
  <si>
    <t>18768</t>
  </si>
  <si>
    <t>E039 24 MM PİM 1 ŞEFFAF ŞEFFAF PLT.IC.KOLI STANDART</t>
  </si>
  <si>
    <t>18751</t>
  </si>
  <si>
    <t>73,5-52-80</t>
  </si>
  <si>
    <t>33-32-31-30-28-27</t>
  </si>
  <si>
    <t>300-300-300-300-300</t>
  </si>
  <si>
    <t>15-45-68-72-125-130-146</t>
  </si>
  <si>
    <t>275-276-276-276</t>
  </si>
  <si>
    <t>220-230-225-222-217</t>
  </si>
  <si>
    <t>185-185-185-185-180</t>
  </si>
  <si>
    <t>200-190-180-175</t>
  </si>
  <si>
    <t>253-250-250-260-260</t>
  </si>
  <si>
    <t>247-247-247-255-255</t>
  </si>
  <si>
    <t>265-265-265-265-265</t>
  </si>
  <si>
    <t>240-225-225-225-225-235-235-225-225-225</t>
  </si>
  <si>
    <t>285-285-280-290-276-280</t>
  </si>
  <si>
    <t>250-200-205</t>
  </si>
  <si>
    <t>262-190-250-240-233</t>
  </si>
  <si>
    <t>1000 CC X233 52 ŞEFFAF ŞEFFAF PALET STANDART</t>
  </si>
  <si>
    <t>18822</t>
  </si>
  <si>
    <t>18825</t>
  </si>
  <si>
    <t>18783</t>
  </si>
  <si>
    <t>18798</t>
  </si>
  <si>
    <t>18826</t>
  </si>
  <si>
    <t>70-58-70</t>
  </si>
  <si>
    <t>85,6-42-78</t>
  </si>
  <si>
    <t>50-50-50</t>
  </si>
  <si>
    <t>270-270-270-250-270-270</t>
  </si>
  <si>
    <t>18796</t>
  </si>
  <si>
    <t>100 CC SP055 20 ŞEFFAF ŞEFFAF YÜKSEK PALET STANDART</t>
  </si>
  <si>
    <t>18802</t>
  </si>
  <si>
    <t>1000 CC X184 45 ŞEFFAF ŞEFFAF PALET STANDART</t>
  </si>
  <si>
    <t>18840</t>
  </si>
  <si>
    <t>500 CC X121 35 ŞEFFAF ŞEFFAF PALET STANDART</t>
  </si>
  <si>
    <t>18821</t>
  </si>
  <si>
    <t>450 CC Z103 26 ŞEFFAF MAVİ PALET STANDART</t>
  </si>
  <si>
    <t>18831</t>
  </si>
  <si>
    <t>18807</t>
  </si>
  <si>
    <t>18789</t>
  </si>
  <si>
    <t>18848</t>
  </si>
  <si>
    <t>500 CC D089 28 ŞEFFAF SİYAH PALET STANDART</t>
  </si>
  <si>
    <t>18837</t>
  </si>
  <si>
    <t>18810</t>
  </si>
  <si>
    <t>18845</t>
  </si>
  <si>
    <t>200 CC Y078 25 OPAK BEYAZ PALET KISA</t>
  </si>
  <si>
    <t>18811</t>
  </si>
  <si>
    <t>370 CC Y348 26 ŞEFFAF ŞEFFAF YÜKSEK PALET STANDART</t>
  </si>
  <si>
    <t>18828</t>
  </si>
  <si>
    <t>18806</t>
  </si>
  <si>
    <t>35-40-55</t>
  </si>
  <si>
    <t>41-40-39-38</t>
  </si>
  <si>
    <t>37-36-35-34</t>
  </si>
  <si>
    <t>285-295-285-285</t>
  </si>
  <si>
    <t>173-149-38</t>
  </si>
  <si>
    <t>15-45-66-75-118-118-125</t>
  </si>
  <si>
    <t>270-260-264-265</t>
  </si>
  <si>
    <t>278-275-275-275</t>
  </si>
  <si>
    <t>210-205-205-200-195-175</t>
  </si>
  <si>
    <t>270-275-275-275</t>
  </si>
  <si>
    <t>290-290</t>
  </si>
  <si>
    <t>250-250-250-255-255</t>
  </si>
  <si>
    <t>250-253-250-260-260</t>
  </si>
  <si>
    <t>240-220-235</t>
  </si>
  <si>
    <t>18844</t>
  </si>
  <si>
    <t>750 CC X214 35 ŞEFFAF ŞEFFAF PALET STANDART</t>
  </si>
  <si>
    <t>18823</t>
  </si>
  <si>
    <t>1000 CC PCR X347A 52 OPAK BEYAZ K.TAVA PALET STANDART</t>
  </si>
  <si>
    <t>18855</t>
  </si>
  <si>
    <t>700 CC S008 90 ŞEFFAF ŞEFFAF PLS. PLT STANDART</t>
  </si>
  <si>
    <t>18854</t>
  </si>
  <si>
    <t>18849</t>
  </si>
  <si>
    <t>18829</t>
  </si>
  <si>
    <t>18846</t>
  </si>
  <si>
    <t>E056 28 MM TIPA 1 ŞEFFAF ŞEFFAF PLT.IC.KOLI STANDART</t>
  </si>
  <si>
    <t>18816</t>
  </si>
  <si>
    <t>E026 68 MM 8 OPAK SİYAH KOLI STANDART</t>
  </si>
  <si>
    <t>E030 140 CC 14 OPAK SİYAH KOLI STANDART</t>
  </si>
  <si>
    <t>18813</t>
  </si>
  <si>
    <t>18843</t>
  </si>
  <si>
    <t>72-55,5-65,5</t>
  </si>
  <si>
    <t>40-40-45</t>
  </si>
  <si>
    <t>31-30-29-28-27-26</t>
  </si>
  <si>
    <t>43-42-41-40</t>
  </si>
  <si>
    <t>87-86-85-84</t>
  </si>
  <si>
    <t>75-70-60-50-45</t>
  </si>
  <si>
    <t>32-31-30-29-28-27</t>
  </si>
  <si>
    <t>24-23-22-21-20-19</t>
  </si>
  <si>
    <t>39-38-37-36</t>
  </si>
  <si>
    <t>60-55-50-45-40</t>
  </si>
  <si>
    <t>İNDROMA + PCR %50-50</t>
  </si>
  <si>
    <t>50-55-55-55-53-38-34-38-34</t>
  </si>
  <si>
    <t>173-132-37</t>
  </si>
  <si>
    <t>170-190-185-175-175</t>
  </si>
  <si>
    <t>225-230-225-215-200</t>
  </si>
  <si>
    <t>230-215-210-205-200</t>
  </si>
  <si>
    <t>220-210-205-200-200</t>
  </si>
  <si>
    <t>210-205-200-190-180-170</t>
  </si>
  <si>
    <t>215-190-205-205-195-185</t>
  </si>
  <si>
    <t>275-280-280-278-210</t>
  </si>
  <si>
    <t>195-197-192-190</t>
  </si>
  <si>
    <t>275-275-285-285-280</t>
  </si>
  <si>
    <t>245-245-245-260-260</t>
  </si>
  <si>
    <t>180-180-190-190-190-205</t>
  </si>
  <si>
    <t>233-205-225</t>
  </si>
  <si>
    <t>225-224-215-225</t>
  </si>
  <si>
    <t>200-220-170-190-180-180-220-175</t>
  </si>
  <si>
    <t>750 CC X392 52 OPAK SİYAH PALET STANDART</t>
  </si>
  <si>
    <t>18858</t>
  </si>
  <si>
    <t>18851</t>
  </si>
  <si>
    <t>18809</t>
  </si>
  <si>
    <t>18830</t>
  </si>
  <si>
    <t>18853</t>
  </si>
  <si>
    <t>E049 24 MM KAPAK 3 OPAK YEŞİL PLT.IC.KOLI STANDART</t>
  </si>
  <si>
    <t>44-48-52</t>
  </si>
  <si>
    <t>38-42-43</t>
  </si>
  <si>
    <t>52-51-50-49-41-40</t>
  </si>
  <si>
    <t>98-97-96-95-94-93</t>
  </si>
  <si>
    <t>48-47-46-45</t>
  </si>
  <si>
    <t>80-60</t>
  </si>
  <si>
    <t>42-41-40-39-40-20</t>
  </si>
  <si>
    <t>86-85-84-83-82-81</t>
  </si>
  <si>
    <t>35-34-33-31-30-29</t>
  </si>
  <si>
    <t>42-25-25-29-40-50-50-42-40-35-117</t>
  </si>
  <si>
    <t>132-130-36</t>
  </si>
  <si>
    <t>15-45-66-75-120-120-130</t>
  </si>
  <si>
    <t>269-260-264-265</t>
  </si>
  <si>
    <t>270-276-275-275</t>
  </si>
  <si>
    <t>230-220-210-205-200</t>
  </si>
  <si>
    <t>230-225-220-210-200</t>
  </si>
  <si>
    <t>215-205-195-185-175-165</t>
  </si>
  <si>
    <t>270-270-270-270-260</t>
  </si>
  <si>
    <t>275-280-280-278-270</t>
  </si>
  <si>
    <t>280-285</t>
  </si>
  <si>
    <t>300-300-300-300</t>
  </si>
  <si>
    <t>165-220-270-190-180-185</t>
  </si>
  <si>
    <t>180-180-180-180-150-180</t>
  </si>
  <si>
    <t>275-260</t>
  </si>
  <si>
    <t>255-210-280</t>
  </si>
  <si>
    <t>225-215-188-220-220</t>
  </si>
  <si>
    <t>105-105-105-105-105-98-105-105-105-105-105-80</t>
  </si>
  <si>
    <t>400 CC SP012 25 OPAK YEŞİL PALET STANDART</t>
  </si>
  <si>
    <t>18865</t>
  </si>
  <si>
    <t>18785</t>
  </si>
  <si>
    <t>18863</t>
  </si>
  <si>
    <t>72-55-65,5</t>
  </si>
  <si>
    <t>40-45-58</t>
  </si>
  <si>
    <t>93-92-91-90-89-88</t>
  </si>
  <si>
    <t>51-50-49-48</t>
  </si>
  <si>
    <t>42-41-40-39</t>
  </si>
  <si>
    <t>57-56-55-54-53-52</t>
  </si>
  <si>
    <t>28-41-38-38-39-42-40-40</t>
  </si>
  <si>
    <t>40-30-25-25-50-40-40-50-40-55-100</t>
  </si>
  <si>
    <t>235-230-225-215-200</t>
  </si>
  <si>
    <t>185-180-180-180-170</t>
  </si>
  <si>
    <t>230-225-220-210-208</t>
  </si>
  <si>
    <t>250-305-305-305-305</t>
  </si>
  <si>
    <t>275-275-280-280</t>
  </si>
  <si>
    <t>180-180-180-180</t>
  </si>
  <si>
    <t>235-230-233-234-230-231</t>
  </si>
  <si>
    <t>240-240</t>
  </si>
  <si>
    <t>235-210-275</t>
  </si>
  <si>
    <t>225-215-188-215-220</t>
  </si>
  <si>
    <t>65-65-60-65-65</t>
  </si>
  <si>
    <t>150-140-140-140-140-125-140-145</t>
  </si>
  <si>
    <t>18867</t>
  </si>
  <si>
    <t>200 CC Y078 25 ŞEFFAF MAVİ PALET KISA</t>
  </si>
  <si>
    <t>18869</t>
  </si>
  <si>
    <t>E030 140 CC 14 OPAK BEYAZ KOLI STANDART</t>
  </si>
  <si>
    <t>18874</t>
  </si>
  <si>
    <t>72-55-70</t>
  </si>
  <si>
    <t>71,5-45-80</t>
  </si>
  <si>
    <t>42-45-50</t>
  </si>
  <si>
    <t>45-44-43-42</t>
  </si>
  <si>
    <t>78-77-76-75</t>
  </si>
  <si>
    <t>280-280-285-290-290</t>
  </si>
  <si>
    <t>38-43-42-38-35-36-35-36</t>
  </si>
  <si>
    <t>15-45-65-75-120-120-130</t>
  </si>
  <si>
    <t>225-215-210-205-200</t>
  </si>
  <si>
    <t>175-175-175-170-165</t>
  </si>
  <si>
    <t>275-275-275-285-275</t>
  </si>
  <si>
    <t>256-256-256-260-260</t>
  </si>
  <si>
    <t>220-220-225-220-220-226-225</t>
  </si>
  <si>
    <t>275-265</t>
  </si>
  <si>
    <t>260-200-281</t>
  </si>
  <si>
    <t>215-215-211</t>
  </si>
  <si>
    <t>1500 CC X381 52 ŞEFFAF ŞEFFAF PALET STANDART</t>
  </si>
  <si>
    <t>18866</t>
  </si>
  <si>
    <t>350 CC S012 46 OPAK SİYAH PALET STANDART</t>
  </si>
  <si>
    <t>18878</t>
  </si>
  <si>
    <t>18868</t>
  </si>
  <si>
    <t>18859</t>
  </si>
  <si>
    <t>18876</t>
  </si>
  <si>
    <t>400 CC Y010 29 ŞEFFAF ŞEFFAF PALET STANDART</t>
  </si>
  <si>
    <t>18861</t>
  </si>
  <si>
    <t>200 CC Y078 25 ŞEFFAF YEŞİL PALET KISA</t>
  </si>
  <si>
    <t>18879</t>
  </si>
  <si>
    <t>18872</t>
  </si>
  <si>
    <t>18877</t>
  </si>
  <si>
    <t>18870</t>
  </si>
  <si>
    <t>500 CC X395 35 ŞEFFAF ŞEFFAF PALET STANDART</t>
  </si>
  <si>
    <t>18871</t>
  </si>
  <si>
    <t>18881</t>
  </si>
  <si>
    <t>1000 CC D057 52 OPAK MAVİ PALET STANDART</t>
  </si>
  <si>
    <t>18880</t>
  </si>
  <si>
    <t>200 CC Y078 25 ŞEFFAF SARI PALET KISA</t>
  </si>
  <si>
    <t>18882</t>
  </si>
  <si>
    <t>110 CC Y343 25 OPAK SİYAH PLT.IC.KOLI STANDART</t>
  </si>
  <si>
    <t>18883</t>
  </si>
  <si>
    <t>E026 68 MM 8 OPAK BEYAZ KOLI STANDART</t>
  </si>
  <si>
    <t>E031 110 MM 17 OPAK SARI PLT.IC.KOLI STANDART</t>
  </si>
  <si>
    <t>18887</t>
  </si>
  <si>
    <t>1000 CC P128 43 OPAK BEYAZ PALET STANDART</t>
  </si>
  <si>
    <t>55-50-64</t>
  </si>
  <si>
    <t>71-70-69-68-67-66</t>
  </si>
  <si>
    <t>75-65-60-55-50</t>
  </si>
  <si>
    <t>27-26-25-24-23-22</t>
  </si>
  <si>
    <t>85-80-75-70-65</t>
  </si>
  <si>
    <t>305 (HIZ)</t>
  </si>
  <si>
    <t>280-280-285-285-285</t>
  </si>
  <si>
    <t>280-280-280-285-290</t>
  </si>
  <si>
    <t>285-285-285-280-280</t>
  </si>
  <si>
    <t>285-280-280-285</t>
  </si>
  <si>
    <t>269-265-275-275</t>
  </si>
  <si>
    <t>195-195-190-185-180</t>
  </si>
  <si>
    <t>175-175-175-170-160</t>
  </si>
  <si>
    <t>215-190-205-205-190-185</t>
  </si>
  <si>
    <t>90-170-175-175-180-180-180-180</t>
  </si>
  <si>
    <t>255-240-250-230-240-250</t>
  </si>
  <si>
    <t>220-220-220-215-220-220-225-220</t>
  </si>
  <si>
    <t>290-195-290</t>
  </si>
  <si>
    <t>225-225-240-230-430-255</t>
  </si>
  <si>
    <t>220-220-200-200-200-200-230-220-220</t>
  </si>
  <si>
    <t>18900</t>
  </si>
  <si>
    <t>1000 CC S057 43 ŞEFFAF ŞEFFAF YÜKSEK PALET STANDART</t>
  </si>
  <si>
    <t>18886</t>
  </si>
  <si>
    <t>18891</t>
  </si>
  <si>
    <t>200 CC Y078 25 ŞEFFAF TURUNCU PALET KISA</t>
  </si>
  <si>
    <t>18898</t>
  </si>
  <si>
    <t>E008 24 MM 9 OPAK SİYAH KOLI STANDART</t>
  </si>
  <si>
    <t>18885</t>
  </si>
  <si>
    <t>İNDROMA + % 15 KIRMA</t>
  </si>
  <si>
    <t>85-42-75</t>
  </si>
  <si>
    <t>40-50-40</t>
  </si>
  <si>
    <t>75-70-65-60-55</t>
  </si>
  <si>
    <t>80-75-70-65-60</t>
  </si>
  <si>
    <t>40-30-25-25-50-40-40-50-40-55-85</t>
  </si>
  <si>
    <t>30-135-110-45-30-30</t>
  </si>
  <si>
    <t>274-274-274-274</t>
  </si>
  <si>
    <t>195-215-200-195-180</t>
  </si>
  <si>
    <t>246-246-249-260-260</t>
  </si>
  <si>
    <t>255-240-250-250-240-250</t>
  </si>
  <si>
    <t>220-220-220-215-220-220-225</t>
  </si>
  <si>
    <t>260-220-180-220-220-200-210-220-190-230</t>
  </si>
  <si>
    <t>18902</t>
  </si>
  <si>
    <t>18875</t>
  </si>
  <si>
    <t>500 CC X200 35 ŞEFFAF MAVİ PALET STANDART</t>
  </si>
  <si>
    <t>18892</t>
  </si>
  <si>
    <t>18907</t>
  </si>
  <si>
    <t>18908</t>
  </si>
  <si>
    <t>18923</t>
  </si>
  <si>
    <t>18904</t>
  </si>
  <si>
    <t>18897</t>
  </si>
  <si>
    <t>100 CC Y243 19 ŞEFFAF TURUNCU PLT.IC.KOLI STANDART</t>
  </si>
  <si>
    <t>18894</t>
  </si>
  <si>
    <t>18916</t>
  </si>
  <si>
    <t>300 CC Y347 26 ŞEFFAF ŞEFFAF PLS. PLT STANDART</t>
  </si>
  <si>
    <t>18919</t>
  </si>
  <si>
    <t>18857</t>
  </si>
  <si>
    <t>18893</t>
  </si>
  <si>
    <t>E031B 110 MM FOLYOLU 17 OPAK YEŞİL PLT.IC.KOLI STANDART</t>
  </si>
  <si>
    <t>18888</t>
  </si>
  <si>
    <t>hDPE</t>
  </si>
  <si>
    <t>45-44-47</t>
  </si>
  <si>
    <t>50-49-48-47-46-44</t>
  </si>
  <si>
    <t>47-46-45-44</t>
  </si>
  <si>
    <t>280-285-280-285-285</t>
  </si>
  <si>
    <t>42-45-42-70-82-76-80-40</t>
  </si>
  <si>
    <t>285-270-280-280</t>
  </si>
  <si>
    <t>275-280-280-278-205</t>
  </si>
  <si>
    <t>270-265</t>
  </si>
  <si>
    <t>250-250-250-260</t>
  </si>
  <si>
    <t>290-240-260-250-250-260</t>
  </si>
  <si>
    <t>310-250-280</t>
  </si>
  <si>
    <t>220-220-241-230-400-220</t>
  </si>
  <si>
    <t>155-140-140-140-125-144-110</t>
  </si>
  <si>
    <t>18936</t>
  </si>
  <si>
    <t>500 CC X200 35 ŞEFFAF ŞEFFAF PALET STANDART</t>
  </si>
  <si>
    <t>18933</t>
  </si>
  <si>
    <t>18934</t>
  </si>
  <si>
    <t>500 CC D085 35 OPAK BEYAZ K.TAVA PALET STANDART</t>
  </si>
  <si>
    <t>18921</t>
  </si>
  <si>
    <t>250 CC Y115 25 ŞEFFAF MOR PALET STANDART</t>
  </si>
  <si>
    <t>18939</t>
  </si>
  <si>
    <t>18935</t>
  </si>
  <si>
    <t>18928</t>
  </si>
  <si>
    <t>E031B 110 MM FOLYOLU 17 OPAK GOLD PLT.IC.KOLI STANDART</t>
  </si>
  <si>
    <t>18931</t>
  </si>
  <si>
    <t>350 CC P119 28 OPAK SEDEFLİ BRONZ PALET STANDART</t>
  </si>
  <si>
    <t>18912</t>
  </si>
  <si>
    <t>18911</t>
  </si>
  <si>
    <t>45-44-48</t>
  </si>
  <si>
    <t>55-44-44</t>
  </si>
  <si>
    <t>42-45-54</t>
  </si>
  <si>
    <t>52-51-50-49</t>
  </si>
  <si>
    <t>81-80-80-75-71-70</t>
  </si>
  <si>
    <t>80-75-70-65-65</t>
  </si>
  <si>
    <t>51-50-49-48-47-45</t>
  </si>
  <si>
    <t>65-60-55-50-50</t>
  </si>
  <si>
    <t>55-66-55-50-45-30-32-32-28</t>
  </si>
  <si>
    <t>275-276-280-280-280</t>
  </si>
  <si>
    <t>275-270-270-270</t>
  </si>
  <si>
    <t>200-195-190-185-175-165</t>
  </si>
  <si>
    <t>210-200-200-195-190-185</t>
  </si>
  <si>
    <t>260-290-290-290-285</t>
  </si>
  <si>
    <t>95-175-185-185-185-185-185-185</t>
  </si>
  <si>
    <t>260-260-260-265-265</t>
  </si>
  <si>
    <t>255-255-255-257-260</t>
  </si>
  <si>
    <t>290-240-260-250-285-260</t>
  </si>
  <si>
    <t>210-200-215-225-195-170</t>
  </si>
  <si>
    <t>250-255-250</t>
  </si>
  <si>
    <t>190-190-250-250-350-290</t>
  </si>
  <si>
    <t>75-75-75-75-75-75-75-59</t>
  </si>
  <si>
    <t>200-200-188-240-195-220-220-200-220-250</t>
  </si>
  <si>
    <t>18930</t>
  </si>
  <si>
    <t>18899</t>
  </si>
  <si>
    <t>18914</t>
  </si>
  <si>
    <t>18924</t>
  </si>
  <si>
    <t>18941</t>
  </si>
  <si>
    <t>200 CC Y321 25 ŞEFFAF ŞEFFAF PALET STANDART</t>
  </si>
  <si>
    <t>18938</t>
  </si>
  <si>
    <t>80 cc alpha Y215 16 GR 24 AĞIZ KISA ÇENE OPAK BEYAZ  100 ADET</t>
  </si>
  <si>
    <t>18926</t>
  </si>
  <si>
    <t>5000 CC P135 170 ŞEFFAF ŞEFFAF POSET STANDART</t>
  </si>
  <si>
    <t>18757</t>
  </si>
  <si>
    <t>45-44-49</t>
  </si>
  <si>
    <t>55-40-60</t>
  </si>
  <si>
    <t>55-44-47</t>
  </si>
  <si>
    <t>45-45-54</t>
  </si>
  <si>
    <t>80-75-70-71</t>
  </si>
  <si>
    <t>86-85-84-83</t>
  </si>
  <si>
    <t>85-75-65-60</t>
  </si>
  <si>
    <t>37-36-35-34-33-32</t>
  </si>
  <si>
    <t>285-285-285-290-290</t>
  </si>
  <si>
    <t>58-64-65-58-45-37-27-34-32</t>
  </si>
  <si>
    <t>14-55-25-25-35-40-40-45-35-130</t>
  </si>
  <si>
    <t>226-215-210-205-200</t>
  </si>
  <si>
    <t>190-190-190-185</t>
  </si>
  <si>
    <t>175-280-280-278-210</t>
  </si>
  <si>
    <t>247-247-247-265-265</t>
  </si>
  <si>
    <t>258-258-260-261-260</t>
  </si>
  <si>
    <t>300-270-260-250-285-260-272</t>
  </si>
  <si>
    <t>220-220-220-190-190-200-195</t>
  </si>
  <si>
    <t>210-200-215-225-210-230-190</t>
  </si>
  <si>
    <t>190-190-252-260-345</t>
  </si>
  <si>
    <t>105-105-105-105-105-105-105-105-105-105-80</t>
  </si>
  <si>
    <t>18932</t>
  </si>
  <si>
    <t>18952</t>
  </si>
  <si>
    <t>18948</t>
  </si>
  <si>
    <t>18947</t>
  </si>
  <si>
    <t>57-50-65</t>
  </si>
  <si>
    <t>45-40-55</t>
  </si>
  <si>
    <t>66-50-76</t>
  </si>
  <si>
    <t>85-75-75-70</t>
  </si>
  <si>
    <t>59-64-62-58-46-37-28-31-32</t>
  </si>
  <si>
    <t>50-50-26-33-37-37-40-40-45-35-122</t>
  </si>
  <si>
    <t>190-215-205-195-190</t>
  </si>
  <si>
    <t>200-195-190-185-170-175-165</t>
  </si>
  <si>
    <t>275-280-280-278-195</t>
  </si>
  <si>
    <t>260-285-285-285-280</t>
  </si>
  <si>
    <t>260-265-265-265</t>
  </si>
  <si>
    <t>244-244-244-265-265</t>
  </si>
  <si>
    <t>270-260-250-277-260-272</t>
  </si>
  <si>
    <t>190-220-220-220-250-190-220-220</t>
  </si>
  <si>
    <t>210-200-215-225-210-230</t>
  </si>
  <si>
    <t>250-240-250</t>
  </si>
  <si>
    <t>105-105-105-105-105-105-105-105-105-105-105-80</t>
  </si>
  <si>
    <t>75-75-75-75-75-80-80</t>
  </si>
  <si>
    <t>18945</t>
  </si>
  <si>
    <t>18954</t>
  </si>
  <si>
    <t>18955</t>
  </si>
  <si>
    <t>18918</t>
  </si>
  <si>
    <t>55-50-61,5</t>
  </si>
  <si>
    <t>66-50-70</t>
  </si>
  <si>
    <t>58-55-54-53</t>
  </si>
  <si>
    <t>53-53-52-51-50-49</t>
  </si>
  <si>
    <t>90-85-80-75</t>
  </si>
  <si>
    <t>64-66-62-58-46-37-28-31-32</t>
  </si>
  <si>
    <t>50-48-24-33-37-37-40-40-45-37-110</t>
  </si>
  <si>
    <t>195-215-205-195-190</t>
  </si>
  <si>
    <t>175-175-175-178-168</t>
  </si>
  <si>
    <t>250-285-285-280-280</t>
  </si>
  <si>
    <t>248-248-248-255-255</t>
  </si>
  <si>
    <t>190-220-220-220-250-190</t>
  </si>
  <si>
    <t>255-190-225</t>
  </si>
  <si>
    <t>70-70-70-70-70-75-75</t>
  </si>
  <si>
    <t>58-65-63-54-40-35-37-32-28</t>
  </si>
  <si>
    <t>45-75-100-115</t>
  </si>
  <si>
    <t>195--195-190-185-190</t>
  </si>
  <si>
    <t>250-235-235-235-235-235-235-220-220</t>
  </si>
  <si>
    <t>220-220-215-225-230-230-190-185-200-200-200-200</t>
  </si>
  <si>
    <t>215-205-205-200-195-190</t>
  </si>
  <si>
    <t>200-223-253-304-255-255</t>
  </si>
  <si>
    <t>115-115-115-115-115</t>
  </si>
  <si>
    <t>FEVZİ KILINÇ</t>
  </si>
  <si>
    <t>18946</t>
  </si>
  <si>
    <t>18982</t>
  </si>
  <si>
    <t>5000 CC P061 170 ŞEFFAF ŞEFFAF POSET STANDART</t>
  </si>
  <si>
    <t>18958</t>
  </si>
  <si>
    <t>25-80-80-70-65-100-108</t>
  </si>
  <si>
    <t>38-37-36-35-34-33</t>
  </si>
  <si>
    <t>165-195-190-185-180</t>
  </si>
  <si>
    <t>240-225-225-240-240-240-250-220-220</t>
  </si>
  <si>
    <t>215-210-210-205-195</t>
  </si>
  <si>
    <t>220-210-200-200-195</t>
  </si>
  <si>
    <t>235-235-235-235</t>
  </si>
  <si>
    <t>49-48-47-46</t>
  </si>
  <si>
    <t>240-220-275</t>
  </si>
  <si>
    <t>223-223-275-315-275-275</t>
  </si>
  <si>
    <t>49-48-47-47-46</t>
  </si>
  <si>
    <t>230-305-305-305-305</t>
  </si>
  <si>
    <t>115-115-115-115-115-115-115</t>
  </si>
  <si>
    <t>20-65-70-82-85-100-110</t>
  </si>
  <si>
    <t>240-235-230-240-240-235-235-220-220</t>
  </si>
  <si>
    <t>100-185-185-185-185-185-185-175</t>
  </si>
  <si>
    <t>18910</t>
  </si>
  <si>
    <t>E031B 110 MM FOLYOLU 17 OPAK MAVİ PLT.IC.KOLI STANDART</t>
  </si>
  <si>
    <t>18980</t>
  </si>
  <si>
    <t>200 CC P118 17 OPAK SEDEFLİ MOR PALET STANDART</t>
  </si>
  <si>
    <t>18977</t>
  </si>
  <si>
    <t>1000 CC S054 43 ŞEFFAF ŞEFFAF PLS. PLT STANDART</t>
  </si>
  <si>
    <t>18957</t>
  </si>
  <si>
    <t>18989</t>
  </si>
  <si>
    <t>240-225-250-240-240-240-230-220-220</t>
  </si>
  <si>
    <t>210-210-210-205-194</t>
  </si>
  <si>
    <t>215-205-205-205-200-195-190</t>
  </si>
  <si>
    <t>223-223-275-311-275-275</t>
  </si>
  <si>
    <t>115-115-115-115-115-115-130</t>
  </si>
  <si>
    <t>100-175-188-188-188-188-188-188</t>
  </si>
  <si>
    <t>52-140-113-50-28-22-24</t>
  </si>
  <si>
    <t>25-80-80-70-65-107-115</t>
  </si>
  <si>
    <t>E064 90 MM KULPLU 17 OPAK SARI KOLI STANDART</t>
  </si>
  <si>
    <t>18991</t>
  </si>
  <si>
    <t>100 CC I005 15 ŞEFFAF ŞEFFAF PALET STANDART</t>
  </si>
  <si>
    <t>18950</t>
  </si>
  <si>
    <t>2000 CC S003 61 ŞEFFAF ŞEFFAF POSET STANDART</t>
  </si>
  <si>
    <t>18990</t>
  </si>
  <si>
    <t>19005</t>
  </si>
  <si>
    <t>60-80-70-60-32-30-32-40</t>
  </si>
  <si>
    <t>25-65-65-65-85-110-120</t>
  </si>
  <si>
    <t>240-225-240-240-235-240-240-230-220-220</t>
  </si>
  <si>
    <t>91-90-89-88-87</t>
  </si>
  <si>
    <t>200-195-195-195-190</t>
  </si>
  <si>
    <t>230-220-222</t>
  </si>
  <si>
    <t>215-200-230-210-230-249-255-195-189-200-200-200</t>
  </si>
  <si>
    <t>223-223-278-280-271-266</t>
  </si>
  <si>
    <t>135-115-115-115-115-125-130</t>
  </si>
  <si>
    <t>ŞENOL</t>
  </si>
  <si>
    <t>44-47-76-48-39-41-40</t>
  </si>
  <si>
    <t>245-235-230-235-240-235-230-220-220</t>
  </si>
  <si>
    <t>215-200-230-210-230-245-250-200-189-200-200-200</t>
  </si>
  <si>
    <t>223-223-275-305-275-270</t>
  </si>
  <si>
    <t>135-115-115-115-115-115-130</t>
  </si>
  <si>
    <t>49-48-47-46-45-44</t>
  </si>
  <si>
    <t>58-65-65-58-45-37-27-34-32</t>
  </si>
  <si>
    <t>29-28-27-26-25-24</t>
  </si>
  <si>
    <t>245-250-260-235-250-240-250-220-220</t>
  </si>
  <si>
    <t>200-200-230-210-225-215-220-200-185-200-200-200</t>
  </si>
  <si>
    <t>44-43-42-41</t>
  </si>
  <si>
    <t>210-205-200-195-185-175</t>
  </si>
  <si>
    <t>300-220-250</t>
  </si>
  <si>
    <t>223-223-230-305-273-275</t>
  </si>
  <si>
    <t>19012</t>
  </si>
  <si>
    <t>E128 28 MM 8 OPAK BEYAZ KOLI CAKMA</t>
  </si>
  <si>
    <t>19016</t>
  </si>
  <si>
    <t>19013</t>
  </si>
  <si>
    <t>19015</t>
  </si>
  <si>
    <t>18997</t>
  </si>
  <si>
    <t>150 CC P134 18 OPAK BEYAZ PALET STANDART</t>
  </si>
  <si>
    <t>PAZARTESİ</t>
  </si>
  <si>
    <t>SALI</t>
  </si>
  <si>
    <t>ÇARŞAMBA</t>
  </si>
  <si>
    <t>PERŞEMBE</t>
  </si>
  <si>
    <t>CUMA</t>
  </si>
  <si>
    <t>52-60-60-55-45-37-27-34-32</t>
  </si>
  <si>
    <t>30-53-75-90-88-114-120</t>
  </si>
  <si>
    <t>51-50-49-48-47-46</t>
  </si>
  <si>
    <t>70-65-64-63-62-61</t>
  </si>
  <si>
    <t>95-90-90-86-85-84</t>
  </si>
  <si>
    <t>80-80-78-77-76-75</t>
  </si>
  <si>
    <t>230-220-230</t>
  </si>
  <si>
    <t>260-220-235</t>
  </si>
  <si>
    <t>84-83-82-81</t>
  </si>
  <si>
    <t>215-205-195-195-190-185</t>
  </si>
  <si>
    <t>260-305-225-260</t>
  </si>
  <si>
    <t>91-86-81-80</t>
  </si>
  <si>
    <t>90-85-85-85</t>
  </si>
  <si>
    <t>185-185-185-185</t>
  </si>
  <si>
    <t>250-250-240-190-190-190-200-190-185-190-190-200</t>
  </si>
  <si>
    <t>E123 28 MM FLİPTOP 13 ŞEFFAF GÜL KURUSU PLT.IC.KOLI STANDART</t>
  </si>
  <si>
    <t>18974</t>
  </si>
  <si>
    <t>1200 CC S023 91 OPAK LACİVERT PALET STANDART</t>
  </si>
  <si>
    <t>19018</t>
  </si>
  <si>
    <t>PR014 110 MM 12 GÖZ TWIST OFF PREFORM 91 OPAK LACİVERT KOLI STANDART</t>
  </si>
  <si>
    <t>80-78-76-75-73-72</t>
  </si>
  <si>
    <t>21-46-75-90-88-105-120</t>
  </si>
  <si>
    <t>74-175-185-185-185-185-185-185-</t>
  </si>
  <si>
    <t>37-36-35-34-33-29</t>
  </si>
  <si>
    <t>155-195-190-185-180</t>
  </si>
  <si>
    <t>400-235-350-235-235-235-235-220-220</t>
  </si>
  <si>
    <t>215-215-210-205-190</t>
  </si>
  <si>
    <t>101-97-95-94-93-91</t>
  </si>
  <si>
    <t>85-85-82-80-79-77</t>
  </si>
  <si>
    <t>210-230-230-300</t>
  </si>
  <si>
    <t>210-210-220-210-200-225-240-180-180-200-200-200</t>
  </si>
  <si>
    <t>210-205-195-185-175</t>
  </si>
  <si>
    <t>235-220-235</t>
  </si>
  <si>
    <t>71-70-69-68</t>
  </si>
  <si>
    <t>215-205-195-195-195-185</t>
  </si>
  <si>
    <t>266-310-275-255</t>
  </si>
  <si>
    <t>85-80-75-65</t>
  </si>
  <si>
    <t>65-60-55-50</t>
  </si>
  <si>
    <t>215-210-200-195</t>
  </si>
  <si>
    <t>185-200-175-185-185-185-226-185-175-185-185</t>
  </si>
  <si>
    <t>19031</t>
  </si>
  <si>
    <t>19034</t>
  </si>
  <si>
    <t>CUMARTESİ</t>
  </si>
  <si>
    <t>ÇAĞLAR</t>
  </si>
  <si>
    <t>44-52-45-45-43-41-42</t>
  </si>
  <si>
    <t>21-46-75-90-88-118-133</t>
  </si>
  <si>
    <t>87-175-185-185-185-185-185-185</t>
  </si>
  <si>
    <t>195-190-185-180</t>
  </si>
  <si>
    <t>240-230-240-235-230-235-250-220-220</t>
  </si>
  <si>
    <t>100-99-98-97-96-95</t>
  </si>
  <si>
    <t>210-210-205-200-195</t>
  </si>
  <si>
    <t>125-120-115-110-105-105</t>
  </si>
  <si>
    <t>99-99-99-99-99-97</t>
  </si>
  <si>
    <t>200-21-210-200</t>
  </si>
  <si>
    <t>205-195-220-195-200-210-240-185-227-200-200-200</t>
  </si>
  <si>
    <t>88-87-86-85</t>
  </si>
  <si>
    <t>210-205-200-195-175-175</t>
  </si>
  <si>
    <t>200-225-228</t>
  </si>
  <si>
    <t>265-295-275-265</t>
  </si>
  <si>
    <t>50-54-62-54-42-37-33-35-35</t>
  </si>
  <si>
    <t>125-115-115-115-115-115-115</t>
  </si>
  <si>
    <t>88-175-185-185-185-185-185-185</t>
  </si>
  <si>
    <t>235-265-265-235-235-235-235-235</t>
  </si>
  <si>
    <t>115-110-110-107-105-105</t>
  </si>
  <si>
    <t>99-98-98-97-96-96</t>
  </si>
  <si>
    <t>210-220-215-200</t>
  </si>
  <si>
    <t>275-245-245</t>
  </si>
  <si>
    <t>186-195-220-195-185-210-240-180-192-200-200-200</t>
  </si>
  <si>
    <t>210-255-210-195-185-175</t>
  </si>
  <si>
    <t>220-225-225</t>
  </si>
  <si>
    <t>88-86-86-85</t>
  </si>
  <si>
    <t>19059</t>
  </si>
  <si>
    <t>750 CC S034 60 OPAK BEYAZ PALET STANDART</t>
  </si>
  <si>
    <t>19066</t>
  </si>
  <si>
    <t>19049</t>
  </si>
  <si>
    <t>50-54-56-48-38-31-30-33-35</t>
  </si>
  <si>
    <t>66-85-100-100-113-132</t>
  </si>
  <si>
    <t>115-110-110-110-110-110-110</t>
  </si>
  <si>
    <t>145-190-185-180</t>
  </si>
  <si>
    <t>240-230-270-260-255-230-230-230-235-235</t>
  </si>
  <si>
    <t>176-195-220-195-185-210-240-180-192-200-200-200</t>
  </si>
  <si>
    <t>260-298-266-266</t>
  </si>
  <si>
    <t>84-78-68-58</t>
  </si>
  <si>
    <t>63-58-48-43</t>
  </si>
  <si>
    <t>205-205-205-200</t>
  </si>
  <si>
    <t>185-190-175-185-195-277-195-185-175-200-175-175</t>
  </si>
  <si>
    <t>19068</t>
  </si>
  <si>
    <t>19041</t>
  </si>
  <si>
    <t>240-230-270-230-270-230-230-230-235-235</t>
  </si>
  <si>
    <t>55--54-53-52-51-50</t>
  </si>
  <si>
    <t>210-215-210-205-200</t>
  </si>
  <si>
    <t>210-225-235</t>
  </si>
  <si>
    <t>266-298-266-266</t>
  </si>
  <si>
    <t>185-190-175-185-190-195-195-185-175-200-175-175</t>
  </si>
  <si>
    <t>58-56-54-53-51-50</t>
  </si>
  <si>
    <t>45-44-42-40-38-36</t>
  </si>
  <si>
    <t>75-63-55-63-270-270-90</t>
  </si>
  <si>
    <t>115-110-110-110-110-110-110-113</t>
  </si>
  <si>
    <t>50-54-56-48-35-38-34-35-34</t>
  </si>
  <si>
    <t>65-84-100-100-113-132</t>
  </si>
  <si>
    <t>PR003 90 MM 4 GÖZ YİVLİ PREFORM 61 OPAK BEYAZ KOLI STANDART</t>
  </si>
  <si>
    <t>45-44-43-42-41-0</t>
  </si>
  <si>
    <t>210-205-200-1195-190</t>
  </si>
  <si>
    <t>171-195-220-195-185-210-240-80-192-200-200-200</t>
  </si>
  <si>
    <t>230-205-195-195-190-185</t>
  </si>
  <si>
    <t>223-223-275-210-275-314</t>
  </si>
  <si>
    <t>208-205-205-200</t>
  </si>
  <si>
    <t>185-190-175-185-185-195-195-185-175-200-175-175-175</t>
  </si>
  <si>
    <t>43-44-42-40-38-36</t>
  </si>
  <si>
    <t>67-55-50-55-270-270-90</t>
  </si>
  <si>
    <t>19083</t>
  </si>
  <si>
    <t>19071</t>
  </si>
  <si>
    <t>5000 CC P061 170 OPAK BEYAZ POSET STANDART</t>
  </si>
  <si>
    <t>19065</t>
  </si>
  <si>
    <t>19082</t>
  </si>
  <si>
    <t>SELMAN</t>
  </si>
  <si>
    <t>240-240-240-220-250-240-240-240-225-225</t>
  </si>
  <si>
    <t>91-90-89-88-87-86-84</t>
  </si>
  <si>
    <t>210210-205-200-195</t>
  </si>
  <si>
    <t>58-57-56-55-54-530</t>
  </si>
  <si>
    <t>210-205-200-195-190</t>
  </si>
  <si>
    <t>195-195-220-205-185-210-240-180-187-200-200-200</t>
  </si>
  <si>
    <t>50-49-49-48</t>
  </si>
  <si>
    <t>210-225-205</t>
  </si>
  <si>
    <t>223-223-275-275-275</t>
  </si>
  <si>
    <t>63-58-48-4300,1</t>
  </si>
  <si>
    <t>185-190-185-185-190-190-180-185-185-185-175-175</t>
  </si>
  <si>
    <t>100-105-95-97-105-105-105-105-105-105-80</t>
  </si>
  <si>
    <t>70-62-51-41-33-25-25-25</t>
  </si>
  <si>
    <t>E049 24 MM KAPAK 3 OPAK MAVİ PLT.IC.KOLI STANDART</t>
  </si>
  <si>
    <t>19075</t>
  </si>
  <si>
    <t>19087</t>
  </si>
  <si>
    <t>1500 CC S043S 74 OPAK BEYAZ PALET STANDART (S)</t>
  </si>
  <si>
    <t>19089</t>
  </si>
  <si>
    <t>240-240-240-220-280-240-240-240-225-225</t>
  </si>
  <si>
    <t>215-210-205-200-195</t>
  </si>
  <si>
    <t>195-190-220-204-185-210-240-180-187-200-200-200</t>
  </si>
  <si>
    <t>84-78-68-48</t>
  </si>
  <si>
    <t>208-204-205-200</t>
  </si>
  <si>
    <t>185-190-185-185-190-190-180-185-180-185-175-175</t>
  </si>
  <si>
    <t>69-64</t>
  </si>
  <si>
    <t>49-44</t>
  </si>
  <si>
    <t>275-280-280-280-240</t>
  </si>
  <si>
    <t>100-105-95-99-105-105-105-105-105-105-80</t>
  </si>
  <si>
    <t>71-61-51-41-30-24-25-24</t>
  </si>
  <si>
    <t>E123 28 MM FLİPTOP 13 OPAK GOLD PLT.IC.KOLI STANDART</t>
  </si>
  <si>
    <t>19088</t>
  </si>
  <si>
    <t>19057</t>
  </si>
  <si>
    <t>SERKAN</t>
  </si>
  <si>
    <t>ENJ0057-01 KAPAK SEFFAF SARI 44MM CAKMA 6GR</t>
  </si>
  <si>
    <t>ENJ0038-10 KAPAK OPAK KIRMIZI 28MM YIVLI 10GR</t>
  </si>
  <si>
    <t>PRE0003 90 MM 4 GOZ YIVLI PREFORM 61GR SEFFAF SEFFAF KOLI STANDART</t>
  </si>
  <si>
    <t>265-265-265-265-265-265</t>
  </si>
  <si>
    <t>ERKAN AKGÖZ</t>
  </si>
  <si>
    <t>PET0005-01 700ML SEFFAF SARI 28MM YIVLI 40GR</t>
  </si>
  <si>
    <t>PET0202-01 900ML SEFFAF SARI 28MM YIVLI 45GR</t>
  </si>
  <si>
    <t>PET0185-01 500ML SEFFAF SEFFAF 100MM YIVLI 45GR</t>
  </si>
  <si>
    <t>PET0238-01 450ML SEFFAF UV 28MM CAKMA 35GR</t>
  </si>
  <si>
    <t>PET0015-02 1000ML OPAK YESIL 28MM YIVLI 52GR</t>
  </si>
  <si>
    <t>PET0110-01 100ML SEFFAF TURUNCU 24MM YIVLI 25GR</t>
  </si>
  <si>
    <t>ENJ0035-02 TIPA SEFFAF 28MM YIVLI 1GR ( KOLONYA )</t>
  </si>
  <si>
    <t>ENJ0031-04 KAPAK OPAK YESIL 24MM YIVLI 3GR</t>
  </si>
  <si>
    <t>ENJ0027-02 PIM SEFFAF 024MM YIVLI 1GR</t>
  </si>
  <si>
    <t>225-215-200-200-195-191</t>
  </si>
  <si>
    <t>PRE0010 100MM 45GR TWIST OFF OPAK SIYAH PREFORM KOLI STANDART 8GÖZ</t>
  </si>
  <si>
    <t>225-215-200-200-195-190</t>
  </si>
  <si>
    <t>PET0181-02 960ML OPAK SARI 38MM YIVLI 47GR</t>
  </si>
  <si>
    <t>ENJ0023-01 KAVANOZ KAPAK OPAK SARI 100MM YIVLI 13GR</t>
  </si>
  <si>
    <t>265-265-265</t>
  </si>
  <si>
    <t>170-156-170-165-160</t>
  </si>
  <si>
    <t>PET0014-01 1000ML SEFFAF SEFFAF 28MM YIVLI 52GR</t>
  </si>
  <si>
    <t>PET0156-01 4000ML SEFFAF SEFFAF 45MM YIVLI 85GR</t>
  </si>
  <si>
    <t>PET0019-01 650ML SEFFAF UV 28MM CAKMA 40GR</t>
  </si>
  <si>
    <t>PET0015-05 1000ML OPAK TURKUAZ 28MM YIVLI 52GR</t>
  </si>
  <si>
    <t>PET0015-06 1000ML OPAK SEDEFLI MOR 28MM YIVLI 52GR</t>
  </si>
  <si>
    <t>265-275</t>
  </si>
  <si>
    <t>46-38-58</t>
  </si>
  <si>
    <t>ENJ0065-01 KULP OPAK SİYAH 45MM 5,5GR</t>
  </si>
  <si>
    <t>ENJ0010-03 FLIPTOP OPAK SIYAH 45MM YIVLI 10GR</t>
  </si>
  <si>
    <t>95-95-95-95-95-90</t>
  </si>
  <si>
    <t>205-195-190-185-180</t>
  </si>
  <si>
    <t>PET0007-08 400ML OPAK YESIL 28MM YIVLI 25GR</t>
  </si>
  <si>
    <t>PET0250-01 1000ML SEFFAF SEFFAF 28MM YIVLI 45GR</t>
  </si>
  <si>
    <t>PET0210-02 500ML SEFFAF TURKUAZ 28MM YIVLI 40GR</t>
  </si>
  <si>
    <t>PET0135-03 300ML OPAK BEYAZ 24MM YIVLI 25GR</t>
  </si>
  <si>
    <t>PET0145-01 150ML SEFFAF KAHVE 38MM YIVLI 25GR</t>
  </si>
  <si>
    <t>PET0310-01 310ML SEFFAF SEFFAF 62MM YIVLI 26GR</t>
  </si>
  <si>
    <t>280-280-280-290-245</t>
  </si>
  <si>
    <t>288-280-280-280</t>
  </si>
  <si>
    <t>50,45-50-49,5</t>
  </si>
  <si>
    <t>65-40,52-40</t>
  </si>
  <si>
    <t>54-45-50</t>
  </si>
  <si>
    <t>53-50-56</t>
  </si>
  <si>
    <t>20-250-255-260-260</t>
  </si>
  <si>
    <t>245-245-245-245-245</t>
  </si>
  <si>
    <t>ENJ0029-04 TIPA OPAK BEYAZ 20MM YIVLI 1GR</t>
  </si>
  <si>
    <t>ENJ0012-03 DAMLALIK OPAK BEYAZ 20MM YIVLI 2GR</t>
  </si>
  <si>
    <t>ENJ0023-03 KAVANOZ KAPAK OPAK MAVI 100MM YIVLI 13GR</t>
  </si>
  <si>
    <t>ENJ0023-05 KAVANOZ KAPAK OPAK GOLD 100MM YIVLI 13GR</t>
  </si>
  <si>
    <t>PRE0002 62MM 8 GOZ PREFORM 43GR SEFFAF SEFFAF KOLI STANDART</t>
  </si>
  <si>
    <t>50-49-48-46-47</t>
  </si>
  <si>
    <t>85-85-85-85-85-80</t>
  </si>
  <si>
    <t>220-215-205-205-200</t>
  </si>
  <si>
    <t>48-47-46-45-44-3</t>
  </si>
  <si>
    <t>220-225-220-215-205</t>
  </si>
  <si>
    <t>200-220-220-215-195</t>
  </si>
  <si>
    <t>170-155-170-165-159</t>
  </si>
  <si>
    <t>192-190-185-185-200-190-190-185-185-185--185-170</t>
  </si>
  <si>
    <t>81-80-79-78</t>
  </si>
  <si>
    <t>64-63-62-61</t>
  </si>
  <si>
    <t>225-230-220-240</t>
  </si>
  <si>
    <t>38-37-36-35-34-34</t>
  </si>
  <si>
    <t>30-29-28-27-26-26</t>
  </si>
  <si>
    <t>195-195-185-180</t>
  </si>
  <si>
    <t>285-270-270-265</t>
  </si>
  <si>
    <t>75-75-77-76-80-77-80</t>
  </si>
  <si>
    <t>115-115-115-115-115-115-125</t>
  </si>
  <si>
    <t>PET0016-01 1500ML SEFFAF SEFFAF 28MM YIVLI 52GR</t>
  </si>
  <si>
    <t>PET0025-01 400ML SEFFAF SEFFAF 28MM YIVLI 25GR</t>
  </si>
  <si>
    <t>PET0024-01 1000ML SEFFAF SEFFAF 28MM YIVLI 45GR</t>
  </si>
  <si>
    <t>PET0165-04 450ML SEFFAF MAVI 28MM YIVLI 26GR</t>
  </si>
  <si>
    <t>PET0129-01 750ML SEFFAF MAVI 28MM YIVLI 45GR</t>
  </si>
  <si>
    <t>PET0239-01 1000ML SEFFAF SEFFAF 110MM YIVLI 95GR</t>
  </si>
  <si>
    <t>PET0015-03 1000ML OPAK BEYAZ 28MM YIVLI 52GR</t>
  </si>
  <si>
    <t>PET0312-01 370ML SEFFAF SEFFAF 62MM YIVLI 26GR</t>
  </si>
  <si>
    <t>280-280-285-270</t>
  </si>
  <si>
    <t>280-280-280-292-295</t>
  </si>
  <si>
    <t>270-285-285-285-285</t>
  </si>
  <si>
    <t>62-49-57</t>
  </si>
  <si>
    <t>52-47-43</t>
  </si>
  <si>
    <t>53-45-65</t>
  </si>
  <si>
    <t>40-52-40</t>
  </si>
  <si>
    <t>310-310-310-310</t>
  </si>
  <si>
    <t>54-45-53</t>
  </si>
  <si>
    <t>280-285-285-285-290</t>
  </si>
  <si>
    <t>51-50-57</t>
  </si>
  <si>
    <t>275-275-280-280-280</t>
  </si>
  <si>
    <t>240-240-240-260-260</t>
  </si>
  <si>
    <t>BLW0015-01 1000ML SEFFAF SEFFAF 90MM YIVLI 60GR (KAPAK+SISE)</t>
  </si>
  <si>
    <t>ENJ0012-07 DAMLALIK OPAK TURUNCU 20MM YIVLI 2GR</t>
  </si>
  <si>
    <t>ENJ0058-06 FLIPTOP SEFFAF LILA 28MM YIVLI 13GR</t>
  </si>
  <si>
    <t>ENJ0042-01 KAVANOZ KAPAK OPAK SARI 90MM YIVLI 17GR</t>
  </si>
  <si>
    <t>EBM0021-05 350ML OPAK SEDEFLI MOR 24MM YIVLI 28GR</t>
  </si>
  <si>
    <t>67-72-68-45-46-40</t>
  </si>
  <si>
    <t>200-215-205-200-195</t>
  </si>
  <si>
    <t>225-225-226-240-230-225-225-225-210-210</t>
  </si>
  <si>
    <t>225-225-220-215-205</t>
  </si>
  <si>
    <t>190-185-185-185-201-210-210-170-170-185-185-185</t>
  </si>
  <si>
    <t>54-53-52-51</t>
  </si>
  <si>
    <t>215-210-206-200-195-190</t>
  </si>
  <si>
    <t>220-230-220-230</t>
  </si>
  <si>
    <t>40-39-38-37-36</t>
  </si>
  <si>
    <t>80-75-70-45</t>
  </si>
  <si>
    <t>65-60-55-45</t>
  </si>
  <si>
    <t>195-195-195-195-195-195-195-195-195-185-260</t>
  </si>
  <si>
    <t>220-215-210-200-195</t>
  </si>
  <si>
    <t>300-280-280-280-275</t>
  </si>
  <si>
    <t>62-62-62-60</t>
  </si>
  <si>
    <t>175-185-185-185-185-185-185-185-185-185-185-185-185-175-175-175-165-165-165-190-190-190-190</t>
  </si>
  <si>
    <t xml:space="preserve"> PET0016-01 1500ML SEFFAF SEFFAF 28MM YIVLI 52GR</t>
  </si>
  <si>
    <t xml:space="preserve"> PET0005-01 700ML SEFFAF SARI 28MM YIVLI 40GR</t>
  </si>
  <si>
    <t xml:space="preserve"> PET0166-02 400ML SEFFAF SEFFAF 28MM YIVLI 25GR</t>
  </si>
  <si>
    <t>PET0057-01 1000ML SEFFAF SEFFAF 28MM YIVLI 45GR</t>
  </si>
  <si>
    <t>PET0035-01 400ML SEFFAF SEFFAF 24MM YIVLI 29GR</t>
  </si>
  <si>
    <t>PET0104-01 100ML OPAK BEYAZ 24MM YIVLI 16GR</t>
  </si>
  <si>
    <t>280-280-288-270</t>
  </si>
  <si>
    <t>278-278-278-278-270-270</t>
  </si>
  <si>
    <t>80-50-66</t>
  </si>
  <si>
    <t>52,5-46-42,8</t>
  </si>
  <si>
    <t>54-44-53</t>
  </si>
  <si>
    <t>61-50-57</t>
  </si>
  <si>
    <t>281-270-270-272-272</t>
  </si>
  <si>
    <t>275-265-265-265</t>
  </si>
  <si>
    <t>250-247-247-255-255</t>
  </si>
  <si>
    <t>238-240-240-280-280</t>
  </si>
  <si>
    <t>295-280-280-280</t>
  </si>
  <si>
    <t>MAKİNE NO</t>
  </si>
  <si>
    <t>TOPLAM GÖZ SAYISI</t>
  </si>
  <si>
    <t>ÇALIŞAN GÖZ</t>
  </si>
  <si>
    <t xml:space="preserve">ÇEVRİM SÜRESİ </t>
  </si>
  <si>
    <t>OPTİMUM ÇEVRİM SÜRESİ</t>
  </si>
  <si>
    <t>KONTROL SONRASI</t>
  </si>
  <si>
    <t>-</t>
  </si>
  <si>
    <t>✓</t>
  </si>
  <si>
    <t>TOTAL NUMBER OF EYES</t>
  </si>
  <si>
    <t>WORKING EYE</t>
  </si>
  <si>
    <t>CYCLE PERIOD</t>
  </si>
  <si>
    <t>OPTIMUM CYCLE TIME</t>
  </si>
  <si>
    <t>AFTER CONTROL</t>
  </si>
  <si>
    <t>MACHINE NO</t>
  </si>
  <si>
    <t>?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</si>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</sst>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0"/>
      <color theme="0"/>
      <name val="Calibri"/>
      <family val="2"/>
      <scheme val="minor"/>
    </font>
    <font>
      <b/>
      <sz val="8"/>
      <color theme="1"/>
      <name val="Calibri"/>
      <family val="2"/>
      <charset val="162"/>
      <scheme val="minor"/>
    </font>
    <font>
      <b/>
      <i/>
      <sz val="24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sz val="16"/>
      <color theme="1"/>
      <name val="Calibri"/>
      <family val="2"/>
      <scheme val="minor"/>
    </font>
    <font>
      <b/>
      <u/>
      <sz val="24"/>
      <color theme="1"/>
      <name val="Calibri"/>
      <family val="2"/>
      <charset val="162"/>
      <scheme val="minor"/>
    </font>
    <font>
      <b/>
      <sz val="16"/>
      <color rgb="FF000000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i/>
      <sz val="48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  <font>
      <b/>
      <i/>
      <sz val="11"/>
      <color theme="1"/>
      <name val="Times New Roman"/>
      <family val="1"/>
      <charset val="162"/>
    </font>
    <font>
      <b/>
      <i/>
      <sz val="11"/>
      <color theme="1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i/>
      <sz val="12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3" fontId="22" fillId="0" borderId="0" applyFont="0" applyFill="0" applyBorder="0" applyAlignment="0" applyProtection="0"/>
    <xf numFmtId="0" fontId="23" fillId="0" borderId="0"/>
    <xf numFmtId="0" fontId="24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7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11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15" fillId="0" borderId="14" xfId="0" applyNumberFormat="1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14" fontId="20" fillId="0" borderId="17" xfId="0" applyNumberFormat="1" applyFont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0" fillId="0" borderId="10" xfId="0" applyBorder="1" applyAlignment="1">
      <alignment horizontal="center" vertical="top" wrapText="1"/>
    </xf>
    <xf numFmtId="0" fontId="15" fillId="0" borderId="12" xfId="0" applyFont="1" applyBorder="1" applyAlignment="1">
      <alignment horizontal="center" wrapText="1"/>
    </xf>
    <xf numFmtId="0" fontId="15" fillId="0" borderId="20" xfId="0" applyFont="1" applyBorder="1" applyAlignment="1">
      <alignment horizont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/>
    </xf>
    <xf numFmtId="0" fontId="0" fillId="0" borderId="21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5" fillId="0" borderId="0" xfId="0" applyFont="1" applyAlignment="1">
      <alignment horizontal="center" vertical="top" wrapText="1"/>
    </xf>
    <xf numFmtId="0" fontId="26" fillId="0" borderId="1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 wrapText="1"/>
    </xf>
    <xf numFmtId="0" fontId="27" fillId="0" borderId="0" xfId="0" applyFont="1"/>
    <xf numFmtId="0" fontId="25" fillId="0" borderId="16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17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5" fillId="0" borderId="20" xfId="0" applyFont="1" applyBorder="1" applyAlignment="1">
      <alignment horizontal="center" wrapText="1"/>
    </xf>
    <xf numFmtId="0" fontId="25" fillId="0" borderId="21" xfId="0" applyFont="1" applyBorder="1" applyAlignment="1">
      <alignment horizontal="center" vertical="top" wrapText="1"/>
    </xf>
    <xf numFmtId="0" fontId="25" fillId="0" borderId="20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/>
    <xf numFmtId="14" fontId="19" fillId="0" borderId="17" xfId="0" applyNumberFormat="1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wrapText="1"/>
    </xf>
    <xf numFmtId="0" fontId="28" fillId="0" borderId="0" xfId="0" applyFont="1" applyAlignment="1">
      <alignment horizontal="center" vertical="center" wrapText="1"/>
    </xf>
    <xf numFmtId="0" fontId="25" fillId="0" borderId="12" xfId="0" applyFont="1" applyBorder="1" applyAlignment="1">
      <alignment horizontal="center" wrapText="1"/>
    </xf>
    <xf numFmtId="0" fontId="28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top" wrapText="1"/>
    </xf>
    <xf numFmtId="0" fontId="28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35" fillId="0" borderId="0" xfId="0" applyNumberFormat="1" applyFont="1"/>
    <xf numFmtId="0" fontId="36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38" fillId="0" borderId="0" xfId="0" applyNumberFormat="1" applyFont="1"/>
  </cellXfs>
  <cellStyles count="9">
    <cellStyle name="Normal" xfId="0" builtinId="0"/>
    <cellStyle name="Normal 2" xfId="2" xr:uid="{C98FBB9A-5A13-48A9-B1E3-C1E01150AA92}"/>
    <cellStyle name="Normal 6" xfId="3" xr:uid="{B17AF2B9-DDBB-426D-A882-7740CBAB4B74}"/>
    <cellStyle name="Normal 7" xfId="4" xr:uid="{0B7BC259-49CF-4CB9-B2CF-A74B2934621C}"/>
    <cellStyle name="Normal 7 2 2" xfId="6" xr:uid="{A6F79682-00B8-4447-B51A-6E917D54079E}"/>
    <cellStyle name="Normal 7 2 2 2" xfId="8" xr:uid="{602354E6-3C5D-483E-AE5F-C62976B253F7}"/>
    <cellStyle name="Normal 7 3" xfId="5" xr:uid="{0B410D7B-9B30-4BBD-A375-8A66BA9BD0B4}"/>
    <cellStyle name="Normal 7 3 2" xfId="7" xr:uid="{6C056672-C7B6-453D-A91F-70D1E8D5B527}"/>
    <cellStyle name="Virgül 2" xfId="1" xr:uid="{5656D945-A159-43DE-8269-E184DF4B37A2}"/>
  </cellStyles>
  <dxfs count="40"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'PROSES ENJEKSİYON'!$E$1:$E$1</c:f>
              <c:strCache>
                <c:ptCount val="1"/>
                <c:pt idx="0">
                  <c:v>Vardiya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ENJEKSİYON'!$E$2:$E$67</c:f>
              <c:numCache>
                <c:formatCode>General</c:formatCode>
                <c:ptCount val="6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6F-4E6A-9B83-2CABBE0CFCB9}"/>
            </c:ext>
          </c:extLst>
        </c:ser>
        <c:ser>
          <c:idx val="1"/>
          <c:order val="1"/>
          <c:tx>
            <c:strRef>
              <c:f>'PROSES ENJEKSİYON'!$F$1:$F$1</c:f>
              <c:strCache>
                <c:ptCount val="1"/>
                <c:pt idx="0">
                  <c:v>Makine Adı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ENJEKSİYON'!$F$2:$F$67</c:f>
              <c:numCache>
                <c:formatCode>General</c:formatCode>
                <c:ptCount val="66"/>
                <c:pt idx="0">
                  <c:v>103</c:v>
                </c:pt>
                <c:pt idx="1">
                  <c:v>104</c:v>
                </c:pt>
                <c:pt idx="2">
                  <c:v>161</c:v>
                </c:pt>
                <c:pt idx="3">
                  <c:v>162</c:v>
                </c:pt>
                <c:pt idx="4">
                  <c:v>164</c:v>
                </c:pt>
                <c:pt idx="5">
                  <c:v>141</c:v>
                </c:pt>
                <c:pt idx="6">
                  <c:v>172</c:v>
                </c:pt>
                <c:pt idx="7">
                  <c:v>173</c:v>
                </c:pt>
                <c:pt idx="8">
                  <c:v>175</c:v>
                </c:pt>
                <c:pt idx="9">
                  <c:v>176</c:v>
                </c:pt>
                <c:pt idx="10">
                  <c:v>177</c:v>
                </c:pt>
                <c:pt idx="11">
                  <c:v>131</c:v>
                </c:pt>
                <c:pt idx="12">
                  <c:v>135</c:v>
                </c:pt>
                <c:pt idx="13">
                  <c:v>138</c:v>
                </c:pt>
                <c:pt idx="14">
                  <c:v>202</c:v>
                </c:pt>
                <c:pt idx="15">
                  <c:v>203</c:v>
                </c:pt>
                <c:pt idx="16">
                  <c:v>204</c:v>
                </c:pt>
                <c:pt idx="17">
                  <c:v>205</c:v>
                </c:pt>
                <c:pt idx="18">
                  <c:v>206</c:v>
                </c:pt>
                <c:pt idx="19">
                  <c:v>207</c:v>
                </c:pt>
                <c:pt idx="20">
                  <c:v>209</c:v>
                </c:pt>
                <c:pt idx="21">
                  <c:v>210</c:v>
                </c:pt>
                <c:pt idx="22">
                  <c:v>211</c:v>
                </c:pt>
                <c:pt idx="23">
                  <c:v>301</c:v>
                </c:pt>
                <c:pt idx="24">
                  <c:v>303</c:v>
                </c:pt>
                <c:pt idx="25">
                  <c:v>102</c:v>
                </c:pt>
                <c:pt idx="26">
                  <c:v>103</c:v>
                </c:pt>
                <c:pt idx="27">
                  <c:v>104</c:v>
                </c:pt>
                <c:pt idx="28">
                  <c:v>164</c:v>
                </c:pt>
                <c:pt idx="29">
                  <c:v>182</c:v>
                </c:pt>
                <c:pt idx="30">
                  <c:v>172</c:v>
                </c:pt>
                <c:pt idx="31">
                  <c:v>173</c:v>
                </c:pt>
                <c:pt idx="32">
                  <c:v>174</c:v>
                </c:pt>
                <c:pt idx="33">
                  <c:v>175</c:v>
                </c:pt>
                <c:pt idx="34">
                  <c:v>176</c:v>
                </c:pt>
                <c:pt idx="35">
                  <c:v>177</c:v>
                </c:pt>
                <c:pt idx="36">
                  <c:v>135</c:v>
                </c:pt>
                <c:pt idx="37">
                  <c:v>138</c:v>
                </c:pt>
                <c:pt idx="38">
                  <c:v>401</c:v>
                </c:pt>
                <c:pt idx="39">
                  <c:v>202</c:v>
                </c:pt>
                <c:pt idx="40">
                  <c:v>203</c:v>
                </c:pt>
                <c:pt idx="41">
                  <c:v>204</c:v>
                </c:pt>
                <c:pt idx="42">
                  <c:v>205</c:v>
                </c:pt>
                <c:pt idx="43">
                  <c:v>207</c:v>
                </c:pt>
                <c:pt idx="44">
                  <c:v>209</c:v>
                </c:pt>
                <c:pt idx="45">
                  <c:v>210</c:v>
                </c:pt>
                <c:pt idx="46">
                  <c:v>211</c:v>
                </c:pt>
                <c:pt idx="47">
                  <c:v>212</c:v>
                </c:pt>
                <c:pt idx="48">
                  <c:v>301</c:v>
                </c:pt>
                <c:pt idx="49">
                  <c:v>303</c:v>
                </c:pt>
                <c:pt idx="50">
                  <c:v>501</c:v>
                </c:pt>
                <c:pt idx="51">
                  <c:v>102</c:v>
                </c:pt>
                <c:pt idx="52">
                  <c:v>103</c:v>
                </c:pt>
                <c:pt idx="53">
                  <c:v>104</c:v>
                </c:pt>
                <c:pt idx="54">
                  <c:v>161</c:v>
                </c:pt>
                <c:pt idx="55">
                  <c:v>171</c:v>
                </c:pt>
                <c:pt idx="56">
                  <c:v>172</c:v>
                </c:pt>
                <c:pt idx="57">
                  <c:v>173</c:v>
                </c:pt>
                <c:pt idx="58">
                  <c:v>174</c:v>
                </c:pt>
                <c:pt idx="59">
                  <c:v>176</c:v>
                </c:pt>
                <c:pt idx="60">
                  <c:v>177</c:v>
                </c:pt>
                <c:pt idx="61">
                  <c:v>131</c:v>
                </c:pt>
                <c:pt idx="62">
                  <c:v>132</c:v>
                </c:pt>
                <c:pt idx="63">
                  <c:v>134</c:v>
                </c:pt>
                <c:pt idx="64">
                  <c:v>135</c:v>
                </c:pt>
                <c:pt idx="6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6F-4E6A-9B83-2CABBE0CFCB9}"/>
            </c:ext>
          </c:extLst>
        </c:ser>
        <c:ser>
          <c:idx val="2"/>
          <c:order val="2"/>
          <c:tx>
            <c:strRef>
              <c:f>'PROSES ENJEKSİYON'!$G$1:$G$1</c:f>
              <c:strCache>
                <c:ptCount val="1"/>
                <c:pt idx="0">
                  <c:v>Ürün Adı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ENJEKSİYON'!$G$2:$G$67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6F-4E6A-9B83-2CABBE0CFCB9}"/>
            </c:ext>
          </c:extLst>
        </c:ser>
        <c:ser>
          <c:idx val="3"/>
          <c:order val="3"/>
          <c:tx>
            <c:strRef>
              <c:f>'PROSES ENJEKSİYON'!$H$1:$H$1</c:f>
              <c:strCache>
                <c:ptCount val="1"/>
                <c:pt idx="0">
                  <c:v>İş Emri 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ENJEKSİYON'!$H$2:$H$67</c:f>
            </c:numRef>
          </c:val>
          <c:extLst>
            <c:ext xmlns:c16="http://schemas.microsoft.com/office/drawing/2014/chart" uri="{C3380CC4-5D6E-409C-BE32-E72D297353CC}">
              <c16:uniqueId val="{00000003-096F-4E6A-9B83-2CABBE0CFCB9}"/>
            </c:ext>
          </c:extLst>
        </c:ser>
        <c:ser>
          <c:idx val="4"/>
          <c:order val="4"/>
          <c:tx>
            <c:strRef>
              <c:f>'PROSES ENJEKSİYON'!$I$1:$I$1</c:f>
              <c:strCache>
                <c:ptCount val="1"/>
                <c:pt idx="0">
                  <c:v>Hammadde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ENJEKSİYON'!$I$2:$I$67</c:f>
            </c:numRef>
          </c:val>
          <c:extLst>
            <c:ext xmlns:c16="http://schemas.microsoft.com/office/drawing/2014/chart" uri="{C3380CC4-5D6E-409C-BE32-E72D297353CC}">
              <c16:uniqueId val="{00000004-096F-4E6A-9B83-2CABBE0CFCB9}"/>
            </c:ext>
          </c:extLst>
        </c:ser>
        <c:ser>
          <c:idx val="5"/>
          <c:order val="5"/>
          <c:tx>
            <c:strRef>
              <c:f>'PROSES ENJEKSİYON'!$J$1:$J$1</c:f>
              <c:strCache>
                <c:ptCount val="1"/>
                <c:pt idx="0">
                  <c:v>Toplam Göz Sayısı (ad)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ENJEKSİYON'!$J$2:$J$67</c:f>
              <c:numCache>
                <c:formatCode>General</c:formatCode>
                <c:ptCount val="66"/>
                <c:pt idx="0">
                  <c:v>5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24</c:v>
                </c:pt>
                <c:pt idx="15">
                  <c:v>4</c:v>
                </c:pt>
                <c:pt idx="16">
                  <c:v>24</c:v>
                </c:pt>
                <c:pt idx="17">
                  <c:v>12</c:v>
                </c:pt>
                <c:pt idx="18">
                  <c:v>8</c:v>
                </c:pt>
                <c:pt idx="19">
                  <c:v>12</c:v>
                </c:pt>
                <c:pt idx="20">
                  <c:v>16</c:v>
                </c:pt>
                <c:pt idx="21">
                  <c:v>4</c:v>
                </c:pt>
                <c:pt idx="22">
                  <c:v>24</c:v>
                </c:pt>
                <c:pt idx="23">
                  <c:v>8</c:v>
                </c:pt>
                <c:pt idx="24">
                  <c:v>8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6</c:v>
                </c:pt>
                <c:pt idx="29">
                  <c:v>8</c:v>
                </c:pt>
                <c:pt idx="30">
                  <c:v>4</c:v>
                </c:pt>
                <c:pt idx="31">
                  <c:v>5</c:v>
                </c:pt>
                <c:pt idx="32">
                  <c:v>3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24</c:v>
                </c:pt>
                <c:pt idx="40">
                  <c:v>8</c:v>
                </c:pt>
                <c:pt idx="41">
                  <c:v>24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4</c:v>
                </c:pt>
                <c:pt idx="46">
                  <c:v>24</c:v>
                </c:pt>
                <c:pt idx="47">
                  <c:v>12</c:v>
                </c:pt>
                <c:pt idx="48">
                  <c:v>4</c:v>
                </c:pt>
                <c:pt idx="49">
                  <c:v>4</c:v>
                </c:pt>
                <c:pt idx="50">
                  <c:v>6</c:v>
                </c:pt>
                <c:pt idx="51">
                  <c:v>5</c:v>
                </c:pt>
                <c:pt idx="52">
                  <c:v>5</c:v>
                </c:pt>
                <c:pt idx="53">
                  <c:v>6</c:v>
                </c:pt>
                <c:pt idx="54">
                  <c:v>6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3</c:v>
                </c:pt>
                <c:pt idx="59">
                  <c:v>5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6F-4E6A-9B83-2CABBE0CFCB9}"/>
            </c:ext>
          </c:extLst>
        </c:ser>
        <c:ser>
          <c:idx val="6"/>
          <c:order val="6"/>
          <c:tx>
            <c:strRef>
              <c:f>'PROSES ENJEKSİYON'!$K$1:$K$1</c:f>
              <c:strCache>
                <c:ptCount val="1"/>
                <c:pt idx="0">
                  <c:v>Çalışan Göz Sayısı (ad)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ENJEKSİYON'!$K$2:$K$67</c:f>
              <c:numCache>
                <c:formatCode>General</c:formatCode>
                <c:ptCount val="66"/>
                <c:pt idx="0">
                  <c:v>5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24</c:v>
                </c:pt>
                <c:pt idx="15">
                  <c:v>4</c:v>
                </c:pt>
                <c:pt idx="16">
                  <c:v>24</c:v>
                </c:pt>
                <c:pt idx="17">
                  <c:v>12</c:v>
                </c:pt>
                <c:pt idx="18">
                  <c:v>6</c:v>
                </c:pt>
                <c:pt idx="19">
                  <c:v>9</c:v>
                </c:pt>
                <c:pt idx="20">
                  <c:v>10</c:v>
                </c:pt>
                <c:pt idx="21">
                  <c:v>4</c:v>
                </c:pt>
                <c:pt idx="22">
                  <c:v>21</c:v>
                </c:pt>
                <c:pt idx="23">
                  <c:v>8</c:v>
                </c:pt>
                <c:pt idx="24">
                  <c:v>8</c:v>
                </c:pt>
                <c:pt idx="25">
                  <c:v>4</c:v>
                </c:pt>
                <c:pt idx="26">
                  <c:v>5</c:v>
                </c:pt>
                <c:pt idx="27">
                  <c:v>5</c:v>
                </c:pt>
                <c:pt idx="28">
                  <c:v>6</c:v>
                </c:pt>
                <c:pt idx="29">
                  <c:v>8</c:v>
                </c:pt>
                <c:pt idx="30">
                  <c:v>4</c:v>
                </c:pt>
                <c:pt idx="31">
                  <c:v>5</c:v>
                </c:pt>
                <c:pt idx="32">
                  <c:v>3</c:v>
                </c:pt>
                <c:pt idx="33">
                  <c:v>5</c:v>
                </c:pt>
                <c:pt idx="34">
                  <c:v>5</c:v>
                </c:pt>
                <c:pt idx="35">
                  <c:v>4</c:v>
                </c:pt>
                <c:pt idx="36">
                  <c:v>2</c:v>
                </c:pt>
                <c:pt idx="37">
                  <c:v>3</c:v>
                </c:pt>
                <c:pt idx="38">
                  <c:v>1</c:v>
                </c:pt>
                <c:pt idx="39">
                  <c:v>22</c:v>
                </c:pt>
                <c:pt idx="40">
                  <c:v>8</c:v>
                </c:pt>
                <c:pt idx="41">
                  <c:v>24</c:v>
                </c:pt>
                <c:pt idx="42">
                  <c:v>12</c:v>
                </c:pt>
                <c:pt idx="43">
                  <c:v>9</c:v>
                </c:pt>
                <c:pt idx="44">
                  <c:v>7</c:v>
                </c:pt>
                <c:pt idx="45">
                  <c:v>3</c:v>
                </c:pt>
                <c:pt idx="46">
                  <c:v>24</c:v>
                </c:pt>
                <c:pt idx="47">
                  <c:v>11</c:v>
                </c:pt>
                <c:pt idx="48">
                  <c:v>4</c:v>
                </c:pt>
                <c:pt idx="49">
                  <c:v>3</c:v>
                </c:pt>
                <c:pt idx="51">
                  <c:v>4</c:v>
                </c:pt>
                <c:pt idx="52">
                  <c:v>5</c:v>
                </c:pt>
                <c:pt idx="53">
                  <c:v>6</c:v>
                </c:pt>
                <c:pt idx="54">
                  <c:v>6</c:v>
                </c:pt>
                <c:pt idx="55">
                  <c:v>3</c:v>
                </c:pt>
                <c:pt idx="56">
                  <c:v>4</c:v>
                </c:pt>
                <c:pt idx="57">
                  <c:v>5</c:v>
                </c:pt>
                <c:pt idx="58">
                  <c:v>3</c:v>
                </c:pt>
                <c:pt idx="59">
                  <c:v>5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6F-4E6A-9B83-2CABBE0CFCB9}"/>
            </c:ext>
          </c:extLst>
        </c:ser>
        <c:ser>
          <c:idx val="7"/>
          <c:order val="7"/>
          <c:tx>
            <c:strRef>
              <c:f>'PROSES ENJEKSİYON'!$L$1:$L$1</c:f>
              <c:strCache>
                <c:ptCount val="1"/>
                <c:pt idx="0">
                  <c:v>Çevrim Süresi (sn)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ENJEKSİYON'!$L$2:$L$67</c:f>
              <c:numCache>
                <c:formatCode>General</c:formatCode>
                <c:ptCount val="66"/>
                <c:pt idx="0">
                  <c:v>15.65</c:v>
                </c:pt>
                <c:pt idx="1">
                  <c:v>15.73</c:v>
                </c:pt>
                <c:pt idx="2">
                  <c:v>22.51</c:v>
                </c:pt>
                <c:pt idx="3">
                  <c:v>24</c:v>
                </c:pt>
                <c:pt idx="4">
                  <c:v>21.59</c:v>
                </c:pt>
                <c:pt idx="5">
                  <c:v>28</c:v>
                </c:pt>
                <c:pt idx="6">
                  <c:v>15.85</c:v>
                </c:pt>
                <c:pt idx="7">
                  <c:v>19.23</c:v>
                </c:pt>
                <c:pt idx="8">
                  <c:v>14.94</c:v>
                </c:pt>
                <c:pt idx="9">
                  <c:v>20.3</c:v>
                </c:pt>
                <c:pt idx="10">
                  <c:v>17.989999999999998</c:v>
                </c:pt>
                <c:pt idx="11">
                  <c:v>19.07</c:v>
                </c:pt>
                <c:pt idx="12">
                  <c:v>20.58</c:v>
                </c:pt>
                <c:pt idx="13">
                  <c:v>12.85</c:v>
                </c:pt>
                <c:pt idx="14">
                  <c:v>212</c:v>
                </c:pt>
                <c:pt idx="15">
                  <c:v>16.100000000000001</c:v>
                </c:pt>
                <c:pt idx="16">
                  <c:v>25.5</c:v>
                </c:pt>
                <c:pt idx="17">
                  <c:v>26.9</c:v>
                </c:pt>
                <c:pt idx="18">
                  <c:v>33.200000000000003</c:v>
                </c:pt>
                <c:pt idx="19">
                  <c:v>27.85</c:v>
                </c:pt>
                <c:pt idx="20">
                  <c:v>27.5</c:v>
                </c:pt>
                <c:pt idx="21">
                  <c:v>19.8</c:v>
                </c:pt>
                <c:pt idx="22">
                  <c:v>21.4</c:v>
                </c:pt>
                <c:pt idx="23">
                  <c:v>36.700000000000003</c:v>
                </c:pt>
                <c:pt idx="24">
                  <c:v>34.200000000000003</c:v>
                </c:pt>
                <c:pt idx="25">
                  <c:v>18.559999999999999</c:v>
                </c:pt>
                <c:pt idx="26">
                  <c:v>15.94</c:v>
                </c:pt>
                <c:pt idx="27">
                  <c:v>13.28</c:v>
                </c:pt>
                <c:pt idx="28">
                  <c:v>21.59</c:v>
                </c:pt>
                <c:pt idx="29">
                  <c:v>16</c:v>
                </c:pt>
                <c:pt idx="30">
                  <c:v>16.059999999999999</c:v>
                </c:pt>
                <c:pt idx="31">
                  <c:v>17.16</c:v>
                </c:pt>
                <c:pt idx="32">
                  <c:v>18.190000000000001</c:v>
                </c:pt>
                <c:pt idx="33">
                  <c:v>14.42</c:v>
                </c:pt>
                <c:pt idx="34">
                  <c:v>17.809999999999999</c:v>
                </c:pt>
                <c:pt idx="35">
                  <c:v>18.739999999999998</c:v>
                </c:pt>
                <c:pt idx="36">
                  <c:v>20.47</c:v>
                </c:pt>
                <c:pt idx="37">
                  <c:v>12.72</c:v>
                </c:pt>
                <c:pt idx="38">
                  <c:v>9.08</c:v>
                </c:pt>
                <c:pt idx="39">
                  <c:v>21.1</c:v>
                </c:pt>
                <c:pt idx="40">
                  <c:v>17.600000000000001</c:v>
                </c:pt>
                <c:pt idx="41">
                  <c:v>25.5</c:v>
                </c:pt>
                <c:pt idx="42">
                  <c:v>15.52</c:v>
                </c:pt>
                <c:pt idx="43">
                  <c:v>28.95</c:v>
                </c:pt>
                <c:pt idx="44">
                  <c:v>26.9</c:v>
                </c:pt>
                <c:pt idx="45">
                  <c:v>19.8</c:v>
                </c:pt>
                <c:pt idx="46">
                  <c:v>22.1</c:v>
                </c:pt>
                <c:pt idx="47">
                  <c:v>21.4</c:v>
                </c:pt>
                <c:pt idx="48">
                  <c:v>24.4</c:v>
                </c:pt>
                <c:pt idx="49">
                  <c:v>28.7</c:v>
                </c:pt>
                <c:pt idx="50">
                  <c:v>15.62</c:v>
                </c:pt>
                <c:pt idx="51">
                  <c:v>18.73</c:v>
                </c:pt>
                <c:pt idx="52">
                  <c:v>15.87</c:v>
                </c:pt>
                <c:pt idx="53">
                  <c:v>12.63</c:v>
                </c:pt>
                <c:pt idx="54">
                  <c:v>22.51</c:v>
                </c:pt>
                <c:pt idx="55">
                  <c:v>14.78</c:v>
                </c:pt>
                <c:pt idx="56">
                  <c:v>16.64</c:v>
                </c:pt>
                <c:pt idx="57">
                  <c:v>17.82</c:v>
                </c:pt>
                <c:pt idx="58">
                  <c:v>18.170000000000002</c:v>
                </c:pt>
                <c:pt idx="59">
                  <c:v>18.63</c:v>
                </c:pt>
                <c:pt idx="60">
                  <c:v>18.43</c:v>
                </c:pt>
                <c:pt idx="61">
                  <c:v>20.27</c:v>
                </c:pt>
                <c:pt idx="62">
                  <c:v>20.67</c:v>
                </c:pt>
                <c:pt idx="63">
                  <c:v>15.27</c:v>
                </c:pt>
                <c:pt idx="64">
                  <c:v>19.89</c:v>
                </c:pt>
                <c:pt idx="65">
                  <c:v>12.61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96F-4E6A-9B83-2CABBE0CFCB9}"/>
            </c:ext>
          </c:extLst>
        </c:ser>
        <c:ser>
          <c:idx val="8"/>
          <c:order val="8"/>
          <c:tx>
            <c:strRef>
              <c:f>'PROSES ENJEKSİYON'!$M$1:$M$1</c:f>
              <c:strCache>
                <c:ptCount val="1"/>
                <c:pt idx="0">
                  <c:v>Soğutma Süresi (sn)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ENJEKSİYON'!$M$2:$M$67</c:f>
              <c:numCache>
                <c:formatCode>General</c:formatCode>
                <c:ptCount val="66"/>
                <c:pt idx="0">
                  <c:v>3</c:v>
                </c:pt>
                <c:pt idx="1">
                  <c:v>5.5</c:v>
                </c:pt>
                <c:pt idx="2">
                  <c:v>8</c:v>
                </c:pt>
                <c:pt idx="3">
                  <c:v>8.5</c:v>
                </c:pt>
                <c:pt idx="4">
                  <c:v>5</c:v>
                </c:pt>
                <c:pt idx="5">
                  <c:v>6.3</c:v>
                </c:pt>
                <c:pt idx="6">
                  <c:v>1</c:v>
                </c:pt>
                <c:pt idx="7">
                  <c:v>2.8</c:v>
                </c:pt>
                <c:pt idx="8">
                  <c:v>1.5</c:v>
                </c:pt>
                <c:pt idx="9">
                  <c:v>1</c:v>
                </c:pt>
                <c:pt idx="10">
                  <c:v>0.8</c:v>
                </c:pt>
                <c:pt idx="11">
                  <c:v>3.65</c:v>
                </c:pt>
                <c:pt idx="12">
                  <c:v>6</c:v>
                </c:pt>
                <c:pt idx="13">
                  <c:v>2.5</c:v>
                </c:pt>
                <c:pt idx="14">
                  <c:v>10</c:v>
                </c:pt>
                <c:pt idx="15">
                  <c:v>5</c:v>
                </c:pt>
                <c:pt idx="16">
                  <c:v>15</c:v>
                </c:pt>
                <c:pt idx="17">
                  <c:v>10</c:v>
                </c:pt>
                <c:pt idx="18">
                  <c:v>18</c:v>
                </c:pt>
                <c:pt idx="19">
                  <c:v>10</c:v>
                </c:pt>
                <c:pt idx="20">
                  <c:v>6</c:v>
                </c:pt>
                <c:pt idx="21">
                  <c:v>6</c:v>
                </c:pt>
                <c:pt idx="22">
                  <c:v>10</c:v>
                </c:pt>
                <c:pt idx="23">
                  <c:v>18</c:v>
                </c:pt>
                <c:pt idx="24">
                  <c:v>16</c:v>
                </c:pt>
                <c:pt idx="25">
                  <c:v>4</c:v>
                </c:pt>
                <c:pt idx="26">
                  <c:v>3.2</c:v>
                </c:pt>
                <c:pt idx="27">
                  <c:v>3.2</c:v>
                </c:pt>
                <c:pt idx="28">
                  <c:v>5</c:v>
                </c:pt>
                <c:pt idx="29">
                  <c:v>3.8</c:v>
                </c:pt>
                <c:pt idx="30">
                  <c:v>0.25</c:v>
                </c:pt>
                <c:pt idx="31">
                  <c:v>2</c:v>
                </c:pt>
                <c:pt idx="32">
                  <c:v>4</c:v>
                </c:pt>
                <c:pt idx="33">
                  <c:v>1.3</c:v>
                </c:pt>
                <c:pt idx="34">
                  <c:v>2.2000000000000002</c:v>
                </c:pt>
                <c:pt idx="35">
                  <c:v>3</c:v>
                </c:pt>
                <c:pt idx="36">
                  <c:v>6</c:v>
                </c:pt>
                <c:pt idx="37">
                  <c:v>2.5</c:v>
                </c:pt>
                <c:pt idx="39">
                  <c:v>10</c:v>
                </c:pt>
                <c:pt idx="40">
                  <c:v>5</c:v>
                </c:pt>
                <c:pt idx="41">
                  <c:v>15</c:v>
                </c:pt>
                <c:pt idx="42">
                  <c:v>10</c:v>
                </c:pt>
                <c:pt idx="43">
                  <c:v>13</c:v>
                </c:pt>
                <c:pt idx="44">
                  <c:v>6</c:v>
                </c:pt>
                <c:pt idx="45">
                  <c:v>6</c:v>
                </c:pt>
                <c:pt idx="46">
                  <c:v>10</c:v>
                </c:pt>
                <c:pt idx="47">
                  <c:v>12</c:v>
                </c:pt>
                <c:pt idx="48">
                  <c:v>8</c:v>
                </c:pt>
                <c:pt idx="49">
                  <c:v>13</c:v>
                </c:pt>
                <c:pt idx="51">
                  <c:v>4.2</c:v>
                </c:pt>
                <c:pt idx="52">
                  <c:v>3.2</c:v>
                </c:pt>
                <c:pt idx="53">
                  <c:v>2.2000000000000002</c:v>
                </c:pt>
                <c:pt idx="54">
                  <c:v>8</c:v>
                </c:pt>
                <c:pt idx="55">
                  <c:v>5</c:v>
                </c:pt>
                <c:pt idx="56">
                  <c:v>0.75</c:v>
                </c:pt>
                <c:pt idx="57">
                  <c:v>1</c:v>
                </c:pt>
                <c:pt idx="58">
                  <c:v>4</c:v>
                </c:pt>
                <c:pt idx="59">
                  <c:v>2.2000000000000002</c:v>
                </c:pt>
                <c:pt idx="60">
                  <c:v>2.7</c:v>
                </c:pt>
                <c:pt idx="61">
                  <c:v>3.5</c:v>
                </c:pt>
                <c:pt idx="62">
                  <c:v>4</c:v>
                </c:pt>
                <c:pt idx="63">
                  <c:v>4</c:v>
                </c:pt>
                <c:pt idx="64">
                  <c:v>6.4</c:v>
                </c:pt>
                <c:pt idx="65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96F-4E6A-9B83-2CABBE0CFCB9}"/>
            </c:ext>
          </c:extLst>
        </c:ser>
        <c:ser>
          <c:idx val="9"/>
          <c:order val="9"/>
          <c:tx>
            <c:strRef>
              <c:f>'PROSES ENJEKSİYON'!$N$1:$N$1</c:f>
              <c:strCache>
                <c:ptCount val="1"/>
                <c:pt idx="0">
                  <c:v>Enjeksiyon Zamanı (sn)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ENJEKSİYON'!$N$2:$N$67</c:f>
              <c:numCache>
                <c:formatCode>General</c:formatCode>
                <c:ptCount val="66"/>
                <c:pt idx="0">
                  <c:v>7</c:v>
                </c:pt>
                <c:pt idx="1">
                  <c:v>5.9</c:v>
                </c:pt>
                <c:pt idx="2">
                  <c:v>9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9.75</c:v>
                </c:pt>
                <c:pt idx="7">
                  <c:v>12.25</c:v>
                </c:pt>
                <c:pt idx="8">
                  <c:v>9.5</c:v>
                </c:pt>
                <c:pt idx="9">
                  <c:v>13</c:v>
                </c:pt>
                <c:pt idx="10">
                  <c:v>8</c:v>
                </c:pt>
                <c:pt idx="11">
                  <c:v>9</c:v>
                </c:pt>
                <c:pt idx="12">
                  <c:v>9</c:v>
                </c:pt>
                <c:pt idx="13">
                  <c:v>5</c:v>
                </c:pt>
                <c:pt idx="14">
                  <c:v>3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5.85</c:v>
                </c:pt>
                <c:pt idx="20">
                  <c:v>5</c:v>
                </c:pt>
                <c:pt idx="21">
                  <c:v>4</c:v>
                </c:pt>
                <c:pt idx="22">
                  <c:v>4.4000000000000004</c:v>
                </c:pt>
                <c:pt idx="23">
                  <c:v>6.3</c:v>
                </c:pt>
                <c:pt idx="24">
                  <c:v>6</c:v>
                </c:pt>
                <c:pt idx="25">
                  <c:v>9.5</c:v>
                </c:pt>
                <c:pt idx="26">
                  <c:v>7.2</c:v>
                </c:pt>
                <c:pt idx="27">
                  <c:v>5.0999999999999996</c:v>
                </c:pt>
                <c:pt idx="28">
                  <c:v>9</c:v>
                </c:pt>
                <c:pt idx="29">
                  <c:v>6</c:v>
                </c:pt>
                <c:pt idx="30">
                  <c:v>10</c:v>
                </c:pt>
                <c:pt idx="31">
                  <c:v>11</c:v>
                </c:pt>
                <c:pt idx="32">
                  <c:v>10</c:v>
                </c:pt>
                <c:pt idx="33">
                  <c:v>4.2</c:v>
                </c:pt>
                <c:pt idx="34">
                  <c:v>12</c:v>
                </c:pt>
                <c:pt idx="35">
                  <c:v>12</c:v>
                </c:pt>
                <c:pt idx="36">
                  <c:v>9</c:v>
                </c:pt>
                <c:pt idx="37">
                  <c:v>5</c:v>
                </c:pt>
                <c:pt idx="39">
                  <c:v>3</c:v>
                </c:pt>
                <c:pt idx="40">
                  <c:v>3.2</c:v>
                </c:pt>
                <c:pt idx="41">
                  <c:v>3</c:v>
                </c:pt>
                <c:pt idx="42">
                  <c:v>3</c:v>
                </c:pt>
                <c:pt idx="43">
                  <c:v>5.85</c:v>
                </c:pt>
                <c:pt idx="44">
                  <c:v>5</c:v>
                </c:pt>
                <c:pt idx="45">
                  <c:v>4</c:v>
                </c:pt>
                <c:pt idx="46">
                  <c:v>4.4000000000000004</c:v>
                </c:pt>
                <c:pt idx="47">
                  <c:v>2</c:v>
                </c:pt>
                <c:pt idx="48">
                  <c:v>8.1999999999999993</c:v>
                </c:pt>
                <c:pt idx="49">
                  <c:v>6</c:v>
                </c:pt>
                <c:pt idx="51">
                  <c:v>9.5</c:v>
                </c:pt>
                <c:pt idx="52">
                  <c:v>7.2</c:v>
                </c:pt>
                <c:pt idx="53">
                  <c:v>5.5</c:v>
                </c:pt>
                <c:pt idx="54">
                  <c:v>9</c:v>
                </c:pt>
                <c:pt idx="55">
                  <c:v>5.5</c:v>
                </c:pt>
                <c:pt idx="56">
                  <c:v>9.3000000000000007</c:v>
                </c:pt>
                <c:pt idx="57">
                  <c:v>12.5</c:v>
                </c:pt>
                <c:pt idx="58">
                  <c:v>10</c:v>
                </c:pt>
                <c:pt idx="59">
                  <c:v>12</c:v>
                </c:pt>
                <c:pt idx="60">
                  <c:v>12</c:v>
                </c:pt>
                <c:pt idx="61">
                  <c:v>9.6</c:v>
                </c:pt>
                <c:pt idx="62">
                  <c:v>10.5</c:v>
                </c:pt>
                <c:pt idx="63">
                  <c:v>6</c:v>
                </c:pt>
                <c:pt idx="64">
                  <c:v>8</c:v>
                </c:pt>
                <c:pt idx="6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6F-4E6A-9B83-2CABBE0CFCB9}"/>
            </c:ext>
          </c:extLst>
        </c:ser>
        <c:ser>
          <c:idx val="10"/>
          <c:order val="10"/>
          <c:tx>
            <c:strRef>
              <c:f>'PROSES ENJEKSİYON'!$O$1:$O$1</c:f>
              <c:strCache>
                <c:ptCount val="1"/>
                <c:pt idx="0">
                  <c:v>Şişirme Süresi (sn)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ENJEKSİYON'!$O$2:$O$67</c:f>
              <c:numCache>
                <c:formatCode>General</c:formatCode>
                <c:ptCount val="66"/>
                <c:pt idx="0">
                  <c:v>7</c:v>
                </c:pt>
                <c:pt idx="1">
                  <c:v>5.5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7</c:v>
                </c:pt>
                <c:pt idx="7">
                  <c:v>8</c:v>
                </c:pt>
                <c:pt idx="8">
                  <c:v>6.5</c:v>
                </c:pt>
                <c:pt idx="9">
                  <c:v>8</c:v>
                </c:pt>
                <c:pt idx="10">
                  <c:v>8.3000000000000007</c:v>
                </c:pt>
                <c:pt idx="11">
                  <c:v>6</c:v>
                </c:pt>
                <c:pt idx="12">
                  <c:v>4.5</c:v>
                </c:pt>
                <c:pt idx="13">
                  <c:v>4</c:v>
                </c:pt>
                <c:pt idx="25">
                  <c:v>6</c:v>
                </c:pt>
                <c:pt idx="26">
                  <c:v>7</c:v>
                </c:pt>
                <c:pt idx="27">
                  <c:v>4</c:v>
                </c:pt>
                <c:pt idx="28">
                  <c:v>3</c:v>
                </c:pt>
                <c:pt idx="29">
                  <c:v>3.5</c:v>
                </c:pt>
                <c:pt idx="30">
                  <c:v>8.5</c:v>
                </c:pt>
                <c:pt idx="31">
                  <c:v>6</c:v>
                </c:pt>
                <c:pt idx="32">
                  <c:v>8</c:v>
                </c:pt>
                <c:pt idx="33">
                  <c:v>6.5</c:v>
                </c:pt>
                <c:pt idx="34">
                  <c:v>7</c:v>
                </c:pt>
                <c:pt idx="35">
                  <c:v>8.3000000000000007</c:v>
                </c:pt>
                <c:pt idx="36">
                  <c:v>4.5</c:v>
                </c:pt>
                <c:pt idx="37">
                  <c:v>4</c:v>
                </c:pt>
                <c:pt idx="38">
                  <c:v>2</c:v>
                </c:pt>
                <c:pt idx="50">
                  <c:v>9.3000000000000007</c:v>
                </c:pt>
                <c:pt idx="51">
                  <c:v>6.2</c:v>
                </c:pt>
                <c:pt idx="52">
                  <c:v>7</c:v>
                </c:pt>
                <c:pt idx="53">
                  <c:v>4</c:v>
                </c:pt>
                <c:pt idx="54">
                  <c:v>3</c:v>
                </c:pt>
                <c:pt idx="55">
                  <c:v>4</c:v>
                </c:pt>
                <c:pt idx="56">
                  <c:v>7</c:v>
                </c:pt>
                <c:pt idx="57">
                  <c:v>6</c:v>
                </c:pt>
                <c:pt idx="58">
                  <c:v>8</c:v>
                </c:pt>
                <c:pt idx="59">
                  <c:v>7</c:v>
                </c:pt>
                <c:pt idx="60">
                  <c:v>8.3000000000000007</c:v>
                </c:pt>
                <c:pt idx="61">
                  <c:v>6</c:v>
                </c:pt>
                <c:pt idx="62">
                  <c:v>5.5</c:v>
                </c:pt>
                <c:pt idx="63">
                  <c:v>5</c:v>
                </c:pt>
                <c:pt idx="64">
                  <c:v>4</c:v>
                </c:pt>
                <c:pt idx="6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96F-4E6A-9B83-2CABBE0CFCB9}"/>
            </c:ext>
          </c:extLst>
        </c:ser>
        <c:ser>
          <c:idx val="11"/>
          <c:order val="11"/>
          <c:tx>
            <c:strRef>
              <c:f>'PROSES ENJEKSİYON'!$P$1:$P$1</c:f>
              <c:strCache>
                <c:ptCount val="1"/>
                <c:pt idx="0">
                  <c:v>Şartlandırıcı Sıcaklığı 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ENJEKSİYON'!$P$2:$P$67</c:f>
              <c:numCache>
                <c:formatCode>General</c:formatCode>
                <c:ptCount val="66"/>
                <c:pt idx="0">
                  <c:v>45</c:v>
                </c:pt>
                <c:pt idx="3">
                  <c:v>35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25">
                  <c:v>55</c:v>
                </c:pt>
                <c:pt idx="26">
                  <c:v>45</c:v>
                </c:pt>
                <c:pt idx="27">
                  <c:v>50</c:v>
                </c:pt>
                <c:pt idx="29">
                  <c:v>43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51">
                  <c:v>55</c:v>
                </c:pt>
                <c:pt idx="52">
                  <c:v>45</c:v>
                </c:pt>
                <c:pt idx="53">
                  <c:v>50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96F-4E6A-9B83-2CABBE0CFCB9}"/>
            </c:ext>
          </c:extLst>
        </c:ser>
        <c:ser>
          <c:idx val="12"/>
          <c:order val="12"/>
          <c:tx>
            <c:strRef>
              <c:f>'PROSES ENJEKSİYON'!$Q$1:$Q$1</c:f>
              <c:strCache>
                <c:ptCount val="1"/>
                <c:pt idx="0">
                  <c:v>Kurutucu Sıcaklığı ©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ENJEKSİYON'!$Q$2:$Q$67</c:f>
              <c:numCache>
                <c:formatCode>General</c:formatCode>
                <c:ptCount val="66"/>
                <c:pt idx="0">
                  <c:v>147</c:v>
                </c:pt>
                <c:pt idx="1">
                  <c:v>170</c:v>
                </c:pt>
                <c:pt idx="2">
                  <c:v>160</c:v>
                </c:pt>
                <c:pt idx="3">
                  <c:v>175</c:v>
                </c:pt>
                <c:pt idx="4">
                  <c:v>180</c:v>
                </c:pt>
                <c:pt idx="5">
                  <c:v>175</c:v>
                </c:pt>
                <c:pt idx="6">
                  <c:v>170</c:v>
                </c:pt>
                <c:pt idx="7">
                  <c:v>170</c:v>
                </c:pt>
                <c:pt idx="8">
                  <c:v>170</c:v>
                </c:pt>
                <c:pt idx="9">
                  <c:v>171</c:v>
                </c:pt>
                <c:pt idx="10">
                  <c:v>170</c:v>
                </c:pt>
                <c:pt idx="11">
                  <c:v>180</c:v>
                </c:pt>
                <c:pt idx="12">
                  <c:v>160</c:v>
                </c:pt>
                <c:pt idx="13">
                  <c:v>143</c:v>
                </c:pt>
                <c:pt idx="25">
                  <c:v>175</c:v>
                </c:pt>
                <c:pt idx="26">
                  <c:v>160</c:v>
                </c:pt>
                <c:pt idx="27">
                  <c:v>175</c:v>
                </c:pt>
                <c:pt idx="28">
                  <c:v>180</c:v>
                </c:pt>
                <c:pt idx="29">
                  <c:v>170</c:v>
                </c:pt>
                <c:pt idx="30">
                  <c:v>170</c:v>
                </c:pt>
                <c:pt idx="31">
                  <c:v>175</c:v>
                </c:pt>
                <c:pt idx="32">
                  <c:v>170</c:v>
                </c:pt>
                <c:pt idx="33">
                  <c:v>170</c:v>
                </c:pt>
                <c:pt idx="34">
                  <c:v>170</c:v>
                </c:pt>
                <c:pt idx="35">
                  <c:v>170</c:v>
                </c:pt>
                <c:pt idx="36">
                  <c:v>170</c:v>
                </c:pt>
                <c:pt idx="37">
                  <c:v>173</c:v>
                </c:pt>
                <c:pt idx="51">
                  <c:v>170</c:v>
                </c:pt>
                <c:pt idx="52">
                  <c:v>130</c:v>
                </c:pt>
                <c:pt idx="53">
                  <c:v>170</c:v>
                </c:pt>
                <c:pt idx="54">
                  <c:v>180</c:v>
                </c:pt>
                <c:pt idx="55">
                  <c:v>175</c:v>
                </c:pt>
                <c:pt idx="56">
                  <c:v>170</c:v>
                </c:pt>
                <c:pt idx="57">
                  <c:v>175</c:v>
                </c:pt>
                <c:pt idx="58">
                  <c:v>170</c:v>
                </c:pt>
                <c:pt idx="59">
                  <c:v>170</c:v>
                </c:pt>
                <c:pt idx="60">
                  <c:v>170</c:v>
                </c:pt>
                <c:pt idx="61">
                  <c:v>180</c:v>
                </c:pt>
                <c:pt idx="62">
                  <c:v>180</c:v>
                </c:pt>
                <c:pt idx="63">
                  <c:v>160</c:v>
                </c:pt>
                <c:pt idx="64">
                  <c:v>165</c:v>
                </c:pt>
                <c:pt idx="65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6F-4E6A-9B83-2CABBE0CFCB9}"/>
            </c:ext>
          </c:extLst>
        </c:ser>
        <c:ser>
          <c:idx val="13"/>
          <c:order val="13"/>
          <c:tx>
            <c:strRef>
              <c:f>'PROSES ENJEKSİYON'!$R$1:$R$1</c:f>
              <c:strCache>
                <c:ptCount val="1"/>
                <c:pt idx="0">
                  <c:v>Enjeksiyon Basınçları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ENJEKSİYON'!$R$2:$R$67</c:f>
            </c:numRef>
          </c:val>
          <c:extLst>
            <c:ext xmlns:c16="http://schemas.microsoft.com/office/drawing/2014/chart" uri="{C3380CC4-5D6E-409C-BE32-E72D297353CC}">
              <c16:uniqueId val="{0000000D-096F-4E6A-9B83-2CABBE0CFCB9}"/>
            </c:ext>
          </c:extLst>
        </c:ser>
        <c:ser>
          <c:idx val="14"/>
          <c:order val="14"/>
          <c:tx>
            <c:strRef>
              <c:f>'PROSES ENJEKSİYON'!$S$1:$S$1</c:f>
              <c:strCache>
                <c:ptCount val="1"/>
                <c:pt idx="0">
                  <c:v>Enjeksiyon Hızları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ENJEKSİYON'!$S$2:$S$67</c:f>
            </c:numRef>
          </c:val>
          <c:extLst>
            <c:ext xmlns:c16="http://schemas.microsoft.com/office/drawing/2014/chart" uri="{C3380CC4-5D6E-409C-BE32-E72D297353CC}">
              <c16:uniqueId val="{0000000E-096F-4E6A-9B83-2CABBE0CFCB9}"/>
            </c:ext>
          </c:extLst>
        </c:ser>
        <c:ser>
          <c:idx val="15"/>
          <c:order val="15"/>
          <c:tx>
            <c:strRef>
              <c:f>'PROSES ENJEKSİYON'!$T$1:$T$1</c:f>
              <c:strCache>
                <c:ptCount val="1"/>
                <c:pt idx="0">
                  <c:v>Ütüleme Zamanı (sn)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ENJEKSİYON'!$T$2:$T$67</c:f>
            </c:numRef>
          </c:val>
          <c:extLst>
            <c:ext xmlns:c16="http://schemas.microsoft.com/office/drawing/2014/chart" uri="{C3380CC4-5D6E-409C-BE32-E72D297353CC}">
              <c16:uniqueId val="{0000000F-096F-4E6A-9B83-2CABBE0CFCB9}"/>
            </c:ext>
          </c:extLst>
        </c:ser>
        <c:ser>
          <c:idx val="16"/>
          <c:order val="16"/>
          <c:tx>
            <c:strRef>
              <c:f>'PROSES ENJEKSİYON'!$U$1:$U$1</c:f>
              <c:strCache>
                <c:ptCount val="1"/>
                <c:pt idx="0">
                  <c:v>Ütüleme Hızı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ENJEKSİYON'!$U$2:$U$67</c:f>
            </c:numRef>
          </c:val>
          <c:extLst>
            <c:ext xmlns:c16="http://schemas.microsoft.com/office/drawing/2014/chart" uri="{C3380CC4-5D6E-409C-BE32-E72D297353CC}">
              <c16:uniqueId val="{00000010-096F-4E6A-9B83-2CABBE0CFCB9}"/>
            </c:ext>
          </c:extLst>
        </c:ser>
        <c:ser>
          <c:idx val="17"/>
          <c:order val="17"/>
          <c:tx>
            <c:strRef>
              <c:f>'PROSES ENJEKSİYON'!$V$1:$V$1</c:f>
              <c:strCache>
                <c:ptCount val="1"/>
                <c:pt idx="0">
                  <c:v>Ütüleme Basıncı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ENJEKSİYON'!$V$2:$V$67</c:f>
            </c:numRef>
          </c:val>
          <c:extLst>
            <c:ext xmlns:c16="http://schemas.microsoft.com/office/drawing/2014/chart" uri="{C3380CC4-5D6E-409C-BE32-E72D297353CC}">
              <c16:uniqueId val="{00000011-096F-4E6A-9B83-2CABBE0CFCB9}"/>
            </c:ext>
          </c:extLst>
        </c:ser>
        <c:ser>
          <c:idx val="18"/>
          <c:order val="18"/>
          <c:tx>
            <c:strRef>
              <c:f>'PROSES ENJEKSİYON'!$W$1:$W$1</c:f>
              <c:strCache>
                <c:ptCount val="1"/>
                <c:pt idx="0">
                  <c:v>Mengene Kuvveti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ENJEKSİYON'!$W$2:$W$67</c:f>
            </c:numRef>
          </c:val>
          <c:extLst>
            <c:ext xmlns:c16="http://schemas.microsoft.com/office/drawing/2014/chart" uri="{C3380CC4-5D6E-409C-BE32-E72D297353CC}">
              <c16:uniqueId val="{00000012-096F-4E6A-9B83-2CABBE0CFCB9}"/>
            </c:ext>
          </c:extLst>
        </c:ser>
        <c:ser>
          <c:idx val="19"/>
          <c:order val="19"/>
          <c:tx>
            <c:strRef>
              <c:f>'PROSES ENJEKSİYON'!$X$1:$X$1</c:f>
              <c:strCache>
                <c:ptCount val="1"/>
                <c:pt idx="0">
                  <c:v>Ocak Isıları ©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ENJEKSİYON'!$X$2:$X$67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96F-4E6A-9B83-2CABBE0CFCB9}"/>
            </c:ext>
          </c:extLst>
        </c:ser>
        <c:ser>
          <c:idx val="20"/>
          <c:order val="20"/>
          <c:tx>
            <c:strRef>
              <c:f>'PROSES ENJEKSİYON'!$Y$1:$Y$1</c:f>
              <c:strCache>
                <c:ptCount val="1"/>
                <c:pt idx="0">
                  <c:v>Kalıp Isıları ©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ENJEKSİYON'!$Y$2:$Y$67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40">
                  <c:v>0</c:v>
                </c:pt>
                <c:pt idx="43">
                  <c:v>0</c:v>
                </c:pt>
                <c:pt idx="45">
                  <c:v>0</c:v>
                </c:pt>
                <c:pt idx="47">
                  <c:v>0</c:v>
                </c:pt>
                <c:pt idx="49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96F-4E6A-9B83-2CABBE0CFCB9}"/>
            </c:ext>
          </c:extLst>
        </c:ser>
        <c:ser>
          <c:idx val="21"/>
          <c:order val="21"/>
          <c:tx>
            <c:strRef>
              <c:f>'PROSES ENJEKSİYON'!$Z$1:$Z$1</c:f>
              <c:strCache>
                <c:ptCount val="1"/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'PROSES ENJEKSİYON'!$A$2:$D$67</c:f>
              <c:multiLvlStrCache>
                <c:ptCount val="66"/>
                <c:lvl>
                  <c:pt idx="0">
                    <c:v>SELMAN</c:v>
                  </c:pt>
                  <c:pt idx="1">
                    <c:v>SELMAN</c:v>
                  </c:pt>
                  <c:pt idx="2">
                    <c:v>SELMAN</c:v>
                  </c:pt>
                  <c:pt idx="3">
                    <c:v>SELMAN</c:v>
                  </c:pt>
                  <c:pt idx="4">
                    <c:v>SELMAN</c:v>
                  </c:pt>
                  <c:pt idx="5">
                    <c:v>SELMAN</c:v>
                  </c:pt>
                  <c:pt idx="6">
                    <c:v>SELMAN</c:v>
                  </c:pt>
                  <c:pt idx="7">
                    <c:v>SELMAN</c:v>
                  </c:pt>
                  <c:pt idx="8">
                    <c:v>SELMAN</c:v>
                  </c:pt>
                  <c:pt idx="9">
                    <c:v>SELMAN</c:v>
                  </c:pt>
                  <c:pt idx="10">
                    <c:v>SELMAN</c:v>
                  </c:pt>
                  <c:pt idx="11">
                    <c:v>SELMAN</c:v>
                  </c:pt>
                  <c:pt idx="12">
                    <c:v>SELMAN</c:v>
                  </c:pt>
                  <c:pt idx="13">
                    <c:v>SELMAN</c:v>
                  </c:pt>
                  <c:pt idx="14">
                    <c:v>SELMAN</c:v>
                  </c:pt>
                  <c:pt idx="15">
                    <c:v>SELMAN</c:v>
                  </c:pt>
                  <c:pt idx="16">
                    <c:v>SELMAN</c:v>
                  </c:pt>
                  <c:pt idx="17">
                    <c:v>SELMAN</c:v>
                  </c:pt>
                  <c:pt idx="18">
                    <c:v>SELMAN</c:v>
                  </c:pt>
                  <c:pt idx="19">
                    <c:v>SELMAN</c:v>
                  </c:pt>
                  <c:pt idx="20">
                    <c:v>SELMAN</c:v>
                  </c:pt>
                  <c:pt idx="21">
                    <c:v>SELMAN</c:v>
                  </c:pt>
                  <c:pt idx="22">
                    <c:v>SELMAN</c:v>
                  </c:pt>
                  <c:pt idx="23">
                    <c:v>SELMAN</c:v>
                  </c:pt>
                  <c:pt idx="24">
                    <c:v>SELMAN</c:v>
                  </c:pt>
                  <c:pt idx="25">
                    <c:v>SERKAN</c:v>
                  </c:pt>
                  <c:pt idx="26">
                    <c:v>SERKAN</c:v>
                  </c:pt>
                  <c:pt idx="27">
                    <c:v>SERKAN</c:v>
                  </c:pt>
                  <c:pt idx="28">
                    <c:v>SERKAN</c:v>
                  </c:pt>
                  <c:pt idx="29">
                    <c:v>SERKAN</c:v>
                  </c:pt>
                  <c:pt idx="30">
                    <c:v>SERKAN</c:v>
                  </c:pt>
                  <c:pt idx="31">
                    <c:v>SERKAN</c:v>
                  </c:pt>
                  <c:pt idx="32">
                    <c:v>SERKAN</c:v>
                  </c:pt>
                  <c:pt idx="33">
                    <c:v>SERKAN</c:v>
                  </c:pt>
                  <c:pt idx="34">
                    <c:v>SERKAN</c:v>
                  </c:pt>
                  <c:pt idx="35">
                    <c:v>SERKAN</c:v>
                  </c:pt>
                  <c:pt idx="36">
                    <c:v>SERKAN</c:v>
                  </c:pt>
                  <c:pt idx="37">
                    <c:v>SERKAN</c:v>
                  </c:pt>
                  <c:pt idx="38">
                    <c:v>SERKAN</c:v>
                  </c:pt>
                  <c:pt idx="39">
                    <c:v>SERKAN</c:v>
                  </c:pt>
                  <c:pt idx="40">
                    <c:v>SERKAN</c:v>
                  </c:pt>
                  <c:pt idx="41">
                    <c:v>SERKAN</c:v>
                  </c:pt>
                  <c:pt idx="42">
                    <c:v>SERKAN</c:v>
                  </c:pt>
                  <c:pt idx="43">
                    <c:v>SERKAN</c:v>
                  </c:pt>
                  <c:pt idx="44">
                    <c:v>SERKAN</c:v>
                  </c:pt>
                  <c:pt idx="45">
                    <c:v>SERKAN</c:v>
                  </c:pt>
                  <c:pt idx="46">
                    <c:v>SERKAN</c:v>
                  </c:pt>
                  <c:pt idx="47">
                    <c:v>SERKAN</c:v>
                  </c:pt>
                  <c:pt idx="48">
                    <c:v>SERKAN</c:v>
                  </c:pt>
                  <c:pt idx="49">
                    <c:v>SERKAN</c:v>
                  </c:pt>
                  <c:pt idx="50">
                    <c:v>SERKAN</c:v>
                  </c:pt>
                  <c:pt idx="51">
                    <c:v>SERKAN</c:v>
                  </c:pt>
                  <c:pt idx="52">
                    <c:v>SERKAN</c:v>
                  </c:pt>
                  <c:pt idx="53">
                    <c:v>SERKAN</c:v>
                  </c:pt>
                  <c:pt idx="54">
                    <c:v>SERKAN</c:v>
                  </c:pt>
                  <c:pt idx="55">
                    <c:v>SERKAN</c:v>
                  </c:pt>
                  <c:pt idx="56">
                    <c:v>SERKAN</c:v>
                  </c:pt>
                  <c:pt idx="57">
                    <c:v>SERKAN</c:v>
                  </c:pt>
                  <c:pt idx="58">
                    <c:v>SERKAN</c:v>
                  </c:pt>
                  <c:pt idx="59">
                    <c:v>SERKAN</c:v>
                  </c:pt>
                  <c:pt idx="60">
                    <c:v>SERKAN</c:v>
                  </c:pt>
                  <c:pt idx="61">
                    <c:v>SERKAN</c:v>
                  </c:pt>
                  <c:pt idx="62">
                    <c:v>SERKAN</c:v>
                  </c:pt>
                  <c:pt idx="63">
                    <c:v>SERKAN</c:v>
                  </c:pt>
                  <c:pt idx="64">
                    <c:v>SERKAN</c:v>
                  </c:pt>
                  <c:pt idx="65">
                    <c:v>SERKAN</c:v>
                  </c:pt>
                </c:lvl>
                <c:lvl>
                  <c:pt idx="0">
                    <c:v>FEVZİ KILINÇ</c:v>
                  </c:pt>
                  <c:pt idx="1">
                    <c:v>FEVZİ KILINÇ</c:v>
                  </c:pt>
                  <c:pt idx="2">
                    <c:v>FEVZİ KILINÇ</c:v>
                  </c:pt>
                  <c:pt idx="3">
                    <c:v>FEVZİ KILINÇ</c:v>
                  </c:pt>
                  <c:pt idx="4">
                    <c:v>FEVZİ KILINÇ</c:v>
                  </c:pt>
                  <c:pt idx="5">
                    <c:v>FEVZİ KILINÇ</c:v>
                  </c:pt>
                  <c:pt idx="6">
                    <c:v>FEVZİ KILINÇ</c:v>
                  </c:pt>
                  <c:pt idx="7">
                    <c:v>FEVZİ KILINÇ</c:v>
                  </c:pt>
                  <c:pt idx="8">
                    <c:v>FEVZİ KILINÇ</c:v>
                  </c:pt>
                  <c:pt idx="9">
                    <c:v>FEVZİ KILINÇ</c:v>
                  </c:pt>
                  <c:pt idx="10">
                    <c:v>FEVZİ KILINÇ</c:v>
                  </c:pt>
                  <c:pt idx="11">
                    <c:v>FEVZİ KILINÇ</c:v>
                  </c:pt>
                  <c:pt idx="12">
                    <c:v>FEVZİ KILINÇ</c:v>
                  </c:pt>
                  <c:pt idx="13">
                    <c:v>FEVZİ KILINÇ</c:v>
                  </c:pt>
                  <c:pt idx="14">
                    <c:v>ERKAN AKGÖZ</c:v>
                  </c:pt>
                  <c:pt idx="15">
                    <c:v>ERKAN AKGÖZ</c:v>
                  </c:pt>
                  <c:pt idx="16">
                    <c:v>ERKAN AKGÖZ</c:v>
                  </c:pt>
                  <c:pt idx="17">
                    <c:v>ERKAN AKGÖZ</c:v>
                  </c:pt>
                  <c:pt idx="18">
                    <c:v>ERKAN AKGÖZ</c:v>
                  </c:pt>
                  <c:pt idx="19">
                    <c:v>ERKAN AKGÖZ</c:v>
                  </c:pt>
                  <c:pt idx="20">
                    <c:v>ERKAN AKGÖZ</c:v>
                  </c:pt>
                  <c:pt idx="21">
                    <c:v>ERKAN AKGÖZ</c:v>
                  </c:pt>
                  <c:pt idx="22">
                    <c:v>ERKAN AKGÖZ</c:v>
                  </c:pt>
                  <c:pt idx="23">
                    <c:v>ERKAN AKGÖZ</c:v>
                  </c:pt>
                  <c:pt idx="24">
                    <c:v>ERKAN AKGÖZ</c:v>
                  </c:pt>
                  <c:pt idx="25">
                    <c:v>FEVZİ KILINÇ</c:v>
                  </c:pt>
                  <c:pt idx="26">
                    <c:v>FEVZİ KILINÇ</c:v>
                  </c:pt>
                  <c:pt idx="27">
                    <c:v>FEVZİ KILINÇ</c:v>
                  </c:pt>
                  <c:pt idx="28">
                    <c:v>FEVZİ KILINÇ</c:v>
                  </c:pt>
                  <c:pt idx="29">
                    <c:v>FEVZİ KILINÇ</c:v>
                  </c:pt>
                  <c:pt idx="30">
                    <c:v>FEVZİ KILINÇ</c:v>
                  </c:pt>
                  <c:pt idx="31">
                    <c:v>FEVZİ KILINÇ</c:v>
                  </c:pt>
                  <c:pt idx="32">
                    <c:v>FEVZİ KILINÇ</c:v>
                  </c:pt>
                  <c:pt idx="33">
                    <c:v>FEVZİ KILINÇ</c:v>
                  </c:pt>
                  <c:pt idx="34">
                    <c:v>FEVZİ KILINÇ</c:v>
                  </c:pt>
                  <c:pt idx="35">
                    <c:v>FEVZİ KILINÇ</c:v>
                  </c:pt>
                  <c:pt idx="36">
                    <c:v>FEVZİ KILINÇ</c:v>
                  </c:pt>
                  <c:pt idx="37">
                    <c:v>FEVZİ KILINÇ</c:v>
                  </c:pt>
                  <c:pt idx="38">
                    <c:v>ERKAN AKGÖZ</c:v>
                  </c:pt>
                  <c:pt idx="39">
                    <c:v>ERKAN AKGÖZ</c:v>
                  </c:pt>
                  <c:pt idx="40">
                    <c:v>ERKAN AKGÖZ</c:v>
                  </c:pt>
                  <c:pt idx="41">
                    <c:v>ERKAN AKGÖZ</c:v>
                  </c:pt>
                  <c:pt idx="42">
                    <c:v>ERKAN AKGÖZ</c:v>
                  </c:pt>
                  <c:pt idx="43">
                    <c:v>ERKAN AKGÖZ</c:v>
                  </c:pt>
                  <c:pt idx="44">
                    <c:v>ERKAN AKGÖZ</c:v>
                  </c:pt>
                  <c:pt idx="45">
                    <c:v>ERKAN AKGÖZ</c:v>
                  </c:pt>
                  <c:pt idx="46">
                    <c:v>ERKAN AKGÖZ</c:v>
                  </c:pt>
                  <c:pt idx="47">
                    <c:v>ERKAN AKGÖZ</c:v>
                  </c:pt>
                  <c:pt idx="48">
                    <c:v>ERKAN AKGÖZ</c:v>
                  </c:pt>
                  <c:pt idx="49">
                    <c:v>ERKAN AKGÖZ</c:v>
                  </c:pt>
                  <c:pt idx="50">
                    <c:v>ERKAN AKGÖZ</c:v>
                  </c:pt>
                  <c:pt idx="51">
                    <c:v>FEVZİ KILINÇ</c:v>
                  </c:pt>
                  <c:pt idx="52">
                    <c:v>FEVZİ KILINÇ</c:v>
                  </c:pt>
                  <c:pt idx="53">
                    <c:v>FEVZİ KILINÇ</c:v>
                  </c:pt>
                  <c:pt idx="54">
                    <c:v>FEVZİ KILINÇ</c:v>
                  </c:pt>
                  <c:pt idx="55">
                    <c:v>FEVZİ KILINÇ</c:v>
                  </c:pt>
                  <c:pt idx="56">
                    <c:v>FEVZİ KILINÇ</c:v>
                  </c:pt>
                  <c:pt idx="57">
                    <c:v>FEVZİ KILINÇ</c:v>
                  </c:pt>
                  <c:pt idx="58">
                    <c:v>FEVZİ KILINÇ</c:v>
                  </c:pt>
                  <c:pt idx="59">
                    <c:v>FEVZİ KILINÇ</c:v>
                  </c:pt>
                  <c:pt idx="60">
                    <c:v>FEVZİ KILINÇ</c:v>
                  </c:pt>
                  <c:pt idx="61">
                    <c:v>FEVZİ KILINÇ</c:v>
                  </c:pt>
                  <c:pt idx="62">
                    <c:v>FEVZİ KILINÇ</c:v>
                  </c:pt>
                  <c:pt idx="63">
                    <c:v>FEVZİ KILINÇ</c:v>
                  </c:pt>
                  <c:pt idx="64">
                    <c:v>FEVZİ KILINÇ</c:v>
                  </c:pt>
                  <c:pt idx="65">
                    <c:v>FEVZİ KILINÇ</c:v>
                  </c:pt>
                </c:lvl>
                <c:lvl>
                  <c:pt idx="0">
                    <c:v>24</c:v>
                  </c:pt>
                  <c:pt idx="1">
                    <c:v>24</c:v>
                  </c:pt>
                  <c:pt idx="2">
                    <c:v>24</c:v>
                  </c:pt>
                  <c:pt idx="3">
                    <c:v>24</c:v>
                  </c:pt>
                  <c:pt idx="4">
                    <c:v>24</c:v>
                  </c:pt>
                  <c:pt idx="5">
                    <c:v>24</c:v>
                  </c:pt>
                  <c:pt idx="6">
                    <c:v>24</c:v>
                  </c:pt>
                  <c:pt idx="7">
                    <c:v>24</c:v>
                  </c:pt>
                  <c:pt idx="8">
                    <c:v>24</c:v>
                  </c:pt>
                  <c:pt idx="9">
                    <c:v>24</c:v>
                  </c:pt>
                  <c:pt idx="10">
                    <c:v>24</c:v>
                  </c:pt>
                  <c:pt idx="11">
                    <c:v>24</c:v>
                  </c:pt>
                  <c:pt idx="12">
                    <c:v>24</c:v>
                  </c:pt>
                  <c:pt idx="13">
                    <c:v>24</c:v>
                  </c:pt>
                  <c:pt idx="14">
                    <c:v>24</c:v>
                  </c:pt>
                  <c:pt idx="15">
                    <c:v>24</c:v>
                  </c:pt>
                  <c:pt idx="16">
                    <c:v>24</c:v>
                  </c:pt>
                  <c:pt idx="17">
                    <c:v>24</c:v>
                  </c:pt>
                  <c:pt idx="18">
                    <c:v>24</c:v>
                  </c:pt>
                  <c:pt idx="19">
                    <c:v>24</c:v>
                  </c:pt>
                  <c:pt idx="20">
                    <c:v>24</c:v>
                  </c:pt>
                  <c:pt idx="21">
                    <c:v>24</c:v>
                  </c:pt>
                  <c:pt idx="22">
                    <c:v>24</c:v>
                  </c:pt>
                  <c:pt idx="23">
                    <c:v>24</c:v>
                  </c:pt>
                  <c:pt idx="24">
                    <c:v>24</c:v>
                  </c:pt>
                  <c:pt idx="25">
                    <c:v>24</c:v>
                  </c:pt>
                  <c:pt idx="26">
                    <c:v>24</c:v>
                  </c:pt>
                  <c:pt idx="27">
                    <c:v>24</c:v>
                  </c:pt>
                  <c:pt idx="28">
                    <c:v>24</c:v>
                  </c:pt>
                  <c:pt idx="29">
                    <c:v>24</c:v>
                  </c:pt>
                  <c:pt idx="30">
                    <c:v>24</c:v>
                  </c:pt>
                  <c:pt idx="31">
                    <c:v>24</c:v>
                  </c:pt>
                  <c:pt idx="32">
                    <c:v>24</c:v>
                  </c:pt>
                  <c:pt idx="33">
                    <c:v>24</c:v>
                  </c:pt>
                  <c:pt idx="34">
                    <c:v>24</c:v>
                  </c:pt>
                  <c:pt idx="35">
                    <c:v>24</c:v>
                  </c:pt>
                  <c:pt idx="36">
                    <c:v>24</c:v>
                  </c:pt>
                  <c:pt idx="37">
                    <c:v>24</c:v>
                  </c:pt>
                  <c:pt idx="38">
                    <c:v>24</c:v>
                  </c:pt>
                  <c:pt idx="39">
                    <c:v>24</c:v>
                  </c:pt>
                  <c:pt idx="40">
                    <c:v>24</c:v>
                  </c:pt>
                  <c:pt idx="41">
                    <c:v>24</c:v>
                  </c:pt>
                  <c:pt idx="42">
                    <c:v>24</c:v>
                  </c:pt>
                  <c:pt idx="43">
                    <c:v>24</c:v>
                  </c:pt>
                  <c:pt idx="44">
                    <c:v>24</c:v>
                  </c:pt>
                  <c:pt idx="45">
                    <c:v>24</c:v>
                  </c:pt>
                  <c:pt idx="46">
                    <c:v>24</c:v>
                  </c:pt>
                  <c:pt idx="47">
                    <c:v>24</c:v>
                  </c:pt>
                  <c:pt idx="48">
                    <c:v>24</c:v>
                  </c:pt>
                  <c:pt idx="49">
                    <c:v>24</c:v>
                  </c:pt>
                  <c:pt idx="50">
                    <c:v>24</c:v>
                  </c:pt>
                  <c:pt idx="51">
                    <c:v>24</c:v>
                  </c:pt>
                  <c:pt idx="52">
                    <c:v>24</c:v>
                  </c:pt>
                  <c:pt idx="53">
                    <c:v>24</c:v>
                  </c:pt>
                  <c:pt idx="54">
                    <c:v>24</c:v>
                  </c:pt>
                  <c:pt idx="55">
                    <c:v>24</c:v>
                  </c:pt>
                  <c:pt idx="56">
                    <c:v>24</c:v>
                  </c:pt>
                  <c:pt idx="57">
                    <c:v>24</c:v>
                  </c:pt>
                  <c:pt idx="58">
                    <c:v>24</c:v>
                  </c:pt>
                  <c:pt idx="59">
                    <c:v>24</c:v>
                  </c:pt>
                  <c:pt idx="60">
                    <c:v>24</c:v>
                  </c:pt>
                  <c:pt idx="61">
                    <c:v>24</c:v>
                  </c:pt>
                  <c:pt idx="62">
                    <c:v>24</c:v>
                  </c:pt>
                  <c:pt idx="63">
                    <c:v>24</c:v>
                  </c:pt>
                  <c:pt idx="64">
                    <c:v>24</c:v>
                  </c:pt>
                  <c:pt idx="65">
                    <c:v>24</c:v>
                  </c:pt>
                </c:lvl>
                <c:lvl>
                  <c:pt idx="0">
                    <c:v>2.01.2026</c:v>
                  </c:pt>
                  <c:pt idx="1">
                    <c:v>2.01.2026</c:v>
                  </c:pt>
                  <c:pt idx="2">
                    <c:v>2.01.2026</c:v>
                  </c:pt>
                  <c:pt idx="3">
                    <c:v>2.01.2026</c:v>
                  </c:pt>
                  <c:pt idx="4">
                    <c:v>2.01.2026</c:v>
                  </c:pt>
                  <c:pt idx="5">
                    <c:v>2.01.2026</c:v>
                  </c:pt>
                  <c:pt idx="6">
                    <c:v>2.01.2026</c:v>
                  </c:pt>
                  <c:pt idx="7">
                    <c:v>2.01.2026</c:v>
                  </c:pt>
                  <c:pt idx="8">
                    <c:v>2.01.2026</c:v>
                  </c:pt>
                  <c:pt idx="9">
                    <c:v>2.01.2026</c:v>
                  </c:pt>
                  <c:pt idx="10">
                    <c:v>2.01.2026</c:v>
                  </c:pt>
                  <c:pt idx="11">
                    <c:v>2.01.2026</c:v>
                  </c:pt>
                  <c:pt idx="12">
                    <c:v>2.01.2026</c:v>
                  </c:pt>
                  <c:pt idx="13">
                    <c:v>2.01.2026</c:v>
                  </c:pt>
                  <c:pt idx="14">
                    <c:v>2.01.2026</c:v>
                  </c:pt>
                  <c:pt idx="15">
                    <c:v>2.01.2026</c:v>
                  </c:pt>
                  <c:pt idx="16">
                    <c:v>2.01.2026</c:v>
                  </c:pt>
                  <c:pt idx="17">
                    <c:v>2.01.2026</c:v>
                  </c:pt>
                  <c:pt idx="18">
                    <c:v>2.01.2026</c:v>
                  </c:pt>
                  <c:pt idx="19">
                    <c:v>2.01.2026</c:v>
                  </c:pt>
                  <c:pt idx="20">
                    <c:v>2.01.2026</c:v>
                  </c:pt>
                  <c:pt idx="21">
                    <c:v>2.01.2026</c:v>
                  </c:pt>
                  <c:pt idx="22">
                    <c:v>2.01.2026</c:v>
                  </c:pt>
                  <c:pt idx="23">
                    <c:v>2.01.2026</c:v>
                  </c:pt>
                  <c:pt idx="24">
                    <c:v>2.01.2026</c:v>
                  </c:pt>
                  <c:pt idx="25">
                    <c:v>6.01.2026</c:v>
                  </c:pt>
                  <c:pt idx="26">
                    <c:v>6.01.2026</c:v>
                  </c:pt>
                  <c:pt idx="27">
                    <c:v>6.01.2026</c:v>
                  </c:pt>
                  <c:pt idx="28">
                    <c:v>6.01.2026</c:v>
                  </c:pt>
                  <c:pt idx="29">
                    <c:v>6.01.2026</c:v>
                  </c:pt>
                  <c:pt idx="30">
                    <c:v>6.01.2026</c:v>
                  </c:pt>
                  <c:pt idx="31">
                    <c:v>6.01.2026</c:v>
                  </c:pt>
                  <c:pt idx="32">
                    <c:v>6.01.2026</c:v>
                  </c:pt>
                  <c:pt idx="33">
                    <c:v>6.01.2026</c:v>
                  </c:pt>
                  <c:pt idx="34">
                    <c:v>6.01.2026</c:v>
                  </c:pt>
                  <c:pt idx="35">
                    <c:v>6.01.2026</c:v>
                  </c:pt>
                  <c:pt idx="36">
                    <c:v>6.01.2026</c:v>
                  </c:pt>
                  <c:pt idx="37">
                    <c:v>6.01.2026</c:v>
                  </c:pt>
                  <c:pt idx="38">
                    <c:v>6.01.2026</c:v>
                  </c:pt>
                  <c:pt idx="39">
                    <c:v>6.01.2026</c:v>
                  </c:pt>
                  <c:pt idx="40">
                    <c:v>6.01.2026</c:v>
                  </c:pt>
                  <c:pt idx="41">
                    <c:v>6.01.2026</c:v>
                  </c:pt>
                  <c:pt idx="42">
                    <c:v>6.01.2026</c:v>
                  </c:pt>
                  <c:pt idx="43">
                    <c:v>6.01.2026</c:v>
                  </c:pt>
                  <c:pt idx="44">
                    <c:v>6.01.2026</c:v>
                  </c:pt>
                  <c:pt idx="45">
                    <c:v>6.01.2026</c:v>
                  </c:pt>
                  <c:pt idx="46">
                    <c:v>6.01.2026</c:v>
                  </c:pt>
                  <c:pt idx="47">
                    <c:v>6.01.2026</c:v>
                  </c:pt>
                  <c:pt idx="48">
                    <c:v>6.01.2026</c:v>
                  </c:pt>
                  <c:pt idx="49">
                    <c:v>6.01.2026</c:v>
                  </c:pt>
                  <c:pt idx="50">
                    <c:v>6.01.2026</c:v>
                  </c:pt>
                  <c:pt idx="51">
                    <c:v>6.01.2026</c:v>
                  </c:pt>
                  <c:pt idx="52">
                    <c:v>6.01.2026</c:v>
                  </c:pt>
                  <c:pt idx="53">
                    <c:v>6.01.2026</c:v>
                  </c:pt>
                  <c:pt idx="54">
                    <c:v>6.01.2026</c:v>
                  </c:pt>
                  <c:pt idx="55">
                    <c:v>6.01.2026</c:v>
                  </c:pt>
                  <c:pt idx="56">
                    <c:v>6.01.2026</c:v>
                  </c:pt>
                  <c:pt idx="57">
                    <c:v>6.01.2026</c:v>
                  </c:pt>
                  <c:pt idx="58">
                    <c:v>6.01.2026</c:v>
                  </c:pt>
                  <c:pt idx="59">
                    <c:v>6.01.2026</c:v>
                  </c:pt>
                  <c:pt idx="60">
                    <c:v>6.01.2026</c:v>
                  </c:pt>
                  <c:pt idx="61">
                    <c:v>6.01.2026</c:v>
                  </c:pt>
                  <c:pt idx="62">
                    <c:v>6.01.2026</c:v>
                  </c:pt>
                  <c:pt idx="63">
                    <c:v>6.01.2026</c:v>
                  </c:pt>
                  <c:pt idx="64">
                    <c:v>6.01.2026</c:v>
                  </c:pt>
                  <c:pt idx="65">
                    <c:v>6.01.2026</c:v>
                  </c:pt>
                </c:lvl>
              </c:multiLvlStrCache>
            </c:multiLvlStrRef>
          </c:cat>
          <c:val>
            <c:numRef>
              <c:f>'PROSES ENJEKSİYON'!$Z$2:$Z$67</c:f>
              <c:numCache>
                <c:formatCode>General</c:formatCode>
                <c:ptCount val="66"/>
              </c:numCache>
            </c:numRef>
          </c:val>
          <c:extLst>
            <c:ext xmlns:c16="http://schemas.microsoft.com/office/drawing/2014/chart" uri="{C3380CC4-5D6E-409C-BE32-E72D297353CC}">
              <c16:uniqueId val="{00000015-096F-4E6A-9B83-2CABBE0C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986240"/>
        <c:axId val="527987488"/>
      </c:barChart>
      <c:catAx>
        <c:axId val="52798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7987488"/>
        <c:crosses val="autoZero"/>
        <c:auto val="1"/>
        <c:lblAlgn val="ctr"/>
        <c:lblOffset val="100"/>
        <c:noMultiLvlLbl val="0"/>
      </c:catAx>
      <c:valAx>
        <c:axId val="52798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279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9E9AB89-AAC1-4EDE-A06A-68D870C613C2}">
  <sheetPr/>
  <sheetViews>
    <sheetView zoomScale="8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892" cy="6059277"/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E0F0FABC-E943-434E-B0CA-7EC5FFCAD1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SES%202025_F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K_ÜRÜN_ÇEVRİM _DETAY"/>
      <sheetName val="PROSES ENJEKSİYON"/>
      <sheetName val="FK_ÜRÜN_ÇEVRİM"/>
      <sheetName val="salon 2"/>
      <sheetName val="salon 1"/>
      <sheetName val="FK_ÇEVRİM "/>
      <sheetName val="ESKİ"/>
      <sheetName val="Form"/>
      <sheetName val="Sayfa1"/>
      <sheetName val="Grafik1"/>
    </sheetNames>
    <sheetDataSet>
      <sheetData sheetId="0"/>
      <sheetData sheetId="1">
        <row r="1">
          <cell r="A1" t="str">
            <v>Tarih</v>
          </cell>
          <cell r="F1" t="str">
            <v>Makine Adı</v>
          </cell>
          <cell r="G1" t="str">
            <v>Ürün Adı</v>
          </cell>
          <cell r="J1" t="str">
            <v>Toplam Göz Sayısı (ad)</v>
          </cell>
          <cell r="K1" t="str">
            <v>Çalışan Göz Sayısı (ad)</v>
          </cell>
          <cell r="L1" t="str">
            <v>Çevrim Süresi (sn)</v>
          </cell>
        </row>
        <row r="2">
          <cell r="A2">
            <v>45841</v>
          </cell>
          <cell r="F2">
            <v>101</v>
          </cell>
          <cell r="G2" t="str">
            <v>500 CC SP006 30 ŞEFFAF ŞEFFAF PLS. PLT K.TAVA STANDART</v>
          </cell>
          <cell r="J2">
            <v>4</v>
          </cell>
          <cell r="K2">
            <v>4</v>
          </cell>
          <cell r="L2">
            <v>12.27</v>
          </cell>
        </row>
        <row r="3">
          <cell r="A3">
            <v>45841</v>
          </cell>
          <cell r="F3">
            <v>161</v>
          </cell>
          <cell r="G3" t="str">
            <v>500 CC X369 45 ŞEFFAF ŞEFFAF YÜKSEK PALET STANDART</v>
          </cell>
          <cell r="J3">
            <v>2</v>
          </cell>
          <cell r="K3">
            <v>2</v>
          </cell>
          <cell r="L3">
            <v>21</v>
          </cell>
        </row>
        <row r="4">
          <cell r="A4">
            <v>45841</v>
          </cell>
          <cell r="F4">
            <v>162</v>
          </cell>
          <cell r="G4" t="str">
            <v>750 CC X214 35 ŞEFFAF ŞEFFAF PLS. PLT STANDART</v>
          </cell>
          <cell r="J4">
            <v>2</v>
          </cell>
          <cell r="K4">
            <v>2</v>
          </cell>
          <cell r="L4">
            <v>21.3</v>
          </cell>
        </row>
        <row r="5">
          <cell r="A5">
            <v>45841</v>
          </cell>
          <cell r="F5">
            <v>163</v>
          </cell>
          <cell r="G5" t="str">
            <v>1000 CC X265 45 ŞEFFAF ŞEFFAF POSET STANDART</v>
          </cell>
          <cell r="J5">
            <v>2</v>
          </cell>
          <cell r="K5">
            <v>2</v>
          </cell>
          <cell r="L5">
            <v>23.09</v>
          </cell>
        </row>
        <row r="6">
          <cell r="A6">
            <v>45841</v>
          </cell>
          <cell r="F6">
            <v>164</v>
          </cell>
          <cell r="G6" t="str">
            <v>1000 CC X404 52 ŞEFFAF ŞEFFAF PALET STANDART</v>
          </cell>
          <cell r="J6">
            <v>2</v>
          </cell>
          <cell r="K6">
            <v>2</v>
          </cell>
          <cell r="L6">
            <v>23.39</v>
          </cell>
        </row>
        <row r="7">
          <cell r="A7">
            <v>45841</v>
          </cell>
          <cell r="F7">
            <v>404</v>
          </cell>
          <cell r="G7" t="str">
            <v>310 CC S032 24 ŞEFFAF ŞEFFAF YÜKSEK PLT K.TAVA STANDART</v>
          </cell>
          <cell r="J7">
            <v>2</v>
          </cell>
          <cell r="K7">
            <v>2</v>
          </cell>
          <cell r="L7">
            <v>7</v>
          </cell>
        </row>
        <row r="8">
          <cell r="A8">
            <v>45841</v>
          </cell>
          <cell r="F8">
            <v>405</v>
          </cell>
          <cell r="G8" t="str">
            <v>1200 CC S023 91 OPAK SİYAH PALET STANDART</v>
          </cell>
          <cell r="J8">
            <v>2</v>
          </cell>
          <cell r="K8">
            <v>2</v>
          </cell>
          <cell r="L8">
            <v>8</v>
          </cell>
        </row>
        <row r="9">
          <cell r="A9">
            <v>45841</v>
          </cell>
          <cell r="F9">
            <v>172</v>
          </cell>
          <cell r="G9" t="str">
            <v>1000 CC D075 45 ŞEFFAF ŞEFFAF PALET STANDART</v>
          </cell>
          <cell r="J9">
            <v>4</v>
          </cell>
          <cell r="K9">
            <v>4</v>
          </cell>
          <cell r="L9">
            <v>16.77</v>
          </cell>
        </row>
        <row r="10">
          <cell r="A10">
            <v>45841</v>
          </cell>
          <cell r="F10">
            <v>174</v>
          </cell>
          <cell r="G10" t="str">
            <v>750 CC D106 35 ŞEFFAF ŞEFFAF PLS. PLT K.TAVA STANDART</v>
          </cell>
          <cell r="J10">
            <v>5</v>
          </cell>
          <cell r="K10">
            <v>5</v>
          </cell>
          <cell r="L10">
            <v>13.73</v>
          </cell>
        </row>
        <row r="11">
          <cell r="A11">
            <v>45841</v>
          </cell>
          <cell r="F11">
            <v>176</v>
          </cell>
          <cell r="G11" t="str">
            <v>1000 CC D107 52 OPAK BEYAZ PALET STANDART</v>
          </cell>
          <cell r="J11">
            <v>5</v>
          </cell>
          <cell r="K11">
            <v>5</v>
          </cell>
          <cell r="L11">
            <v>18.02</v>
          </cell>
        </row>
        <row r="12">
          <cell r="A12">
            <v>45841</v>
          </cell>
          <cell r="F12">
            <v>177</v>
          </cell>
          <cell r="G12" t="str">
            <v>350 CC D026 45 OPAK SİYAH PALET STANDART</v>
          </cell>
          <cell r="J12">
            <v>3</v>
          </cell>
          <cell r="K12">
            <v>3</v>
          </cell>
          <cell r="L12">
            <v>13.35</v>
          </cell>
        </row>
        <row r="13">
          <cell r="A13">
            <v>45841</v>
          </cell>
          <cell r="F13">
            <v>133</v>
          </cell>
          <cell r="G13" t="str">
            <v>100 CC Y243 19 ŞEFFAF ŞEFFAF PLT.IC.KOLI STANDART</v>
          </cell>
          <cell r="J13">
            <v>4</v>
          </cell>
          <cell r="K13">
            <v>4</v>
          </cell>
          <cell r="L13">
            <v>16.190000000000001</v>
          </cell>
        </row>
        <row r="14">
          <cell r="A14">
            <v>45841</v>
          </cell>
          <cell r="F14">
            <v>135</v>
          </cell>
          <cell r="G14" t="str">
            <v>150 CC Y341 25 ŞEFFAF KAHVE KOLI STANDART</v>
          </cell>
          <cell r="J14">
            <v>2</v>
          </cell>
          <cell r="K14">
            <v>2</v>
          </cell>
          <cell r="L14">
            <v>21.58</v>
          </cell>
        </row>
        <row r="15">
          <cell r="A15">
            <v>45841</v>
          </cell>
          <cell r="F15">
            <v>201</v>
          </cell>
          <cell r="G15" t="str">
            <v>E062 24MM PİM 1 ŞEFFAF ŞEFFAF PLT.IC.KOLI STANDART</v>
          </cell>
          <cell r="J15">
            <v>16</v>
          </cell>
          <cell r="K15">
            <v>16</v>
          </cell>
          <cell r="L15">
            <v>16.5</v>
          </cell>
        </row>
        <row r="16">
          <cell r="A16">
            <v>45841</v>
          </cell>
          <cell r="F16">
            <v>202</v>
          </cell>
          <cell r="G16" t="str">
            <v>E013 45 MM FLİPTOP 10 OPAK SİYAH PLT.IC.KOLI STANDART</v>
          </cell>
          <cell r="J16">
            <v>8</v>
          </cell>
          <cell r="K16">
            <v>5</v>
          </cell>
          <cell r="L16">
            <v>35.1</v>
          </cell>
        </row>
        <row r="17">
          <cell r="A17">
            <v>45841</v>
          </cell>
          <cell r="F17">
            <v>203</v>
          </cell>
          <cell r="G17" t="str">
            <v>E129 6 ŞEFFAF SARI PLT.IC.KOLI STANDART</v>
          </cell>
          <cell r="J17">
            <v>8</v>
          </cell>
          <cell r="K17">
            <v>8</v>
          </cell>
          <cell r="L17">
            <v>15.9</v>
          </cell>
        </row>
        <row r="18">
          <cell r="A18">
            <v>45841</v>
          </cell>
          <cell r="F18">
            <v>206</v>
          </cell>
          <cell r="G18" t="str">
            <v>E123 28 MM FLİPTOP 13 ŞEFFAF YEŞİL PLT.IC.KOLI STANDART</v>
          </cell>
          <cell r="J18">
            <v>12</v>
          </cell>
          <cell r="K18">
            <v>11</v>
          </cell>
          <cell r="L18">
            <v>22.9</v>
          </cell>
        </row>
        <row r="19">
          <cell r="A19">
            <v>45841</v>
          </cell>
          <cell r="F19">
            <v>207</v>
          </cell>
          <cell r="G19" t="str">
            <v>E121 28 MM KAPAK 10 OPAK KIRMIZI KOLI STANDART</v>
          </cell>
          <cell r="J19">
            <v>12</v>
          </cell>
          <cell r="K19">
            <v>9</v>
          </cell>
          <cell r="L19">
            <v>33.29</v>
          </cell>
        </row>
        <row r="20">
          <cell r="A20">
            <v>45841</v>
          </cell>
          <cell r="F20">
            <v>208</v>
          </cell>
          <cell r="G20" t="str">
            <v>E034 100 MM KULPLU KİLİTLİ 30 OPAK SARI PLT.IC.KOLI STANDART</v>
          </cell>
          <cell r="J20">
            <v>2</v>
          </cell>
          <cell r="K20">
            <v>2</v>
          </cell>
          <cell r="L20">
            <v>35.81</v>
          </cell>
        </row>
        <row r="21">
          <cell r="A21">
            <v>45841</v>
          </cell>
          <cell r="F21">
            <v>209</v>
          </cell>
          <cell r="G21" t="str">
            <v>E124 28 MM FLİPTOP 13 SEDEF TURUNCU PLT.IC.KOLI STANDART</v>
          </cell>
          <cell r="J21">
            <v>12</v>
          </cell>
          <cell r="K21">
            <v>11</v>
          </cell>
          <cell r="L21">
            <v>27.9</v>
          </cell>
        </row>
        <row r="22">
          <cell r="A22">
            <v>45841</v>
          </cell>
          <cell r="F22">
            <v>210</v>
          </cell>
          <cell r="G22" t="str">
            <v>E031A 110 MM ETİKETLİ FOLYOLU 17 OPAK GOLD PLT.IC.KOLI STANDART</v>
          </cell>
          <cell r="J22">
            <v>4</v>
          </cell>
          <cell r="K22">
            <v>4</v>
          </cell>
          <cell r="L22">
            <v>21.1</v>
          </cell>
        </row>
        <row r="23">
          <cell r="A23">
            <v>45841</v>
          </cell>
          <cell r="F23">
            <v>401</v>
          </cell>
          <cell r="G23" t="str">
            <v>1200 CC S009 91 OPAK SİYAH PALET STANDART</v>
          </cell>
          <cell r="J23">
            <v>1</v>
          </cell>
          <cell r="K23">
            <v>1</v>
          </cell>
          <cell r="L23">
            <v>10.199999999999999</v>
          </cell>
        </row>
        <row r="24">
          <cell r="A24">
            <v>45841</v>
          </cell>
          <cell r="F24">
            <v>501</v>
          </cell>
          <cell r="G24" t="str">
            <v>350 CC P119 28 OPAK SEDEFLİ MOR PALET STANDART</v>
          </cell>
          <cell r="J24">
            <v>6</v>
          </cell>
          <cell r="K24">
            <v>6</v>
          </cell>
          <cell r="L24">
            <v>16.02</v>
          </cell>
        </row>
        <row r="25">
          <cell r="A25">
            <v>45841</v>
          </cell>
          <cell r="F25">
            <v>503</v>
          </cell>
          <cell r="G25" t="str">
            <v>3000 CC P111 120 ŞEFFAF ŞEFFAF POSET STANDART</v>
          </cell>
          <cell r="J25">
            <v>2</v>
          </cell>
          <cell r="K25">
            <v>2</v>
          </cell>
          <cell r="L25">
            <v>26</v>
          </cell>
        </row>
        <row r="26">
          <cell r="A26">
            <v>45842</v>
          </cell>
          <cell r="F26">
            <v>101</v>
          </cell>
          <cell r="G26" t="str">
            <v>500 CC SP006 30 ŞEFFAF ŞEFFAF PLS. PLT K.TAVA STANDART</v>
          </cell>
          <cell r="J26">
            <v>4</v>
          </cell>
          <cell r="K26">
            <v>4</v>
          </cell>
          <cell r="L26">
            <v>12.28</v>
          </cell>
        </row>
        <row r="27">
          <cell r="A27">
            <v>45842</v>
          </cell>
          <cell r="F27">
            <v>102</v>
          </cell>
          <cell r="G27" t="str">
            <v>400 CC SP040 25 ŞEFFAF ŞEFFAF PLS. PLT K.TAVA STANDART</v>
          </cell>
          <cell r="J27">
            <v>6</v>
          </cell>
          <cell r="K27">
            <v>6</v>
          </cell>
          <cell r="L27">
            <v>12.6</v>
          </cell>
        </row>
        <row r="28">
          <cell r="A28">
            <v>45842</v>
          </cell>
          <cell r="F28">
            <v>103</v>
          </cell>
          <cell r="G28" t="str">
            <v>700 CC SP009 40 ŞEFFAF SARI PLS. PLT STANDART</v>
          </cell>
          <cell r="J28">
            <v>5</v>
          </cell>
          <cell r="K28">
            <v>5</v>
          </cell>
          <cell r="L28">
            <v>14.6</v>
          </cell>
        </row>
        <row r="29">
          <cell r="A29">
            <v>45842</v>
          </cell>
          <cell r="F29">
            <v>162</v>
          </cell>
          <cell r="G29" t="str">
            <v>500 CC X065 40 ŞEFFAF ŞEFFAF YÜKSEK PALET STANDART</v>
          </cell>
          <cell r="J29">
            <v>2</v>
          </cell>
          <cell r="K29">
            <v>2</v>
          </cell>
          <cell r="L29">
            <v>21.3</v>
          </cell>
        </row>
        <row r="30">
          <cell r="A30">
            <v>45842</v>
          </cell>
          <cell r="F30">
            <v>163</v>
          </cell>
          <cell r="G30" t="str">
            <v>1000 CC X265 45 ŞEFFAF ŞEFFAF POSET STANDART</v>
          </cell>
          <cell r="J30">
            <v>2</v>
          </cell>
          <cell r="K30">
            <v>2</v>
          </cell>
          <cell r="L30">
            <v>23.09</v>
          </cell>
        </row>
        <row r="31">
          <cell r="A31">
            <v>45842</v>
          </cell>
          <cell r="F31">
            <v>164</v>
          </cell>
          <cell r="G31" t="str">
            <v>1000 CC X404 52 ŞEFFAF ŞEFFAF PALET STANDART</v>
          </cell>
          <cell r="J31">
            <v>2</v>
          </cell>
          <cell r="K31">
            <v>2</v>
          </cell>
          <cell r="L31">
            <v>23.39</v>
          </cell>
        </row>
        <row r="32">
          <cell r="A32">
            <v>45842</v>
          </cell>
          <cell r="F32">
            <v>182</v>
          </cell>
          <cell r="G32" t="str">
            <v>750 CC Z105 28 OPAK MAVİ PLS. PLT STANDART</v>
          </cell>
          <cell r="J32">
            <v>4</v>
          </cell>
          <cell r="K32">
            <v>4</v>
          </cell>
          <cell r="L32">
            <v>14.2</v>
          </cell>
        </row>
        <row r="33">
          <cell r="A33">
            <v>45842</v>
          </cell>
          <cell r="F33">
            <v>402</v>
          </cell>
          <cell r="G33" t="str">
            <v>1500 CC S043 74 OPAK BEYAZ PALET STANDART</v>
          </cell>
          <cell r="J33">
            <v>2</v>
          </cell>
          <cell r="K33">
            <v>2</v>
          </cell>
          <cell r="L33">
            <v>10.199999999999999</v>
          </cell>
        </row>
        <row r="34">
          <cell r="A34">
            <v>45842</v>
          </cell>
          <cell r="F34">
            <v>405</v>
          </cell>
          <cell r="G34" t="str">
            <v>1200 CC S023 91 OPAK SİYAH PALET STANDART</v>
          </cell>
          <cell r="J34">
            <v>2</v>
          </cell>
          <cell r="K34">
            <v>2</v>
          </cell>
          <cell r="L34">
            <v>8</v>
          </cell>
        </row>
        <row r="35">
          <cell r="A35">
            <v>45842</v>
          </cell>
          <cell r="F35">
            <v>172</v>
          </cell>
          <cell r="G35" t="str">
            <v>1000 CC D075 45 ŞEFFAF ŞEFFAF PALET STANDART</v>
          </cell>
          <cell r="J35">
            <v>4</v>
          </cell>
          <cell r="K35">
            <v>4</v>
          </cell>
          <cell r="L35">
            <v>17.53</v>
          </cell>
        </row>
        <row r="36">
          <cell r="A36">
            <v>45842</v>
          </cell>
          <cell r="F36">
            <v>174</v>
          </cell>
          <cell r="G36" t="str">
            <v>750 CC D106 35 ŞEFFAF ŞEFFAF PLS. PLT K.TAVA STANDART</v>
          </cell>
          <cell r="J36">
            <v>5</v>
          </cell>
          <cell r="K36">
            <v>5</v>
          </cell>
          <cell r="L36">
            <v>13.71</v>
          </cell>
        </row>
        <row r="37">
          <cell r="A37">
            <v>45842</v>
          </cell>
          <cell r="F37">
            <v>176</v>
          </cell>
          <cell r="G37" t="str">
            <v>1000 CC D107 52 OPAK BEYAZ PALET STANDART</v>
          </cell>
          <cell r="J37">
            <v>5</v>
          </cell>
          <cell r="K37">
            <v>5</v>
          </cell>
          <cell r="L37">
            <v>16.78</v>
          </cell>
        </row>
        <row r="38">
          <cell r="A38">
            <v>45842</v>
          </cell>
          <cell r="F38">
            <v>177</v>
          </cell>
          <cell r="G38" t="str">
            <v>350 CC D026 45 OPAK SİYAH PALET STANDART</v>
          </cell>
          <cell r="J38">
            <v>3</v>
          </cell>
          <cell r="K38">
            <v>3</v>
          </cell>
          <cell r="L38">
            <v>13.34</v>
          </cell>
        </row>
        <row r="39">
          <cell r="A39">
            <v>45842</v>
          </cell>
          <cell r="F39">
            <v>131</v>
          </cell>
          <cell r="G39" t="str">
            <v>200 CC Y323 25 OPAK TURUNCU PALET STANDART</v>
          </cell>
          <cell r="J39">
            <v>3</v>
          </cell>
          <cell r="K39">
            <v>3</v>
          </cell>
          <cell r="L39">
            <v>17.62</v>
          </cell>
        </row>
        <row r="40">
          <cell r="A40">
            <v>45842</v>
          </cell>
          <cell r="F40">
            <v>135</v>
          </cell>
          <cell r="G40" t="str">
            <v>150 CC Y341 25 ŞEFFAF KAHVE KOLI STANDART</v>
          </cell>
          <cell r="J40">
            <v>2</v>
          </cell>
          <cell r="K40">
            <v>2</v>
          </cell>
          <cell r="L40">
            <v>21.58</v>
          </cell>
        </row>
        <row r="41">
          <cell r="A41">
            <v>45842</v>
          </cell>
          <cell r="F41">
            <v>202</v>
          </cell>
          <cell r="G41" t="str">
            <v>E013 45 MM FLİPTOP 10 OPAK SİYAH PLT.IC.KOLI STANDART</v>
          </cell>
          <cell r="J41">
            <v>8</v>
          </cell>
          <cell r="K41">
            <v>5</v>
          </cell>
          <cell r="L41">
            <v>35.200000000000003</v>
          </cell>
        </row>
        <row r="42">
          <cell r="A42">
            <v>45842</v>
          </cell>
          <cell r="F42">
            <v>203</v>
          </cell>
          <cell r="G42" t="str">
            <v>E129 6 ŞEFFAF SARI PLT.IC.KOLI STANDART</v>
          </cell>
          <cell r="J42">
            <v>8</v>
          </cell>
          <cell r="K42">
            <v>8</v>
          </cell>
          <cell r="L42">
            <v>15.9</v>
          </cell>
        </row>
        <row r="43">
          <cell r="A43">
            <v>45842</v>
          </cell>
          <cell r="F43">
            <v>206</v>
          </cell>
          <cell r="G43" t="str">
            <v>E123 28 MM FLİPTOP 13 ŞEFFAF MAVİ PLT.IC.KOLI STANDART</v>
          </cell>
          <cell r="J43">
            <v>12</v>
          </cell>
          <cell r="K43">
            <v>11</v>
          </cell>
          <cell r="L43">
            <v>24.8</v>
          </cell>
        </row>
        <row r="44">
          <cell r="A44">
            <v>45842</v>
          </cell>
          <cell r="F44">
            <v>207</v>
          </cell>
          <cell r="G44" t="str">
            <v>E121 28 MM KAPAK 10 OPAK KIRMIZI KOLI STANDART</v>
          </cell>
          <cell r="J44">
            <v>12</v>
          </cell>
          <cell r="K44">
            <v>9</v>
          </cell>
          <cell r="L44">
            <v>36.75</v>
          </cell>
        </row>
        <row r="45">
          <cell r="A45">
            <v>45842</v>
          </cell>
          <cell r="F45">
            <v>208</v>
          </cell>
          <cell r="G45" t="str">
            <v>E034 100 MM KULPLU KİLİTLİ 30 OPAK SARI PLT.IC.KOLI STANDART</v>
          </cell>
          <cell r="J45">
            <v>2</v>
          </cell>
          <cell r="K45">
            <v>2</v>
          </cell>
          <cell r="L45">
            <v>35.82</v>
          </cell>
        </row>
        <row r="46">
          <cell r="A46">
            <v>45842</v>
          </cell>
          <cell r="F46">
            <v>209</v>
          </cell>
          <cell r="G46" t="str">
            <v>E124 28 MM FLİPTOP 13 SEDEF TURUNCU PLT.IC.KOLI STANDART</v>
          </cell>
          <cell r="J46">
            <v>12</v>
          </cell>
          <cell r="K46">
            <v>10</v>
          </cell>
          <cell r="L46">
            <v>29</v>
          </cell>
        </row>
        <row r="47">
          <cell r="A47">
            <v>45842</v>
          </cell>
          <cell r="F47">
            <v>210</v>
          </cell>
          <cell r="G47" t="str">
            <v>E031A 110 MM ETİKETLİ FOLYOLU 17 OPAK GOLD PLT.IC.KOLI STANDART</v>
          </cell>
          <cell r="J47">
            <v>4</v>
          </cell>
          <cell r="K47">
            <v>4</v>
          </cell>
          <cell r="L47">
            <v>21.1</v>
          </cell>
        </row>
        <row r="48">
          <cell r="A48">
            <v>45842</v>
          </cell>
          <cell r="F48">
            <v>301</v>
          </cell>
          <cell r="G48" t="str">
            <v>PR001 62 MM 8 GÖZ PREFORM 24 ŞEFFAF ŞEFFAF KOLI STANDART</v>
          </cell>
          <cell r="J48">
            <v>8</v>
          </cell>
          <cell r="K48">
            <v>5</v>
          </cell>
          <cell r="L48">
            <v>29</v>
          </cell>
        </row>
        <row r="49">
          <cell r="A49">
            <v>45842</v>
          </cell>
          <cell r="F49">
            <v>302</v>
          </cell>
          <cell r="G49" t="str">
            <v>PR017 38 MM 12 GÖZ YİVLİ PREFORM  73 OPAK BEYAZ KOLI STANDART</v>
          </cell>
          <cell r="J49">
            <v>12</v>
          </cell>
          <cell r="K49">
            <v>10</v>
          </cell>
          <cell r="L49">
            <v>60.12</v>
          </cell>
        </row>
        <row r="50">
          <cell r="A50">
            <v>45842</v>
          </cell>
          <cell r="F50">
            <v>303</v>
          </cell>
          <cell r="G50" t="str">
            <v>PR014 110 MM 12 GÖZ TWIST OFF PREFORM 91 OPAK SİYAH KOLI STANDART</v>
          </cell>
          <cell r="J50">
            <v>12</v>
          </cell>
          <cell r="K50">
            <v>7</v>
          </cell>
          <cell r="L50">
            <v>39</v>
          </cell>
        </row>
        <row r="51">
          <cell r="A51">
            <v>45842</v>
          </cell>
          <cell r="F51">
            <v>505</v>
          </cell>
          <cell r="G51" t="str">
            <v>30 CC I003 6 OPAK BEYAZ PLT.IC.KOLI STANDART</v>
          </cell>
          <cell r="J51">
            <v>14</v>
          </cell>
          <cell r="K51">
            <v>14</v>
          </cell>
          <cell r="L51">
            <v>88.8</v>
          </cell>
        </row>
        <row r="52">
          <cell r="A52">
            <v>45842</v>
          </cell>
          <cell r="F52">
            <v>501</v>
          </cell>
          <cell r="G52" t="str">
            <v>350 CC P119 28 OPAK SEDEFLİ MOR PALET STANDART</v>
          </cell>
          <cell r="J52">
            <v>6</v>
          </cell>
          <cell r="K52">
            <v>6</v>
          </cell>
          <cell r="L52">
            <v>16.02</v>
          </cell>
        </row>
        <row r="53">
          <cell r="A53">
            <v>45845</v>
          </cell>
          <cell r="F53">
            <v>101</v>
          </cell>
          <cell r="G53" t="str">
            <v>400 CC SP053 29 ŞEFFAF SARI PLS. PLT STANDART</v>
          </cell>
          <cell r="J53">
            <v>4</v>
          </cell>
          <cell r="K53">
            <v>4</v>
          </cell>
          <cell r="L53">
            <v>12.12</v>
          </cell>
        </row>
        <row r="54">
          <cell r="A54">
            <v>45845</v>
          </cell>
          <cell r="F54">
            <v>102</v>
          </cell>
          <cell r="G54" t="str">
            <v>400 CC SP040 25 ŞEFFAF ŞEFFAF PLS. PLT K.TAVA STANDART</v>
          </cell>
          <cell r="J54">
            <v>6</v>
          </cell>
          <cell r="K54">
            <v>6</v>
          </cell>
          <cell r="L54">
            <v>12.73</v>
          </cell>
        </row>
        <row r="55">
          <cell r="A55">
            <v>45845</v>
          </cell>
          <cell r="F55">
            <v>103</v>
          </cell>
          <cell r="G55" t="str">
            <v>700 CC SP009 40 ŞEFFAF SARI PLS. PLT STANDART</v>
          </cell>
          <cell r="J55">
            <v>5</v>
          </cell>
          <cell r="K55">
            <v>5</v>
          </cell>
          <cell r="L55">
            <v>14.85</v>
          </cell>
        </row>
        <row r="56">
          <cell r="A56">
            <v>45845</v>
          </cell>
          <cell r="F56">
            <v>104</v>
          </cell>
          <cell r="G56" t="str">
            <v>150 CC SP020 20 ŞEFFAF ŞEFFAF PLS. PLT K.TAVA STANDART</v>
          </cell>
          <cell r="J56">
            <v>9</v>
          </cell>
          <cell r="K56">
            <v>9</v>
          </cell>
          <cell r="L56">
            <v>12.19</v>
          </cell>
        </row>
        <row r="57">
          <cell r="A57">
            <v>45845</v>
          </cell>
          <cell r="F57">
            <v>161</v>
          </cell>
          <cell r="G57" t="str">
            <v>1000 CC X075 45 ŞEFFAF ŞEFFAF YÜKSEK PALET STANDART</v>
          </cell>
          <cell r="J57">
            <v>2</v>
          </cell>
          <cell r="K57">
            <v>2</v>
          </cell>
          <cell r="L57">
            <v>21.01</v>
          </cell>
        </row>
        <row r="58">
          <cell r="A58">
            <v>45845</v>
          </cell>
          <cell r="F58">
            <v>162</v>
          </cell>
          <cell r="G58" t="str">
            <v>500 CC X065 40 ŞEFFAF ŞEFFAF YÜKSEK PALET STANDART</v>
          </cell>
          <cell r="J58">
            <v>2</v>
          </cell>
          <cell r="K58">
            <v>2</v>
          </cell>
          <cell r="L58">
            <v>21.3</v>
          </cell>
        </row>
        <row r="59">
          <cell r="A59">
            <v>45845</v>
          </cell>
          <cell r="F59">
            <v>164</v>
          </cell>
          <cell r="G59" t="str">
            <v>1000 CC X285 52 ŞEFFAF ŞEFFAF K.TAVA PALET STANDART</v>
          </cell>
          <cell r="J59">
            <v>2</v>
          </cell>
          <cell r="K59">
            <v>2</v>
          </cell>
          <cell r="L59">
            <v>23.99</v>
          </cell>
        </row>
        <row r="60">
          <cell r="A60">
            <v>45845</v>
          </cell>
          <cell r="F60">
            <v>182</v>
          </cell>
          <cell r="G60" t="str">
            <v>450 CC Z069 28 ŞEFFAF MAVİ PALET STANDART</v>
          </cell>
          <cell r="J60">
            <v>4</v>
          </cell>
          <cell r="K60">
            <v>4</v>
          </cell>
          <cell r="L60">
            <v>14</v>
          </cell>
        </row>
        <row r="61">
          <cell r="A61">
            <v>45845</v>
          </cell>
          <cell r="F61">
            <v>402</v>
          </cell>
          <cell r="G61" t="str">
            <v>3000 CC S048 74 ŞEFFAF UV PLS. PLT K.TAVA STANDART</v>
          </cell>
          <cell r="J61">
            <v>2</v>
          </cell>
          <cell r="K61">
            <v>2</v>
          </cell>
          <cell r="L61">
            <v>10</v>
          </cell>
        </row>
        <row r="62">
          <cell r="A62">
            <v>45845</v>
          </cell>
          <cell r="F62">
            <v>404</v>
          </cell>
          <cell r="G62" t="str">
            <v>310 CC S032 24 ŞEFFAF ŞEFFAF YÜKSEK PLT K.TAVA STANDART</v>
          </cell>
          <cell r="J62">
            <v>2</v>
          </cell>
          <cell r="K62">
            <v>2</v>
          </cell>
          <cell r="L62">
            <v>7.5</v>
          </cell>
        </row>
        <row r="63">
          <cell r="A63">
            <v>45845</v>
          </cell>
          <cell r="F63">
            <v>174</v>
          </cell>
          <cell r="G63" t="str">
            <v>450 CC D120 35 ŞEFFAF UV PLS. PLT K.TAVA CAKMA</v>
          </cell>
          <cell r="J63">
            <v>5</v>
          </cell>
          <cell r="K63">
            <v>5</v>
          </cell>
          <cell r="L63">
            <v>13.54</v>
          </cell>
        </row>
        <row r="64">
          <cell r="A64">
            <v>45845</v>
          </cell>
          <cell r="F64">
            <v>176</v>
          </cell>
          <cell r="G64" t="str">
            <v>1000 CC D107 52 OPAK BEYAZ PALET STANDART</v>
          </cell>
          <cell r="J64">
            <v>5</v>
          </cell>
          <cell r="K64">
            <v>5</v>
          </cell>
          <cell r="L64">
            <v>16.86</v>
          </cell>
        </row>
        <row r="65">
          <cell r="A65">
            <v>45845</v>
          </cell>
          <cell r="F65">
            <v>177</v>
          </cell>
          <cell r="G65" t="str">
            <v>350 CC D026 45 OPAK SİYAH PALET STANDART</v>
          </cell>
          <cell r="J65">
            <v>3</v>
          </cell>
          <cell r="K65">
            <v>3</v>
          </cell>
          <cell r="L65">
            <v>14.01</v>
          </cell>
        </row>
        <row r="66">
          <cell r="A66">
            <v>45845</v>
          </cell>
          <cell r="F66">
            <v>131</v>
          </cell>
          <cell r="G66" t="str">
            <v>200 CC Y323 25 OPAK SİYAH PALET STANDART</v>
          </cell>
          <cell r="J66">
            <v>3</v>
          </cell>
          <cell r="K66">
            <v>2</v>
          </cell>
          <cell r="L66">
            <v>17.5</v>
          </cell>
        </row>
        <row r="67">
          <cell r="A67">
            <v>45845</v>
          </cell>
          <cell r="F67">
            <v>202</v>
          </cell>
          <cell r="G67" t="str">
            <v>E013 45 MM FLİPTOP 10 OPAK SİYAH PLT.IC.KOLI STANDART</v>
          </cell>
          <cell r="J67">
            <v>8</v>
          </cell>
          <cell r="K67">
            <v>5</v>
          </cell>
          <cell r="L67">
            <v>37.700000000000003</v>
          </cell>
        </row>
        <row r="68">
          <cell r="A68">
            <v>45845</v>
          </cell>
          <cell r="F68">
            <v>203</v>
          </cell>
          <cell r="G68" t="str">
            <v>E129 6 ŞEFFAF SARI PLT.IC.KOLI STANDART</v>
          </cell>
          <cell r="J68">
            <v>8</v>
          </cell>
          <cell r="K68">
            <v>8</v>
          </cell>
          <cell r="L68">
            <v>16.100000000000001</v>
          </cell>
        </row>
        <row r="69">
          <cell r="A69">
            <v>45845</v>
          </cell>
          <cell r="F69">
            <v>207</v>
          </cell>
          <cell r="G69" t="str">
            <v>E121 28 MM KAPAK 10 OPAK KIRMIZI KOLI STANDART</v>
          </cell>
          <cell r="J69">
            <v>12</v>
          </cell>
          <cell r="K69">
            <v>9</v>
          </cell>
          <cell r="L69">
            <v>36.72</v>
          </cell>
        </row>
        <row r="70">
          <cell r="A70">
            <v>45845</v>
          </cell>
          <cell r="F70">
            <v>208</v>
          </cell>
          <cell r="G70" t="str">
            <v>E034 100 MM KULPLU KİLİTLİ 30 OPAK SARI PLT.IC.KOLI STANDART</v>
          </cell>
          <cell r="J70">
            <v>2</v>
          </cell>
          <cell r="K70">
            <v>2</v>
          </cell>
          <cell r="L70">
            <v>35.799999999999997</v>
          </cell>
        </row>
        <row r="71">
          <cell r="A71">
            <v>45845</v>
          </cell>
          <cell r="F71">
            <v>210</v>
          </cell>
          <cell r="G71" t="str">
            <v>E031A 110 MM ETİKETLİ FOLYOLU 17 OPAK YEŞİL PLT.IC.KOLI STANDART</v>
          </cell>
          <cell r="J71">
            <v>4</v>
          </cell>
          <cell r="K71">
            <v>4</v>
          </cell>
          <cell r="L71">
            <v>22.2</v>
          </cell>
        </row>
        <row r="72">
          <cell r="A72">
            <v>45845</v>
          </cell>
          <cell r="F72">
            <v>401</v>
          </cell>
          <cell r="G72" t="str">
            <v>1200 CC S009 91 OPAK SİYAH PALET STANDART</v>
          </cell>
          <cell r="J72">
            <v>1</v>
          </cell>
          <cell r="K72">
            <v>1</v>
          </cell>
          <cell r="L72">
            <v>10.7</v>
          </cell>
        </row>
        <row r="73">
          <cell r="A73">
            <v>45845</v>
          </cell>
          <cell r="F73">
            <v>301</v>
          </cell>
          <cell r="G73" t="str">
            <v>PR001 62 MM 8 GÖZ PREFORM 24 ŞEFFAF ŞEFFAF KOLI STANDART</v>
          </cell>
          <cell r="J73">
            <v>8</v>
          </cell>
          <cell r="K73">
            <v>5</v>
          </cell>
          <cell r="L73">
            <v>29</v>
          </cell>
        </row>
        <row r="74">
          <cell r="A74">
            <v>45845</v>
          </cell>
          <cell r="F74">
            <v>302</v>
          </cell>
          <cell r="G74" t="str">
            <v>PR017 38 MM 12 GÖZ YİVLİ PREFORM  73 OPAK BEYAZ KOLI STANDART</v>
          </cell>
          <cell r="J74">
            <v>12</v>
          </cell>
          <cell r="K74">
            <v>9</v>
          </cell>
          <cell r="L74">
            <v>55.91</v>
          </cell>
        </row>
        <row r="75">
          <cell r="A75">
            <v>45845</v>
          </cell>
          <cell r="F75">
            <v>505</v>
          </cell>
          <cell r="G75" t="str">
            <v>20 CC I004 6 OPAK BEYAZ PLT.IC.KOLI STANDART</v>
          </cell>
          <cell r="J75">
            <v>15</v>
          </cell>
          <cell r="K75">
            <v>15</v>
          </cell>
          <cell r="L75">
            <v>88.8</v>
          </cell>
        </row>
        <row r="76">
          <cell r="A76">
            <v>45846</v>
          </cell>
          <cell r="F76">
            <v>101</v>
          </cell>
          <cell r="G76" t="str">
            <v>400 CC SP053 29 ŞEFFAF SARI PLS. PLT STANDART</v>
          </cell>
          <cell r="J76">
            <v>4</v>
          </cell>
          <cell r="K76">
            <v>4</v>
          </cell>
          <cell r="L76">
            <v>12.11</v>
          </cell>
        </row>
        <row r="77">
          <cell r="A77">
            <v>45846</v>
          </cell>
          <cell r="F77">
            <v>102</v>
          </cell>
          <cell r="G77" t="str">
            <v>400 CC SP012 25 ŞEFFAF ŞEFFAF PALET STANDART</v>
          </cell>
          <cell r="J77">
            <v>6</v>
          </cell>
          <cell r="K77">
            <v>6</v>
          </cell>
          <cell r="L77">
            <v>12.59</v>
          </cell>
        </row>
        <row r="78">
          <cell r="A78">
            <v>45846</v>
          </cell>
          <cell r="F78">
            <v>103</v>
          </cell>
          <cell r="G78" t="str">
            <v>700 CC SP009 40 ŞEFFAF SARI PLS. PLT STANDART</v>
          </cell>
          <cell r="J78">
            <v>5</v>
          </cell>
          <cell r="K78">
            <v>5</v>
          </cell>
          <cell r="L78">
            <v>14.82</v>
          </cell>
        </row>
        <row r="79">
          <cell r="A79">
            <v>45846</v>
          </cell>
          <cell r="F79">
            <v>104</v>
          </cell>
          <cell r="G79" t="str">
            <v>150 CC SP020 20 ŞEFFAF ŞEFFAF PLS. PLT K.TAVA STANDART</v>
          </cell>
          <cell r="J79">
            <v>9</v>
          </cell>
          <cell r="K79">
            <v>9</v>
          </cell>
          <cell r="L79">
            <v>12.22</v>
          </cell>
        </row>
        <row r="80">
          <cell r="A80">
            <v>45846</v>
          </cell>
          <cell r="F80">
            <v>162</v>
          </cell>
          <cell r="G80" t="str">
            <v>500 CC X065 40 ŞEFFAF ŞEFFAF YÜKSEK PALET STANDART</v>
          </cell>
          <cell r="J80">
            <v>2</v>
          </cell>
          <cell r="K80">
            <v>2</v>
          </cell>
          <cell r="L80">
            <v>21.3</v>
          </cell>
        </row>
        <row r="81">
          <cell r="A81">
            <v>45846</v>
          </cell>
          <cell r="F81">
            <v>173</v>
          </cell>
          <cell r="G81" t="str">
            <v>650 CC D118 40 OPAK GOLD PLS. PLT K.TAVA CAKMA</v>
          </cell>
          <cell r="J81">
            <v>5</v>
          </cell>
          <cell r="K81">
            <v>5</v>
          </cell>
          <cell r="L81">
            <v>15.33</v>
          </cell>
        </row>
        <row r="82">
          <cell r="A82">
            <v>45846</v>
          </cell>
          <cell r="F82">
            <v>174</v>
          </cell>
          <cell r="G82" t="str">
            <v>450 CC D120 35 ŞEFFAF UV PLS. PLT K.TAVA CAKMA</v>
          </cell>
          <cell r="J82">
            <v>5</v>
          </cell>
          <cell r="K82">
            <v>5</v>
          </cell>
          <cell r="L82">
            <v>13.51</v>
          </cell>
        </row>
        <row r="83">
          <cell r="A83">
            <v>45846</v>
          </cell>
          <cell r="F83">
            <v>175</v>
          </cell>
          <cell r="G83" t="str">
            <v>700 CC D128 80 ŞEFFAF ŞEFFAF PLS. PLT STANDART</v>
          </cell>
          <cell r="J83">
            <v>3</v>
          </cell>
          <cell r="K83">
            <v>3</v>
          </cell>
          <cell r="L83">
            <v>17.75</v>
          </cell>
        </row>
        <row r="84">
          <cell r="A84">
            <v>45846</v>
          </cell>
          <cell r="F84">
            <v>176</v>
          </cell>
          <cell r="G84" t="str">
            <v>1000 CC D107 52 OPAK BEYAZ PALET STANDART</v>
          </cell>
          <cell r="J84">
            <v>5</v>
          </cell>
          <cell r="K84">
            <v>5</v>
          </cell>
          <cell r="L84">
            <v>17.32</v>
          </cell>
        </row>
        <row r="85">
          <cell r="A85">
            <v>45846</v>
          </cell>
          <cell r="F85">
            <v>177</v>
          </cell>
          <cell r="G85" t="str">
            <v>350 CC D026 45 OPAK SİYAH PALET STANDART</v>
          </cell>
          <cell r="J85">
            <v>3</v>
          </cell>
          <cell r="K85">
            <v>3</v>
          </cell>
          <cell r="L85">
            <v>13.05</v>
          </cell>
        </row>
        <row r="86">
          <cell r="A86">
            <v>45846</v>
          </cell>
          <cell r="F86">
            <v>131</v>
          </cell>
          <cell r="G86" t="str">
            <v>250 CC Y201 25 ŞEFFAF ŞEFFAF KOLI UZUN</v>
          </cell>
          <cell r="J86">
            <v>3</v>
          </cell>
          <cell r="K86">
            <v>2</v>
          </cell>
          <cell r="L86">
            <v>17.59</v>
          </cell>
        </row>
        <row r="87">
          <cell r="A87">
            <v>45846</v>
          </cell>
          <cell r="F87">
            <v>201</v>
          </cell>
          <cell r="G87" t="str">
            <v>E041 20 MM DAMLALIK TIPA 1 ŞEFFAF ŞEFFAF PLT.IC.KOLI STANDART</v>
          </cell>
          <cell r="J87">
            <v>24</v>
          </cell>
          <cell r="K87">
            <v>23</v>
          </cell>
          <cell r="L87">
            <v>26.5</v>
          </cell>
        </row>
        <row r="88">
          <cell r="A88">
            <v>45846</v>
          </cell>
          <cell r="F88">
            <v>202</v>
          </cell>
          <cell r="G88" t="str">
            <v>E040A 24 MM KUMSUZ KAPAK 3 OPAK SİYAH KOLI STANDART</v>
          </cell>
          <cell r="J88">
            <v>12</v>
          </cell>
          <cell r="K88">
            <v>9</v>
          </cell>
          <cell r="L88">
            <v>30.9</v>
          </cell>
        </row>
        <row r="89">
          <cell r="A89">
            <v>45846</v>
          </cell>
          <cell r="F89">
            <v>203</v>
          </cell>
          <cell r="G89" t="str">
            <v>E129 6 ŞEFFAF SARI PLT.IC.KOLI STANDART</v>
          </cell>
          <cell r="J89">
            <v>8</v>
          </cell>
          <cell r="K89">
            <v>8</v>
          </cell>
          <cell r="L89">
            <v>16</v>
          </cell>
        </row>
        <row r="90">
          <cell r="A90">
            <v>45846</v>
          </cell>
          <cell r="F90">
            <v>205</v>
          </cell>
          <cell r="G90" t="str">
            <v>E128 28 MM 8 OPAK PEMBE KOLI CAKMA</v>
          </cell>
          <cell r="J90">
            <v>4</v>
          </cell>
          <cell r="K90">
            <v>4</v>
          </cell>
          <cell r="L90">
            <v>22.1</v>
          </cell>
        </row>
        <row r="91">
          <cell r="A91">
            <v>45846</v>
          </cell>
          <cell r="F91">
            <v>206</v>
          </cell>
          <cell r="G91" t="str">
            <v>E123 28 MM FLİPTOP 13 ŞEFFAF MAVİ PLT.IC.KOLI STANDART</v>
          </cell>
          <cell r="J91">
            <v>12</v>
          </cell>
          <cell r="K91">
            <v>11</v>
          </cell>
          <cell r="L91">
            <v>26.9</v>
          </cell>
        </row>
        <row r="92">
          <cell r="A92">
            <v>45846</v>
          </cell>
          <cell r="F92">
            <v>208</v>
          </cell>
          <cell r="G92" t="str">
            <v>E034 100 MM KULPLU KİLİTLİ 30 OPAK SARI PLT.IC.KOLI STANDART</v>
          </cell>
          <cell r="J92">
            <v>2</v>
          </cell>
          <cell r="K92">
            <v>2</v>
          </cell>
          <cell r="L92">
            <v>35.82</v>
          </cell>
        </row>
        <row r="93">
          <cell r="A93">
            <v>45846</v>
          </cell>
          <cell r="F93">
            <v>210</v>
          </cell>
          <cell r="G93" t="str">
            <v>E031A 110 MM ETİKETLİ FOLYOLU 17 OPAK YEŞİL PLT.IC.KOLI STANDART</v>
          </cell>
          <cell r="J93">
            <v>4</v>
          </cell>
          <cell r="K93">
            <v>4</v>
          </cell>
          <cell r="L93">
            <v>22.2</v>
          </cell>
        </row>
        <row r="94">
          <cell r="A94">
            <v>45846</v>
          </cell>
          <cell r="F94">
            <v>401</v>
          </cell>
          <cell r="G94" t="str">
            <v>1200 CC S009 91 OPAK SİYAH PALET STANDART</v>
          </cell>
          <cell r="J94">
            <v>1</v>
          </cell>
          <cell r="K94">
            <v>1</v>
          </cell>
          <cell r="L94">
            <v>10.9</v>
          </cell>
        </row>
        <row r="95">
          <cell r="A95">
            <v>45846</v>
          </cell>
          <cell r="F95">
            <v>301</v>
          </cell>
          <cell r="G95" t="str">
            <v>PR001 62 MM 8 GÖZ PREFORM 24 ŞEFFAF ŞEFFAF KOLI STANDART</v>
          </cell>
          <cell r="J95">
            <v>8</v>
          </cell>
          <cell r="K95">
            <v>5</v>
          </cell>
          <cell r="L95">
            <v>29</v>
          </cell>
        </row>
        <row r="96">
          <cell r="A96">
            <v>45846</v>
          </cell>
          <cell r="F96">
            <v>303</v>
          </cell>
          <cell r="G96" t="str">
            <v>PR014 110 MM 12 GÖZ TWIST OFF PREFORM 91 OPAK SİYAH KOLI STANDART</v>
          </cell>
          <cell r="J96">
            <v>12</v>
          </cell>
          <cell r="K96">
            <v>5</v>
          </cell>
          <cell r="L96">
            <v>38.200000000000003</v>
          </cell>
        </row>
        <row r="97">
          <cell r="A97">
            <v>45847</v>
          </cell>
          <cell r="F97">
            <v>102</v>
          </cell>
          <cell r="G97" t="str">
            <v>400 CC SP012 25 ŞEFFAF ŞEFFAF PALET STANDART</v>
          </cell>
          <cell r="J97">
            <v>6</v>
          </cell>
          <cell r="K97">
            <v>5</v>
          </cell>
          <cell r="L97">
            <v>15.32</v>
          </cell>
        </row>
        <row r="98">
          <cell r="A98">
            <v>45847</v>
          </cell>
          <cell r="F98">
            <v>103</v>
          </cell>
          <cell r="G98" t="str">
            <v>700 CC SP009 40 ŞEFFAF SARI PLS. PLT STANDART</v>
          </cell>
          <cell r="J98">
            <v>5</v>
          </cell>
          <cell r="K98">
            <v>5</v>
          </cell>
          <cell r="L98">
            <v>14.81</v>
          </cell>
        </row>
        <row r="99">
          <cell r="A99">
            <v>45847</v>
          </cell>
          <cell r="F99">
            <v>104</v>
          </cell>
          <cell r="G99" t="str">
            <v>150 CC SP020 20 ŞEFFAF ŞEFFAF PLS. PLT K.TAVA STANDART</v>
          </cell>
          <cell r="J99">
            <v>9</v>
          </cell>
          <cell r="K99">
            <v>9</v>
          </cell>
          <cell r="L99">
            <v>12.2</v>
          </cell>
        </row>
        <row r="100">
          <cell r="A100">
            <v>45847</v>
          </cell>
          <cell r="F100">
            <v>161</v>
          </cell>
          <cell r="G100" t="str">
            <v>750 CC X116 45 ŞEFFAF ŞEFFAF YÜKSEK PALET STANDART</v>
          </cell>
          <cell r="J100">
            <v>2</v>
          </cell>
          <cell r="K100">
            <v>2</v>
          </cell>
          <cell r="L100">
            <v>21</v>
          </cell>
        </row>
        <row r="101">
          <cell r="A101">
            <v>45847</v>
          </cell>
          <cell r="F101">
            <v>162</v>
          </cell>
          <cell r="G101" t="str">
            <v>500 CC X065 40 ŞEFFAF ŞEFFAF YÜKSEK PALET STANDART</v>
          </cell>
          <cell r="J101">
            <v>2</v>
          </cell>
          <cell r="K101">
            <v>2</v>
          </cell>
          <cell r="L101">
            <v>21.3</v>
          </cell>
        </row>
        <row r="102">
          <cell r="A102">
            <v>45847</v>
          </cell>
          <cell r="F102">
            <v>164</v>
          </cell>
          <cell r="G102" t="str">
            <v>1000 CC X233 45 ŞEFFAF ŞEFFAF PALET STANDART</v>
          </cell>
          <cell r="J102">
            <v>2</v>
          </cell>
          <cell r="K102">
            <v>2</v>
          </cell>
          <cell r="L102">
            <v>22.49</v>
          </cell>
        </row>
        <row r="103">
          <cell r="A103">
            <v>45847</v>
          </cell>
          <cell r="F103">
            <v>182</v>
          </cell>
          <cell r="G103" t="str">
            <v>750 CC Z104 28 ŞEFFAF ŞEFFAF PLS. PLT STANDART</v>
          </cell>
          <cell r="J103">
            <v>4</v>
          </cell>
          <cell r="K103">
            <v>4</v>
          </cell>
          <cell r="L103">
            <v>14</v>
          </cell>
        </row>
        <row r="104">
          <cell r="A104">
            <v>45847</v>
          </cell>
          <cell r="F104">
            <v>173</v>
          </cell>
          <cell r="G104" t="str">
            <v>650 CC D118 40 OPAK GOLD PLS. PLT K.TAVA CAKMA</v>
          </cell>
          <cell r="J104">
            <v>5</v>
          </cell>
          <cell r="K104">
            <v>5</v>
          </cell>
          <cell r="L104">
            <v>15.2</v>
          </cell>
        </row>
        <row r="105">
          <cell r="A105">
            <v>45847</v>
          </cell>
          <cell r="F105">
            <v>174</v>
          </cell>
          <cell r="G105" t="str">
            <v>450 CC D120 35 ŞEFFAF UV PLS. PLT K.TAVA CAKMA</v>
          </cell>
          <cell r="J105">
            <v>5</v>
          </cell>
          <cell r="K105">
            <v>5</v>
          </cell>
          <cell r="L105">
            <v>13.49</v>
          </cell>
        </row>
        <row r="106">
          <cell r="A106">
            <v>45847</v>
          </cell>
          <cell r="F106">
            <v>176</v>
          </cell>
          <cell r="G106" t="str">
            <v>1000 CC D107 52 OPAK BEYAZ PALET STANDART</v>
          </cell>
          <cell r="J106">
            <v>5</v>
          </cell>
          <cell r="K106">
            <v>5</v>
          </cell>
          <cell r="L106">
            <v>17.100000000000001</v>
          </cell>
        </row>
        <row r="107">
          <cell r="A107">
            <v>45847</v>
          </cell>
          <cell r="F107">
            <v>177</v>
          </cell>
          <cell r="G107" t="str">
            <v>350 CC D026 45 OPAK SİYAH PALET STANDART</v>
          </cell>
          <cell r="J107">
            <v>3</v>
          </cell>
          <cell r="K107">
            <v>3</v>
          </cell>
          <cell r="L107">
            <v>13.05</v>
          </cell>
        </row>
        <row r="108">
          <cell r="A108">
            <v>45847</v>
          </cell>
          <cell r="F108">
            <v>131</v>
          </cell>
          <cell r="G108" t="str">
            <v>250 CC Y201 25 ŞEFFAF ŞEFFAF KOLI UZUN</v>
          </cell>
          <cell r="J108">
            <v>3</v>
          </cell>
          <cell r="K108">
            <v>2</v>
          </cell>
          <cell r="L108">
            <v>17.75</v>
          </cell>
        </row>
        <row r="109">
          <cell r="A109">
            <v>45847</v>
          </cell>
          <cell r="F109">
            <v>201</v>
          </cell>
          <cell r="G109" t="str">
            <v>E041 20 MM DAMLALIK TIPA 1 ŞEFFAF ŞEFFAF PLT.IC.KOLI STANDART</v>
          </cell>
          <cell r="J109">
            <v>24</v>
          </cell>
          <cell r="K109">
            <v>23</v>
          </cell>
          <cell r="L109">
            <v>26.7</v>
          </cell>
        </row>
        <row r="110">
          <cell r="A110">
            <v>45847</v>
          </cell>
          <cell r="F110">
            <v>202</v>
          </cell>
          <cell r="G110" t="str">
            <v>E040A 24 MM KUMSUZ KAPAK 3 OPAK SİYAH KOLI STANDART</v>
          </cell>
          <cell r="J110">
            <v>12</v>
          </cell>
          <cell r="K110">
            <v>9</v>
          </cell>
          <cell r="L110">
            <v>31</v>
          </cell>
        </row>
        <row r="111">
          <cell r="A111">
            <v>45847</v>
          </cell>
          <cell r="F111">
            <v>203</v>
          </cell>
          <cell r="G111" t="str">
            <v>E129 6 ŞEFFAF SARI PLT.IC.KOLI STANDART</v>
          </cell>
          <cell r="J111">
            <v>8</v>
          </cell>
          <cell r="K111">
            <v>8</v>
          </cell>
          <cell r="L111">
            <v>14.8</v>
          </cell>
        </row>
        <row r="112">
          <cell r="A112">
            <v>45847</v>
          </cell>
          <cell r="F112">
            <v>205</v>
          </cell>
          <cell r="G112" t="str">
            <v>E128 28 MM 8 OPAK PEMBE KOLI CAKMA</v>
          </cell>
          <cell r="J112">
            <v>4</v>
          </cell>
          <cell r="K112">
            <v>4</v>
          </cell>
          <cell r="L112">
            <v>21.1</v>
          </cell>
        </row>
        <row r="113">
          <cell r="A113">
            <v>45847</v>
          </cell>
          <cell r="F113">
            <v>206</v>
          </cell>
          <cell r="G113" t="str">
            <v>E123 28 MM FLİPTOP 13 ŞEFFAF MAVİ PLT.IC.KOLI STANDART</v>
          </cell>
          <cell r="J113">
            <v>12</v>
          </cell>
          <cell r="K113">
            <v>11</v>
          </cell>
          <cell r="L113">
            <v>28.5</v>
          </cell>
        </row>
        <row r="114">
          <cell r="A114">
            <v>45847</v>
          </cell>
          <cell r="F114">
            <v>208</v>
          </cell>
          <cell r="G114" t="str">
            <v>E034 100 MM KULPLU KİLİTLİ 30 OPAK SARI PLT.IC.KOLI STANDART</v>
          </cell>
          <cell r="J114">
            <v>2</v>
          </cell>
          <cell r="K114">
            <v>2</v>
          </cell>
          <cell r="L114">
            <v>35.869999999999997</v>
          </cell>
        </row>
        <row r="115">
          <cell r="A115">
            <v>45847</v>
          </cell>
          <cell r="F115">
            <v>210</v>
          </cell>
          <cell r="G115" t="str">
            <v>E031A 110 MM ETİKETLİ FOLYOLU 17 OPAK SARI PLT.IC.KOLI STANDART</v>
          </cell>
          <cell r="J115">
            <v>4</v>
          </cell>
          <cell r="K115">
            <v>4</v>
          </cell>
          <cell r="L115">
            <v>22.2</v>
          </cell>
        </row>
        <row r="116">
          <cell r="A116">
            <v>45847</v>
          </cell>
          <cell r="F116">
            <v>401</v>
          </cell>
          <cell r="G116" t="str">
            <v>1200 CC S009A 91 OPAK SİYAH PALET STANDART</v>
          </cell>
          <cell r="J116">
            <v>1</v>
          </cell>
          <cell r="K116">
            <v>1</v>
          </cell>
          <cell r="L116">
            <v>10.57</v>
          </cell>
        </row>
        <row r="117">
          <cell r="A117">
            <v>45847</v>
          </cell>
          <cell r="F117">
            <v>301</v>
          </cell>
          <cell r="G117" t="str">
            <v>PR001 62 MM 8 GÖZ PREFORM 24 ŞEFFAF ŞEFFAF KOLI STANDART</v>
          </cell>
          <cell r="J117">
            <v>8</v>
          </cell>
          <cell r="K117">
            <v>5</v>
          </cell>
          <cell r="L117">
            <v>29</v>
          </cell>
        </row>
        <row r="118">
          <cell r="A118">
            <v>45847</v>
          </cell>
          <cell r="F118">
            <v>302</v>
          </cell>
          <cell r="G118" t="str">
            <v>PR017 38 MM 12 GÖZ YİVLİ PREFORM  73 OPAK BEYAZ KOLI STANDART</v>
          </cell>
          <cell r="J118">
            <v>12</v>
          </cell>
          <cell r="K118">
            <v>9</v>
          </cell>
          <cell r="L118">
            <v>63.41</v>
          </cell>
        </row>
        <row r="119">
          <cell r="A119">
            <v>45847</v>
          </cell>
          <cell r="F119">
            <v>303</v>
          </cell>
          <cell r="G119" t="str">
            <v>PR014 110 MM 12 GÖZ TWIST OFF PREFORM 91 OPAK SİYAH KOLI STANDART</v>
          </cell>
          <cell r="J119">
            <v>12</v>
          </cell>
          <cell r="K119">
            <v>6</v>
          </cell>
          <cell r="L119">
            <v>38</v>
          </cell>
        </row>
        <row r="120">
          <cell r="A120">
            <v>45848</v>
          </cell>
          <cell r="F120">
            <v>102</v>
          </cell>
          <cell r="G120" t="str">
            <v>400 CC SP012 25 ŞEFFAF ŞEFFAF PALET STANDART</v>
          </cell>
          <cell r="J120">
            <v>6</v>
          </cell>
          <cell r="K120">
            <v>5</v>
          </cell>
          <cell r="L120">
            <v>15.19</v>
          </cell>
        </row>
        <row r="121">
          <cell r="A121">
            <v>45848</v>
          </cell>
          <cell r="F121">
            <v>161</v>
          </cell>
          <cell r="G121" t="str">
            <v>750 CC X116 45 ŞEFFAF ŞEFFAF YÜKSEK PALET STANDART</v>
          </cell>
          <cell r="J121">
            <v>2</v>
          </cell>
          <cell r="K121">
            <v>2</v>
          </cell>
          <cell r="L121">
            <v>21.01</v>
          </cell>
        </row>
        <row r="122">
          <cell r="A122">
            <v>45848</v>
          </cell>
          <cell r="F122">
            <v>162</v>
          </cell>
          <cell r="G122" t="str">
            <v>750 CC X319 40 ŞEFFAF ŞEFFAF K.TAVA PALET STANDART</v>
          </cell>
          <cell r="J122">
            <v>2</v>
          </cell>
          <cell r="K122">
            <v>2</v>
          </cell>
          <cell r="L122">
            <v>21.97</v>
          </cell>
        </row>
        <row r="123">
          <cell r="A123">
            <v>45848</v>
          </cell>
          <cell r="F123">
            <v>163</v>
          </cell>
          <cell r="G123" t="str">
            <v>1000 CC X404 52 ŞEFFAF ŞEFFAF PALET STANDART</v>
          </cell>
          <cell r="J123">
            <v>2</v>
          </cell>
          <cell r="K123">
            <v>2</v>
          </cell>
          <cell r="L123">
            <v>23.99</v>
          </cell>
        </row>
        <row r="124">
          <cell r="A124">
            <v>45848</v>
          </cell>
          <cell r="F124">
            <v>182</v>
          </cell>
          <cell r="G124" t="str">
            <v>750 CC Z104 28 ŞEFFAF ŞEFFAF PLS. PLT STANDART</v>
          </cell>
          <cell r="J124">
            <v>4</v>
          </cell>
          <cell r="K124">
            <v>4</v>
          </cell>
          <cell r="L124">
            <v>14</v>
          </cell>
        </row>
        <row r="125">
          <cell r="A125">
            <v>45848</v>
          </cell>
          <cell r="F125">
            <v>404</v>
          </cell>
          <cell r="G125" t="str">
            <v>310 CC S032 24 ŞEFFAF ŞEFFAF YÜKSEK PLT K.TAVA STANDART</v>
          </cell>
          <cell r="J125">
            <v>2</v>
          </cell>
          <cell r="K125">
            <v>2</v>
          </cell>
          <cell r="L125">
            <v>7.7</v>
          </cell>
        </row>
        <row r="126">
          <cell r="A126">
            <v>45848</v>
          </cell>
          <cell r="F126">
            <v>172</v>
          </cell>
          <cell r="G126" t="str">
            <v>750 CC D108 45 ŞEFFAF UV PLS. PLT K.TAVA STANDART</v>
          </cell>
          <cell r="J126">
            <v>4</v>
          </cell>
          <cell r="K126">
            <v>4</v>
          </cell>
          <cell r="L126">
            <v>15.56</v>
          </cell>
        </row>
        <row r="127">
          <cell r="A127">
            <v>45848</v>
          </cell>
          <cell r="F127">
            <v>173</v>
          </cell>
          <cell r="G127" t="str">
            <v>650 CC D118 40 OPAK GOLD PLS. PLT K.TAVA CAKMA</v>
          </cell>
          <cell r="J127">
            <v>5</v>
          </cell>
          <cell r="K127">
            <v>5</v>
          </cell>
          <cell r="L127">
            <v>15.35</v>
          </cell>
        </row>
        <row r="128">
          <cell r="A128">
            <v>45848</v>
          </cell>
          <cell r="F128">
            <v>174</v>
          </cell>
          <cell r="G128" t="str">
            <v>450 CC D120 35 ŞEFFAF UV PLS. PLT K.TAVA CAKMA</v>
          </cell>
          <cell r="J128">
            <v>5</v>
          </cell>
          <cell r="K128">
            <v>5</v>
          </cell>
          <cell r="L128">
            <v>13.52</v>
          </cell>
        </row>
        <row r="129">
          <cell r="A129">
            <v>45848</v>
          </cell>
          <cell r="F129">
            <v>176</v>
          </cell>
          <cell r="G129" t="str">
            <v>1000 CC D107 52 OPAK BEYAZ PALET STANDART</v>
          </cell>
          <cell r="J129">
            <v>5</v>
          </cell>
          <cell r="K129">
            <v>5</v>
          </cell>
          <cell r="L129">
            <v>17.170000000000002</v>
          </cell>
        </row>
        <row r="130">
          <cell r="A130">
            <v>45848</v>
          </cell>
          <cell r="F130">
            <v>177</v>
          </cell>
          <cell r="G130" t="str">
            <v>350 CC D026 45 OPAK SİYAH PALET STANDART</v>
          </cell>
          <cell r="J130">
            <v>3</v>
          </cell>
          <cell r="K130">
            <v>3</v>
          </cell>
          <cell r="L130">
            <v>13.05</v>
          </cell>
        </row>
        <row r="131">
          <cell r="A131">
            <v>45848</v>
          </cell>
          <cell r="F131">
            <v>131</v>
          </cell>
          <cell r="G131" t="str">
            <v>250 CC Y201 25 ŞEFFAF ŞEFFAF KOLI UZUN</v>
          </cell>
          <cell r="J131">
            <v>3</v>
          </cell>
          <cell r="K131">
            <v>2</v>
          </cell>
          <cell r="L131">
            <v>17.8</v>
          </cell>
        </row>
        <row r="132">
          <cell r="A132">
            <v>45848</v>
          </cell>
          <cell r="F132">
            <v>135</v>
          </cell>
          <cell r="G132" t="str">
            <v>100 CC Y266 16 ŞEFFAF ŞEFFAF PLS. PLT K.TAVA STANDART</v>
          </cell>
          <cell r="J132">
            <v>3</v>
          </cell>
          <cell r="K132">
            <v>3</v>
          </cell>
          <cell r="L132">
            <v>15.77</v>
          </cell>
        </row>
        <row r="133">
          <cell r="A133">
            <v>45848</v>
          </cell>
          <cell r="F133">
            <v>202</v>
          </cell>
          <cell r="G133" t="str">
            <v>E040A 24 MM KUMSUZ KAPAK 3 OPAK SİYAH KOLI STANDART</v>
          </cell>
          <cell r="J133">
            <v>12</v>
          </cell>
          <cell r="K133">
            <v>12</v>
          </cell>
          <cell r="L133">
            <v>27.9</v>
          </cell>
        </row>
        <row r="134">
          <cell r="A134">
            <v>45848</v>
          </cell>
          <cell r="F134">
            <v>203</v>
          </cell>
          <cell r="G134" t="str">
            <v>E129 6 ŞEFFAF SARI PLT.IC.KOLI STANDART</v>
          </cell>
          <cell r="J134">
            <v>8</v>
          </cell>
          <cell r="K134">
            <v>8</v>
          </cell>
          <cell r="L134">
            <v>15</v>
          </cell>
        </row>
        <row r="135">
          <cell r="A135">
            <v>45848</v>
          </cell>
          <cell r="F135">
            <v>205</v>
          </cell>
          <cell r="G135" t="str">
            <v>E128 28 MM 8 OPAK PEMBE KOLI CAKMA</v>
          </cell>
          <cell r="J135">
            <v>4</v>
          </cell>
          <cell r="K135">
            <v>3</v>
          </cell>
          <cell r="L135">
            <v>21.7</v>
          </cell>
        </row>
        <row r="136">
          <cell r="A136">
            <v>45848</v>
          </cell>
          <cell r="F136">
            <v>206</v>
          </cell>
          <cell r="G136" t="str">
            <v>E123 28 MM FLİPTOP 13 ŞEFFAF MAVİ PLT.IC.KOLI STANDART</v>
          </cell>
          <cell r="J136">
            <v>12</v>
          </cell>
          <cell r="K136">
            <v>11</v>
          </cell>
          <cell r="L136">
            <v>26.3</v>
          </cell>
        </row>
        <row r="137">
          <cell r="A137">
            <v>45848</v>
          </cell>
          <cell r="F137">
            <v>208</v>
          </cell>
          <cell r="G137" t="str">
            <v>E034 100 MM KULPLU KİLİTLİ 30 OPAK SARI PLT.IC.KOLI STANDART</v>
          </cell>
          <cell r="J137">
            <v>2</v>
          </cell>
          <cell r="K137">
            <v>2</v>
          </cell>
          <cell r="L137">
            <v>35.81</v>
          </cell>
        </row>
        <row r="138">
          <cell r="A138">
            <v>45848</v>
          </cell>
          <cell r="F138">
            <v>401</v>
          </cell>
          <cell r="G138" t="str">
            <v>1200 CC S009A 91 OPAK SİYAH PALET STANDART</v>
          </cell>
          <cell r="J138">
            <v>1</v>
          </cell>
          <cell r="K138">
            <v>1</v>
          </cell>
          <cell r="L138">
            <v>10.57</v>
          </cell>
        </row>
        <row r="139">
          <cell r="A139">
            <v>45848</v>
          </cell>
          <cell r="F139">
            <v>301</v>
          </cell>
          <cell r="G139" t="str">
            <v>PR001 62 MM 8 GÖZ PREFORM 24 ŞEFFAF ŞEFFAF KOLI STANDART</v>
          </cell>
          <cell r="J139">
            <v>8</v>
          </cell>
          <cell r="K139">
            <v>5</v>
          </cell>
          <cell r="L139">
            <v>29</v>
          </cell>
        </row>
        <row r="140">
          <cell r="A140">
            <v>45848</v>
          </cell>
          <cell r="F140">
            <v>303</v>
          </cell>
          <cell r="G140" t="str">
            <v>PR014 110 MM 12 GÖZ TWIST OFF PREFORM 91 OPAK SİYAH KOLI STANDART</v>
          </cell>
          <cell r="J140">
            <v>12</v>
          </cell>
          <cell r="K140">
            <v>7</v>
          </cell>
          <cell r="L140">
            <v>38.700000000000003</v>
          </cell>
        </row>
        <row r="141">
          <cell r="A141">
            <v>45848</v>
          </cell>
          <cell r="F141">
            <v>175</v>
          </cell>
          <cell r="G141" t="str">
            <v>1000 CC D123 95 ŞEFFAF ŞEFFAF PLS. PLT STANDART</v>
          </cell>
          <cell r="J141">
            <v>3</v>
          </cell>
          <cell r="K141">
            <v>3</v>
          </cell>
          <cell r="L141">
            <v>18.02</v>
          </cell>
        </row>
        <row r="142">
          <cell r="A142">
            <v>45848</v>
          </cell>
          <cell r="F142">
            <v>504</v>
          </cell>
          <cell r="G142" t="str">
            <v>750 CC P114 55 ŞEFFAF ŞEFFAF PALET STANDART</v>
          </cell>
          <cell r="J142">
            <v>2</v>
          </cell>
          <cell r="K142">
            <v>2</v>
          </cell>
          <cell r="L142">
            <v>27.5</v>
          </cell>
        </row>
        <row r="143">
          <cell r="A143">
            <v>45849</v>
          </cell>
          <cell r="F143">
            <v>161</v>
          </cell>
          <cell r="G143" t="str">
            <v>500 CC X369 45 ŞEFFAF ŞEFFAF YÜKSEK PALET STANDART</v>
          </cell>
          <cell r="J143">
            <v>2</v>
          </cell>
          <cell r="K143">
            <v>2</v>
          </cell>
          <cell r="L143">
            <v>21.01</v>
          </cell>
        </row>
        <row r="144">
          <cell r="A144">
            <v>45849</v>
          </cell>
          <cell r="F144">
            <v>162</v>
          </cell>
          <cell r="G144" t="str">
            <v>750 CC X319 40 ŞEFFAF ŞEFFAF K.TAVA PALET STANDART</v>
          </cell>
          <cell r="J144">
            <v>2</v>
          </cell>
          <cell r="K144">
            <v>2</v>
          </cell>
          <cell r="L144">
            <v>21.98</v>
          </cell>
        </row>
        <row r="145">
          <cell r="A145">
            <v>45849</v>
          </cell>
          <cell r="F145">
            <v>164</v>
          </cell>
          <cell r="G145" t="str">
            <v>1000 CC X233 45 ŞEFFAF ŞEFFAF PALET STANDART</v>
          </cell>
          <cell r="J145">
            <v>2</v>
          </cell>
          <cell r="K145">
            <v>2</v>
          </cell>
          <cell r="L145">
            <v>22.5</v>
          </cell>
        </row>
        <row r="146">
          <cell r="A146">
            <v>45849</v>
          </cell>
          <cell r="F146">
            <v>182</v>
          </cell>
          <cell r="G146" t="str">
            <v>750 CC Z104 28 ŞEFFAF ŞEFFAF PLS. PLT STANDART</v>
          </cell>
          <cell r="J146">
            <v>4</v>
          </cell>
          <cell r="K146">
            <v>4</v>
          </cell>
          <cell r="L146">
            <v>14.14</v>
          </cell>
        </row>
        <row r="147">
          <cell r="A147">
            <v>45849</v>
          </cell>
          <cell r="F147">
            <v>404</v>
          </cell>
          <cell r="G147" t="str">
            <v>310 CC S032 24 ŞEFFAF ŞEFFAF YÜKSEK PLT K.TAVA STANDART</v>
          </cell>
          <cell r="J147">
            <v>2</v>
          </cell>
          <cell r="K147">
            <v>2</v>
          </cell>
          <cell r="L147">
            <v>8.6999999999999993</v>
          </cell>
        </row>
        <row r="148">
          <cell r="A148">
            <v>45849</v>
          </cell>
          <cell r="F148">
            <v>405</v>
          </cell>
          <cell r="G148" t="str">
            <v>1200 CC S023 91 OPAK SİYAH PALET STANDART</v>
          </cell>
          <cell r="J148">
            <v>2</v>
          </cell>
          <cell r="K148">
            <v>2</v>
          </cell>
          <cell r="L148">
            <v>7.1</v>
          </cell>
        </row>
        <row r="149">
          <cell r="A149">
            <v>45849</v>
          </cell>
          <cell r="F149">
            <v>173</v>
          </cell>
          <cell r="G149" t="str">
            <v>750 CC D071 40 ŞEFFAF SARI PALET STANDART</v>
          </cell>
          <cell r="J149">
            <v>5</v>
          </cell>
          <cell r="K149">
            <v>5</v>
          </cell>
          <cell r="L149">
            <v>16.46</v>
          </cell>
        </row>
        <row r="150">
          <cell r="A150">
            <v>45849</v>
          </cell>
          <cell r="F150">
            <v>174</v>
          </cell>
          <cell r="G150" t="str">
            <v>450 CC D120 35 ŞEFFAF UV PLS. PLT K.TAVA CAKMA</v>
          </cell>
          <cell r="J150">
            <v>5</v>
          </cell>
          <cell r="K150">
            <v>5</v>
          </cell>
          <cell r="L150">
            <v>13.53</v>
          </cell>
        </row>
        <row r="151">
          <cell r="A151">
            <v>45849</v>
          </cell>
          <cell r="F151">
            <v>176</v>
          </cell>
          <cell r="G151" t="str">
            <v>1000 CC D107 52 OPAK BEYAZ PALET STANDART</v>
          </cell>
          <cell r="J151">
            <v>5</v>
          </cell>
          <cell r="K151">
            <v>5</v>
          </cell>
          <cell r="L151">
            <v>17.079999999999998</v>
          </cell>
        </row>
        <row r="152">
          <cell r="A152">
            <v>45849</v>
          </cell>
          <cell r="F152">
            <v>177</v>
          </cell>
          <cell r="G152" t="str">
            <v>350 CC D026 45 OPAK SİYAH PALET STANDART</v>
          </cell>
          <cell r="J152">
            <v>3</v>
          </cell>
          <cell r="K152">
            <v>3</v>
          </cell>
          <cell r="L152">
            <v>13.06</v>
          </cell>
        </row>
        <row r="153">
          <cell r="A153">
            <v>45849</v>
          </cell>
          <cell r="F153">
            <v>131</v>
          </cell>
          <cell r="G153" t="str">
            <v>250 CC Y201 25 ŞEFFAF ŞEFFAF KOLI UZUN</v>
          </cell>
          <cell r="J153">
            <v>3</v>
          </cell>
          <cell r="K153">
            <v>2</v>
          </cell>
          <cell r="L153">
            <v>17.89</v>
          </cell>
        </row>
        <row r="154">
          <cell r="A154">
            <v>45849</v>
          </cell>
          <cell r="F154">
            <v>135</v>
          </cell>
          <cell r="G154" t="str">
            <v>100 CC Y256 16 OPAK BEYAZ KOLI STANDART</v>
          </cell>
          <cell r="J154">
            <v>3</v>
          </cell>
          <cell r="K154">
            <v>3</v>
          </cell>
          <cell r="L154">
            <v>15.28</v>
          </cell>
        </row>
        <row r="155">
          <cell r="A155">
            <v>45849</v>
          </cell>
          <cell r="F155">
            <v>202</v>
          </cell>
          <cell r="G155" t="str">
            <v>E040A 24 MM KUMSUZ KAPAK 3 OPAK SİYAH KOLI STANDART</v>
          </cell>
          <cell r="J155">
            <v>12</v>
          </cell>
          <cell r="K155">
            <v>10</v>
          </cell>
          <cell r="L155">
            <v>28</v>
          </cell>
        </row>
        <row r="156">
          <cell r="A156">
            <v>45849</v>
          </cell>
          <cell r="F156">
            <v>203</v>
          </cell>
          <cell r="G156" t="str">
            <v>E129 6 ŞEFFAF SARI PLT.IC.KOLI STANDART</v>
          </cell>
          <cell r="J156">
            <v>8</v>
          </cell>
          <cell r="K156">
            <v>8</v>
          </cell>
          <cell r="L156">
            <v>15</v>
          </cell>
        </row>
        <row r="157">
          <cell r="A157">
            <v>45849</v>
          </cell>
          <cell r="F157">
            <v>205</v>
          </cell>
          <cell r="G157" t="str">
            <v>E128 28 MM 8 OPAK YEŞİL KOLI CAKMA</v>
          </cell>
          <cell r="J157">
            <v>4</v>
          </cell>
          <cell r="K157">
            <v>3</v>
          </cell>
          <cell r="L157">
            <v>21.7</v>
          </cell>
        </row>
        <row r="158">
          <cell r="A158">
            <v>45849</v>
          </cell>
          <cell r="F158">
            <v>208</v>
          </cell>
          <cell r="G158" t="str">
            <v>E034 100 MM KULPLU KİLİTLİ 30 OPAK SARI PLT.IC.KOLI STANDART</v>
          </cell>
          <cell r="J158">
            <v>2</v>
          </cell>
          <cell r="K158">
            <v>2</v>
          </cell>
          <cell r="L158">
            <v>35.799999999999997</v>
          </cell>
        </row>
        <row r="159">
          <cell r="A159">
            <v>45849</v>
          </cell>
          <cell r="F159">
            <v>210</v>
          </cell>
          <cell r="G159" t="str">
            <v>E031A 110 MM ETİKETLİ FOLYOLU 17 OPAK YEŞİL PLT.IC.KOLI STANDART</v>
          </cell>
          <cell r="J159">
            <v>4</v>
          </cell>
          <cell r="K159">
            <v>3</v>
          </cell>
          <cell r="L159">
            <v>21.1</v>
          </cell>
        </row>
        <row r="160">
          <cell r="A160">
            <v>45849</v>
          </cell>
          <cell r="F160">
            <v>401</v>
          </cell>
          <cell r="G160" t="str">
            <v>1200 CC S009A 91 OPAK SİYAH PALET STANDART</v>
          </cell>
          <cell r="J160">
            <v>1</v>
          </cell>
          <cell r="K160">
            <v>1</v>
          </cell>
          <cell r="L160">
            <v>10.57</v>
          </cell>
        </row>
        <row r="161">
          <cell r="A161">
            <v>45849</v>
          </cell>
          <cell r="F161">
            <v>301</v>
          </cell>
          <cell r="G161" t="str">
            <v>PR001 62 MM 8 GÖZ PREFORM 24 ŞEFFAF ŞEFFAF KOLI STANDART</v>
          </cell>
          <cell r="J161">
            <v>8</v>
          </cell>
          <cell r="K161">
            <v>5</v>
          </cell>
          <cell r="L161">
            <v>29</v>
          </cell>
        </row>
        <row r="162">
          <cell r="A162">
            <v>45849</v>
          </cell>
          <cell r="F162">
            <v>303</v>
          </cell>
          <cell r="G162" t="str">
            <v>PR014 110 MM 12 GÖZ TWIST OFF PREFORM 91 OPAK SİYAH KOLI STANDART</v>
          </cell>
          <cell r="J162">
            <v>12</v>
          </cell>
          <cell r="K162">
            <v>7</v>
          </cell>
          <cell r="L162">
            <v>38.6</v>
          </cell>
        </row>
        <row r="163">
          <cell r="A163">
            <v>45849</v>
          </cell>
          <cell r="F163">
            <v>175</v>
          </cell>
          <cell r="G163" t="str">
            <v>1000 CC D123 95 ŞEFFAF ŞEFFAF PLS. PLT STANDART</v>
          </cell>
          <cell r="J163">
            <v>3</v>
          </cell>
          <cell r="K163">
            <v>3</v>
          </cell>
          <cell r="L163">
            <v>18.059999999999999</v>
          </cell>
        </row>
        <row r="164">
          <cell r="A164">
            <v>45849</v>
          </cell>
          <cell r="F164">
            <v>504</v>
          </cell>
          <cell r="G164" t="str">
            <v>750 CC P114 55 ŞEFFAF ŞEFFAF PALET STANDART</v>
          </cell>
          <cell r="J164">
            <v>2</v>
          </cell>
          <cell r="K164">
            <v>2</v>
          </cell>
          <cell r="L164">
            <v>28</v>
          </cell>
        </row>
        <row r="165">
          <cell r="A165">
            <v>45852</v>
          </cell>
          <cell r="F165">
            <v>103</v>
          </cell>
          <cell r="G165" t="str">
            <v>700 CC SP009 40 ŞEFFAF SARI PLS. PLT STANDART</v>
          </cell>
          <cell r="J165">
            <v>5</v>
          </cell>
          <cell r="K165">
            <v>5</v>
          </cell>
          <cell r="L165">
            <v>15.08</v>
          </cell>
        </row>
        <row r="166">
          <cell r="A166">
            <v>45852</v>
          </cell>
          <cell r="F166">
            <v>104</v>
          </cell>
          <cell r="G166" t="str">
            <v>200 CC SP028 25 ŞEFFAF MOR PALET STANDART</v>
          </cell>
          <cell r="J166">
            <v>9</v>
          </cell>
          <cell r="K166">
            <v>9</v>
          </cell>
          <cell r="L166">
            <v>13.96</v>
          </cell>
        </row>
        <row r="167">
          <cell r="A167">
            <v>45852</v>
          </cell>
          <cell r="F167">
            <v>161</v>
          </cell>
          <cell r="G167" t="str">
            <v>1000 CC X233 45 ŞEFFAF ŞEFFAF PALET STANDART</v>
          </cell>
          <cell r="J167">
            <v>2</v>
          </cell>
          <cell r="K167">
            <v>2</v>
          </cell>
          <cell r="L167">
            <v>24</v>
          </cell>
        </row>
        <row r="168">
          <cell r="A168">
            <v>45852</v>
          </cell>
          <cell r="F168">
            <v>162</v>
          </cell>
          <cell r="G168" t="str">
            <v>739 CC X300 40 ŞEFFAF ŞEFFAF PALET STANDART</v>
          </cell>
          <cell r="J168">
            <v>2</v>
          </cell>
          <cell r="K168">
            <v>2</v>
          </cell>
          <cell r="L168">
            <v>21.3</v>
          </cell>
        </row>
        <row r="169">
          <cell r="A169">
            <v>45852</v>
          </cell>
          <cell r="F169">
            <v>163</v>
          </cell>
          <cell r="G169" t="str">
            <v>1000 CC X404 52 ŞEFFAF ŞEFFAF PALET STANDART</v>
          </cell>
          <cell r="J169">
            <v>2</v>
          </cell>
          <cell r="K169">
            <v>2</v>
          </cell>
          <cell r="L169">
            <v>24</v>
          </cell>
        </row>
        <row r="170">
          <cell r="A170">
            <v>45852</v>
          </cell>
          <cell r="F170">
            <v>164</v>
          </cell>
          <cell r="G170" t="str">
            <v>1000 CC X197 52 ŞEFFAF ŞEFFAF PALET STANDART</v>
          </cell>
          <cell r="J170">
            <v>2</v>
          </cell>
          <cell r="K170">
            <v>2</v>
          </cell>
          <cell r="L170">
            <v>22.67</v>
          </cell>
        </row>
        <row r="171">
          <cell r="A171">
            <v>45852</v>
          </cell>
          <cell r="F171">
            <v>171</v>
          </cell>
          <cell r="G171" t="str">
            <v>400 CC D010 35 OPAK SİYAH PALET STANDART</v>
          </cell>
          <cell r="J171">
            <v>4</v>
          </cell>
          <cell r="K171">
            <v>4</v>
          </cell>
          <cell r="L171">
            <v>14.98</v>
          </cell>
        </row>
        <row r="172">
          <cell r="A172">
            <v>45852</v>
          </cell>
          <cell r="F172">
            <v>172</v>
          </cell>
          <cell r="G172" t="str">
            <v>750 CC D108 45 OPAK BEYAZ SABLAJ PLS. PLT K.TAVA STANDART</v>
          </cell>
          <cell r="J172">
            <v>4</v>
          </cell>
          <cell r="K172">
            <v>4</v>
          </cell>
          <cell r="L172">
            <v>15.71</v>
          </cell>
        </row>
        <row r="173">
          <cell r="A173">
            <v>45852</v>
          </cell>
          <cell r="F173">
            <v>173</v>
          </cell>
          <cell r="G173" t="str">
            <v>500 CC D076 40 ŞEFFAF MAVİ PALET STANDART</v>
          </cell>
          <cell r="J173">
            <v>5</v>
          </cell>
          <cell r="K173">
            <v>5</v>
          </cell>
          <cell r="L173">
            <v>18.48</v>
          </cell>
        </row>
        <row r="174">
          <cell r="A174">
            <v>45852</v>
          </cell>
          <cell r="F174">
            <v>174</v>
          </cell>
          <cell r="G174" t="str">
            <v>450 CC D120 35 ŞEFFAF UV PLS. PLT K.TAVA CAKMA</v>
          </cell>
          <cell r="J174">
            <v>5</v>
          </cell>
          <cell r="K174">
            <v>5</v>
          </cell>
          <cell r="L174">
            <v>13.62</v>
          </cell>
        </row>
        <row r="175">
          <cell r="A175">
            <v>45852</v>
          </cell>
          <cell r="F175">
            <v>176</v>
          </cell>
          <cell r="G175" t="str">
            <v>1000 CC D107 52 OPAK BEYAZ PALET STANDART</v>
          </cell>
          <cell r="J175">
            <v>5</v>
          </cell>
          <cell r="K175">
            <v>5</v>
          </cell>
          <cell r="L175">
            <v>17.43</v>
          </cell>
        </row>
        <row r="176">
          <cell r="A176">
            <v>45852</v>
          </cell>
          <cell r="F176">
            <v>131</v>
          </cell>
          <cell r="G176" t="str">
            <v>250 CC Y251 25 ŞEFFAF ŞEFFAF PALET STANDART</v>
          </cell>
          <cell r="J176">
            <v>3</v>
          </cell>
          <cell r="K176">
            <v>2</v>
          </cell>
          <cell r="L176">
            <v>17.899999999999999</v>
          </cell>
        </row>
        <row r="177">
          <cell r="A177">
            <v>45852</v>
          </cell>
          <cell r="F177">
            <v>135</v>
          </cell>
          <cell r="G177" t="str">
            <v>100 CC Y256 16 OPAK BEYAZ KOLI STANDART</v>
          </cell>
          <cell r="J177">
            <v>3</v>
          </cell>
          <cell r="K177">
            <v>3</v>
          </cell>
          <cell r="L177">
            <v>15.28</v>
          </cell>
        </row>
        <row r="178">
          <cell r="A178">
            <v>45852</v>
          </cell>
          <cell r="F178">
            <v>205</v>
          </cell>
          <cell r="G178" t="str">
            <v>E128 28 MM 8 OPAK MAVİ KOLI CAKMA</v>
          </cell>
          <cell r="J178">
            <v>4</v>
          </cell>
          <cell r="K178">
            <v>3</v>
          </cell>
          <cell r="L178">
            <v>21.3</v>
          </cell>
        </row>
        <row r="179">
          <cell r="A179">
            <v>45852</v>
          </cell>
          <cell r="F179">
            <v>206</v>
          </cell>
          <cell r="G179" t="str">
            <v>E123 28 MM FLİPTOP 13 ŞEFFAF TURUNCU PLT.IC.KOLI STANDART</v>
          </cell>
          <cell r="J179">
            <v>12</v>
          </cell>
          <cell r="K179">
            <v>11</v>
          </cell>
          <cell r="L179">
            <v>24.7</v>
          </cell>
        </row>
        <row r="180">
          <cell r="A180">
            <v>45852</v>
          </cell>
          <cell r="F180">
            <v>208</v>
          </cell>
          <cell r="G180" t="str">
            <v>E034 100 MM KULPLU KİLİTLİ 30 OPAK SARI PLT.IC.KOLI STANDART</v>
          </cell>
          <cell r="J180">
            <v>2</v>
          </cell>
          <cell r="K180">
            <v>2</v>
          </cell>
          <cell r="L180">
            <v>35.86</v>
          </cell>
        </row>
        <row r="181">
          <cell r="A181">
            <v>45852</v>
          </cell>
          <cell r="F181">
            <v>209</v>
          </cell>
          <cell r="G181" t="str">
            <v>E023 24 MM KAPAK 8 OPAK SİYAH PLT.IC.KOLI STANDART</v>
          </cell>
          <cell r="J181">
            <v>8</v>
          </cell>
          <cell r="K181">
            <v>7</v>
          </cell>
          <cell r="L181">
            <v>29.4</v>
          </cell>
        </row>
        <row r="182">
          <cell r="A182">
            <v>45852</v>
          </cell>
          <cell r="F182">
            <v>210</v>
          </cell>
          <cell r="G182" t="str">
            <v>E031A 110 MM ETİKETLİ FOLYOLU 17 OPAK YEŞİL PLT.IC.KOLI STANDART</v>
          </cell>
          <cell r="J182">
            <v>4</v>
          </cell>
          <cell r="K182">
            <v>4</v>
          </cell>
          <cell r="L182">
            <v>21.1</v>
          </cell>
        </row>
        <row r="183">
          <cell r="A183">
            <v>45852</v>
          </cell>
          <cell r="F183">
            <v>401</v>
          </cell>
          <cell r="G183" t="str">
            <v>1200 CC S009A 91 OPAK SİYAH PALET STANDART</v>
          </cell>
          <cell r="J183">
            <v>1</v>
          </cell>
          <cell r="K183">
            <v>1</v>
          </cell>
          <cell r="L183">
            <v>10.62</v>
          </cell>
        </row>
        <row r="184">
          <cell r="A184">
            <v>45852</v>
          </cell>
          <cell r="F184">
            <v>301</v>
          </cell>
          <cell r="G184" t="str">
            <v>PR001 62 MM 8 GÖZ PREFORM 24 ŞEFFAF ŞEFFAF KOLI STANDART</v>
          </cell>
          <cell r="J184">
            <v>8</v>
          </cell>
          <cell r="K184">
            <v>5</v>
          </cell>
          <cell r="L184">
            <v>29.8</v>
          </cell>
        </row>
        <row r="185">
          <cell r="A185">
            <v>45852</v>
          </cell>
          <cell r="F185">
            <v>175</v>
          </cell>
          <cell r="G185" t="str">
            <v>1000 CC D123 95 ŞEFFAF ŞEFFAF PLS. PLT STANDART</v>
          </cell>
          <cell r="J185">
            <v>3</v>
          </cell>
          <cell r="K185">
            <v>3</v>
          </cell>
          <cell r="L185">
            <v>18.059999999999999</v>
          </cell>
        </row>
        <row r="186">
          <cell r="A186">
            <v>45852</v>
          </cell>
          <cell r="F186">
            <v>504</v>
          </cell>
          <cell r="G186" t="str">
            <v>750 CC P114 55 ŞEFFAF ŞEFFAF PALET STANDART</v>
          </cell>
          <cell r="J186">
            <v>2</v>
          </cell>
          <cell r="K186">
            <v>2</v>
          </cell>
          <cell r="L186">
            <v>28.1</v>
          </cell>
        </row>
        <row r="187">
          <cell r="A187">
            <v>45853</v>
          </cell>
          <cell r="F187">
            <v>103</v>
          </cell>
          <cell r="G187" t="str">
            <v>700 CC SP009 40 ŞEFFAF SARI PLS. PLT STANDART</v>
          </cell>
          <cell r="J187">
            <v>5</v>
          </cell>
          <cell r="K187">
            <v>5</v>
          </cell>
          <cell r="L187">
            <v>15.08</v>
          </cell>
        </row>
        <row r="188">
          <cell r="A188">
            <v>45853</v>
          </cell>
          <cell r="F188">
            <v>104</v>
          </cell>
          <cell r="G188" t="str">
            <v>200 CC SP028 25 ŞEFFAF ŞEFFAF PALET STANDART</v>
          </cell>
          <cell r="J188">
            <v>9</v>
          </cell>
          <cell r="K188">
            <v>9</v>
          </cell>
          <cell r="L188">
            <v>13.22</v>
          </cell>
        </row>
        <row r="189">
          <cell r="A189">
            <v>45853</v>
          </cell>
          <cell r="F189">
            <v>162</v>
          </cell>
          <cell r="G189" t="str">
            <v>739 CC X300 40 ŞEFFAF ŞEFFAF PALET STANDART</v>
          </cell>
          <cell r="J189">
            <v>2</v>
          </cell>
          <cell r="K189">
            <v>2</v>
          </cell>
          <cell r="L189">
            <v>21.3</v>
          </cell>
        </row>
        <row r="190">
          <cell r="A190">
            <v>45853</v>
          </cell>
          <cell r="F190">
            <v>163</v>
          </cell>
          <cell r="G190" t="str">
            <v>1000 CC X404 52 ŞEFFAF ŞEFFAF PALET STANDART</v>
          </cell>
          <cell r="J190">
            <v>2</v>
          </cell>
          <cell r="K190">
            <v>2</v>
          </cell>
          <cell r="L190">
            <v>24</v>
          </cell>
        </row>
        <row r="191">
          <cell r="A191">
            <v>45853</v>
          </cell>
          <cell r="F191">
            <v>164</v>
          </cell>
          <cell r="G191" t="str">
            <v>1000 CC X197 52 ŞEFFAF ŞEFFAF PALET STANDART</v>
          </cell>
          <cell r="J191">
            <v>2</v>
          </cell>
          <cell r="K191">
            <v>2</v>
          </cell>
          <cell r="L191">
            <v>22.52</v>
          </cell>
        </row>
        <row r="192">
          <cell r="A192">
            <v>45853</v>
          </cell>
          <cell r="F192">
            <v>402</v>
          </cell>
          <cell r="G192" t="str">
            <v>1200 CC S051 74 OPAK BEYAZ PALET STANDART</v>
          </cell>
          <cell r="J192">
            <v>2</v>
          </cell>
          <cell r="K192">
            <v>2</v>
          </cell>
          <cell r="L192">
            <v>11.2</v>
          </cell>
        </row>
        <row r="193">
          <cell r="A193">
            <v>45853</v>
          </cell>
          <cell r="F193">
            <v>404</v>
          </cell>
          <cell r="G193" t="str">
            <v>300 CC S053 24 ŞEFFAF ŞEFFAF PLS. PLT STANDART</v>
          </cell>
          <cell r="J193">
            <v>2</v>
          </cell>
          <cell r="K193">
            <v>2</v>
          </cell>
          <cell r="L193">
            <v>8.9</v>
          </cell>
        </row>
        <row r="194">
          <cell r="A194">
            <v>45853</v>
          </cell>
          <cell r="F194">
            <v>171</v>
          </cell>
          <cell r="G194" t="str">
            <v>400 CC D010 35 OPAK SİYAH PALET STANDART</v>
          </cell>
          <cell r="J194">
            <v>4</v>
          </cell>
          <cell r="K194">
            <v>4</v>
          </cell>
          <cell r="L194">
            <v>15.84</v>
          </cell>
        </row>
        <row r="195">
          <cell r="A195">
            <v>45853</v>
          </cell>
          <cell r="F195">
            <v>172</v>
          </cell>
          <cell r="G195" t="str">
            <v>750 CC D108 45 OPAK BEYAZ SABLAJ PLS. PLT K.TAVA STANDART</v>
          </cell>
          <cell r="J195">
            <v>4</v>
          </cell>
          <cell r="K195">
            <v>4</v>
          </cell>
          <cell r="L195">
            <v>15.53</v>
          </cell>
        </row>
        <row r="196">
          <cell r="A196">
            <v>45853</v>
          </cell>
          <cell r="F196">
            <v>173</v>
          </cell>
          <cell r="G196" t="str">
            <v>500 CC D076 40 ŞEFFAF MAVİ PALET STANDART</v>
          </cell>
          <cell r="J196">
            <v>5</v>
          </cell>
          <cell r="K196">
            <v>5</v>
          </cell>
          <cell r="L196">
            <v>18.649999999999999</v>
          </cell>
        </row>
        <row r="197">
          <cell r="A197">
            <v>45853</v>
          </cell>
          <cell r="F197">
            <v>174</v>
          </cell>
          <cell r="G197" t="str">
            <v>450 CC D120 35 ŞEFFAF UV PLS. PLT K.TAVA CAKMA</v>
          </cell>
          <cell r="J197">
            <v>5</v>
          </cell>
          <cell r="K197">
            <v>5</v>
          </cell>
          <cell r="L197">
            <v>13.62</v>
          </cell>
        </row>
        <row r="198">
          <cell r="A198">
            <v>45853</v>
          </cell>
          <cell r="F198">
            <v>176</v>
          </cell>
          <cell r="G198" t="str">
            <v>1000 CC D107 52 OPAK BEYAZ PALET STANDART</v>
          </cell>
          <cell r="J198">
            <v>5</v>
          </cell>
          <cell r="K198">
            <v>5</v>
          </cell>
          <cell r="L198">
            <v>17.43</v>
          </cell>
        </row>
        <row r="199">
          <cell r="A199">
            <v>45853</v>
          </cell>
          <cell r="F199">
            <v>131</v>
          </cell>
          <cell r="G199" t="str">
            <v>250 CC Y251 25 ŞEFFAF ŞEFFAF PALET STANDART</v>
          </cell>
          <cell r="J199">
            <v>3</v>
          </cell>
          <cell r="K199">
            <v>2</v>
          </cell>
          <cell r="L199">
            <v>17.86</v>
          </cell>
        </row>
        <row r="200">
          <cell r="A200">
            <v>45853</v>
          </cell>
          <cell r="F200">
            <v>133</v>
          </cell>
          <cell r="G200" t="str">
            <v>80 CC Y330 19 ŞEFFAF TURUNCU PLT.IC.KOLI STANDART</v>
          </cell>
          <cell r="J200">
            <v>4</v>
          </cell>
          <cell r="K200">
            <v>4</v>
          </cell>
          <cell r="L200">
            <v>16.32</v>
          </cell>
        </row>
        <row r="201">
          <cell r="A201">
            <v>45853</v>
          </cell>
          <cell r="F201">
            <v>205</v>
          </cell>
          <cell r="G201" t="str">
            <v>E128 28 MM 8 OPAK MAVİ KOLI CAKMA</v>
          </cell>
          <cell r="J201">
            <v>4</v>
          </cell>
          <cell r="K201">
            <v>3</v>
          </cell>
          <cell r="L201">
            <v>21.3</v>
          </cell>
        </row>
        <row r="202">
          <cell r="A202">
            <v>45853</v>
          </cell>
          <cell r="F202">
            <v>206</v>
          </cell>
          <cell r="G202" t="str">
            <v>E123 28 MM FLİPTOP 13 ŞEFFAF YEŞİL PLT.IC.KOLI STANDART</v>
          </cell>
          <cell r="J202">
            <v>12</v>
          </cell>
          <cell r="K202">
            <v>11</v>
          </cell>
          <cell r="L202">
            <v>26.9</v>
          </cell>
        </row>
        <row r="203">
          <cell r="A203">
            <v>45853</v>
          </cell>
          <cell r="F203">
            <v>208</v>
          </cell>
          <cell r="G203" t="str">
            <v>E016 20 MM DAMLALIK 2 OPAK BEYAZ PLT.IC.KOLI STANDART</v>
          </cell>
          <cell r="J203">
            <v>16</v>
          </cell>
          <cell r="K203">
            <v>9</v>
          </cell>
          <cell r="L203">
            <v>26.26</v>
          </cell>
        </row>
        <row r="204">
          <cell r="A204">
            <v>45853</v>
          </cell>
          <cell r="F204">
            <v>210</v>
          </cell>
          <cell r="G204" t="str">
            <v>E031A 110 MM ETİKETLİ FOLYOLU 17 OPAK MAVİ PLT.IC.KOLI STANDART</v>
          </cell>
          <cell r="J204">
            <v>4</v>
          </cell>
          <cell r="K204">
            <v>4</v>
          </cell>
          <cell r="L204">
            <v>22.2</v>
          </cell>
        </row>
        <row r="205">
          <cell r="A205">
            <v>45853</v>
          </cell>
          <cell r="F205">
            <v>301</v>
          </cell>
          <cell r="G205" t="str">
            <v>PR001 62 MM 8 GÖZ PREFORM 24 ŞEFFAF ŞEFFAF KOLI STANDART</v>
          </cell>
          <cell r="J205">
            <v>8</v>
          </cell>
          <cell r="K205">
            <v>5</v>
          </cell>
          <cell r="L205">
            <v>29.9</v>
          </cell>
        </row>
        <row r="206">
          <cell r="A206">
            <v>45853</v>
          </cell>
          <cell r="F206">
            <v>302</v>
          </cell>
          <cell r="G206" t="str">
            <v>PR017 38 MM 12 GÖZ YİVLİ PREFORM  73 OPAK BEYAZ KOLI STANDART</v>
          </cell>
          <cell r="J206">
            <v>12</v>
          </cell>
          <cell r="K206">
            <v>9</v>
          </cell>
          <cell r="L206">
            <v>60.9</v>
          </cell>
        </row>
        <row r="207">
          <cell r="A207">
            <v>45853</v>
          </cell>
          <cell r="F207">
            <v>175</v>
          </cell>
          <cell r="G207" t="str">
            <v>1000 CC D123 95 ŞEFFAF ŞEFFAF PLS. PLT STANDART</v>
          </cell>
          <cell r="J207">
            <v>3</v>
          </cell>
          <cell r="K207">
            <v>3</v>
          </cell>
          <cell r="L207">
            <v>18.010000000000002</v>
          </cell>
        </row>
        <row r="208">
          <cell r="A208">
            <v>45853</v>
          </cell>
          <cell r="F208">
            <v>504</v>
          </cell>
          <cell r="G208" t="str">
            <v>750 CC P114 55 ŞEFFAF ŞEFFAF PALET STANDART</v>
          </cell>
          <cell r="J208">
            <v>2</v>
          </cell>
          <cell r="K208">
            <v>2</v>
          </cell>
          <cell r="L208">
            <v>28</v>
          </cell>
        </row>
        <row r="209">
          <cell r="A209">
            <v>45854</v>
          </cell>
          <cell r="F209">
            <v>103</v>
          </cell>
          <cell r="G209" t="str">
            <v>700 CC SP009 40 ŞEFFAF SARI PLS. PLT STANDART</v>
          </cell>
          <cell r="J209">
            <v>5</v>
          </cell>
          <cell r="K209">
            <v>5</v>
          </cell>
          <cell r="L209">
            <v>15.08</v>
          </cell>
        </row>
        <row r="210">
          <cell r="A210">
            <v>45854</v>
          </cell>
          <cell r="F210">
            <v>104</v>
          </cell>
          <cell r="G210" t="str">
            <v>200 CC SP028 25 ŞEFFAF ŞEFFAF PALET STANDART</v>
          </cell>
          <cell r="J210">
            <v>9</v>
          </cell>
          <cell r="K210">
            <v>9</v>
          </cell>
          <cell r="L210">
            <v>12.24</v>
          </cell>
        </row>
        <row r="211">
          <cell r="A211">
            <v>45854</v>
          </cell>
          <cell r="F211">
            <v>161</v>
          </cell>
          <cell r="G211" t="str">
            <v>1000 CC X233 45 ŞEFFAF ŞEFFAF PALET STANDART</v>
          </cell>
          <cell r="J211">
            <v>2</v>
          </cell>
          <cell r="K211">
            <v>2</v>
          </cell>
          <cell r="L211">
            <v>24.01</v>
          </cell>
        </row>
        <row r="212">
          <cell r="A212">
            <v>45854</v>
          </cell>
          <cell r="F212">
            <v>163</v>
          </cell>
          <cell r="G212" t="str">
            <v>1000 CC X404 52 ŞEFFAF ŞEFFAF PALET STANDART</v>
          </cell>
          <cell r="J212">
            <v>2</v>
          </cell>
          <cell r="K212">
            <v>2</v>
          </cell>
          <cell r="L212">
            <v>24</v>
          </cell>
        </row>
        <row r="213">
          <cell r="A213">
            <v>45854</v>
          </cell>
          <cell r="F213">
            <v>402</v>
          </cell>
          <cell r="G213" t="str">
            <v>1200 CC S051 74 OPAK BEYAZ PALET STANDART</v>
          </cell>
          <cell r="J213">
            <v>2</v>
          </cell>
          <cell r="K213">
            <v>2</v>
          </cell>
          <cell r="L213">
            <v>11.2</v>
          </cell>
        </row>
        <row r="214">
          <cell r="A214">
            <v>45854</v>
          </cell>
          <cell r="F214">
            <v>404</v>
          </cell>
          <cell r="G214" t="str">
            <v>300 CC S053 24 ŞEFFAF ŞEFFAF PLS. PLT STANDART</v>
          </cell>
          <cell r="J214">
            <v>2</v>
          </cell>
          <cell r="K214">
            <v>2</v>
          </cell>
          <cell r="L214">
            <v>8.8000000000000007</v>
          </cell>
        </row>
        <row r="215">
          <cell r="A215">
            <v>45854</v>
          </cell>
          <cell r="F215">
            <v>405</v>
          </cell>
          <cell r="G215" t="str">
            <v>1000 CC S013 43 ŞEFFAF ŞEFFAF PLS. PLT STANDART</v>
          </cell>
          <cell r="J215">
            <v>2</v>
          </cell>
          <cell r="K215">
            <v>2</v>
          </cell>
          <cell r="L215">
            <v>8.5</v>
          </cell>
        </row>
        <row r="216">
          <cell r="A216">
            <v>45854</v>
          </cell>
          <cell r="F216">
            <v>173</v>
          </cell>
          <cell r="G216" t="str">
            <v>950 CC D059 40 OPAK BEYAZ PALET STANDART</v>
          </cell>
          <cell r="J216">
            <v>5</v>
          </cell>
          <cell r="K216">
            <v>5</v>
          </cell>
          <cell r="L216">
            <v>15.21</v>
          </cell>
        </row>
        <row r="217">
          <cell r="A217">
            <v>45854</v>
          </cell>
          <cell r="F217">
            <v>174</v>
          </cell>
          <cell r="G217" t="str">
            <v>450 CC D120 35 ŞEFFAF UV PLS. PLT K.TAVA CAKMA</v>
          </cell>
          <cell r="J217">
            <v>5</v>
          </cell>
          <cell r="K217">
            <v>5</v>
          </cell>
          <cell r="L217">
            <v>13.64</v>
          </cell>
        </row>
        <row r="218">
          <cell r="A218">
            <v>45854</v>
          </cell>
          <cell r="F218">
            <v>176</v>
          </cell>
          <cell r="G218" t="str">
            <v>1000 CC D107 52 OPAK BEYAZ PALET STANDART</v>
          </cell>
          <cell r="J218">
            <v>5</v>
          </cell>
          <cell r="K218">
            <v>5</v>
          </cell>
          <cell r="L218">
            <v>17.149999999999999</v>
          </cell>
        </row>
        <row r="219">
          <cell r="A219">
            <v>45854</v>
          </cell>
          <cell r="F219">
            <v>177</v>
          </cell>
          <cell r="G219" t="str">
            <v>350 CC D026 45 OPAK SİYAH PALET STANDART</v>
          </cell>
          <cell r="J219">
            <v>3</v>
          </cell>
          <cell r="K219">
            <v>3</v>
          </cell>
          <cell r="L219">
            <v>13.57</v>
          </cell>
        </row>
        <row r="220">
          <cell r="A220">
            <v>45854</v>
          </cell>
          <cell r="F220">
            <v>131</v>
          </cell>
          <cell r="G220" t="str">
            <v>250 CC Y251 25 ŞEFFAF ŞEFFAF PALET STANDART</v>
          </cell>
          <cell r="J220">
            <v>3</v>
          </cell>
          <cell r="K220">
            <v>2</v>
          </cell>
          <cell r="L220">
            <v>17.88</v>
          </cell>
        </row>
        <row r="221">
          <cell r="A221">
            <v>45854</v>
          </cell>
          <cell r="F221">
            <v>206</v>
          </cell>
          <cell r="G221" t="str">
            <v>E123 28 MM FLİPTOP 13 ŞEFFAF YEŞİL PLT.IC.KOLI STANDART</v>
          </cell>
          <cell r="J221">
            <v>12</v>
          </cell>
          <cell r="K221">
            <v>11</v>
          </cell>
          <cell r="L221">
            <v>26.8</v>
          </cell>
        </row>
        <row r="222">
          <cell r="A222">
            <v>45854</v>
          </cell>
          <cell r="F222">
            <v>207</v>
          </cell>
          <cell r="G222" t="str">
            <v>E121 28 MM KAPAK 10 OPAK KIRMIZI KOLI STANDART</v>
          </cell>
          <cell r="J222">
            <v>12</v>
          </cell>
          <cell r="K222">
            <v>9</v>
          </cell>
          <cell r="L222">
            <v>34.630000000000003</v>
          </cell>
        </row>
        <row r="223">
          <cell r="A223">
            <v>45854</v>
          </cell>
          <cell r="F223">
            <v>208</v>
          </cell>
          <cell r="G223" t="str">
            <v>E016 20 MM DAMLALIK 2 OPAK BEYAZ PLT.IC.KOLI STANDART</v>
          </cell>
          <cell r="J223">
            <v>16</v>
          </cell>
          <cell r="K223">
            <v>9</v>
          </cell>
          <cell r="L223">
            <v>25.38</v>
          </cell>
        </row>
        <row r="224">
          <cell r="A224">
            <v>45854</v>
          </cell>
          <cell r="F224">
            <v>209</v>
          </cell>
          <cell r="G224" t="str">
            <v>E023 24 MM KAPAK 8 OPAK SİYAH PLT.IC.KOLI STANDART</v>
          </cell>
          <cell r="J224">
            <v>8</v>
          </cell>
          <cell r="K224">
            <v>7</v>
          </cell>
          <cell r="L224">
            <v>29.5</v>
          </cell>
        </row>
        <row r="225">
          <cell r="A225">
            <v>45854</v>
          </cell>
          <cell r="F225">
            <v>210</v>
          </cell>
          <cell r="G225" t="str">
            <v>E031A 110 MM ETİKETLİ FOLYOLU 17 OPAK MAVİ PLT.IC.KOLI STANDART</v>
          </cell>
          <cell r="J225">
            <v>4</v>
          </cell>
          <cell r="K225">
            <v>4</v>
          </cell>
          <cell r="L225">
            <v>22.2</v>
          </cell>
        </row>
        <row r="226">
          <cell r="A226">
            <v>45854</v>
          </cell>
          <cell r="F226">
            <v>401</v>
          </cell>
          <cell r="G226" t="str">
            <v>1200 CC S009A 91 OPAK SİYAH PALET STANDART</v>
          </cell>
          <cell r="J226">
            <v>1</v>
          </cell>
          <cell r="K226">
            <v>1</v>
          </cell>
          <cell r="L226">
            <v>10.77</v>
          </cell>
        </row>
        <row r="227">
          <cell r="A227">
            <v>45854</v>
          </cell>
          <cell r="F227">
            <v>301</v>
          </cell>
          <cell r="G227" t="str">
            <v>PR001 62 MM 8 GÖZ PREFORM 24 ŞEFFAF ŞEFFAF KOLI STANDART</v>
          </cell>
          <cell r="J227">
            <v>8</v>
          </cell>
          <cell r="K227">
            <v>5</v>
          </cell>
          <cell r="L227">
            <v>29.9</v>
          </cell>
        </row>
        <row r="228">
          <cell r="A228">
            <v>45854</v>
          </cell>
          <cell r="F228">
            <v>302</v>
          </cell>
          <cell r="G228" t="str">
            <v>PR017 38 MM 12 GÖZ YİVLİ PREFORM  73 OPAK BEYAZ KOLI STANDART</v>
          </cell>
          <cell r="J228">
            <v>12</v>
          </cell>
          <cell r="K228">
            <v>9</v>
          </cell>
          <cell r="L228">
            <v>60.92</v>
          </cell>
        </row>
        <row r="229">
          <cell r="A229">
            <v>45854</v>
          </cell>
          <cell r="F229">
            <v>175</v>
          </cell>
          <cell r="G229" t="str">
            <v>1000 CC D123 95 ŞEFFAF ŞEFFAF PLS. PLT STANDART</v>
          </cell>
          <cell r="J229">
            <v>3</v>
          </cell>
          <cell r="K229">
            <v>3</v>
          </cell>
          <cell r="L229">
            <v>18.07</v>
          </cell>
        </row>
        <row r="230">
          <cell r="A230">
            <v>45854</v>
          </cell>
          <cell r="F230">
            <v>204</v>
          </cell>
          <cell r="G230" t="str">
            <v>E125 62 MM BAHARAT FLİPTOP 12 OPAK GOLD KOLI STANDART</v>
          </cell>
          <cell r="J230">
            <v>4</v>
          </cell>
          <cell r="K230">
            <v>3</v>
          </cell>
          <cell r="L230">
            <v>20.9</v>
          </cell>
        </row>
        <row r="231">
          <cell r="A231">
            <v>45855</v>
          </cell>
          <cell r="F231">
            <v>103</v>
          </cell>
          <cell r="G231" t="str">
            <v>700 CC SP009 40 ŞEFFAF SARI PLS. PLT STANDART</v>
          </cell>
          <cell r="J231">
            <v>5</v>
          </cell>
          <cell r="K231">
            <v>5</v>
          </cell>
          <cell r="L231">
            <v>15.04</v>
          </cell>
        </row>
        <row r="232">
          <cell r="A232">
            <v>45855</v>
          </cell>
          <cell r="F232">
            <v>104</v>
          </cell>
          <cell r="G232" t="str">
            <v>200 CC SP028 25 ŞEFFAF ŞEFFAF PALET STANDART</v>
          </cell>
          <cell r="J232">
            <v>9</v>
          </cell>
          <cell r="K232">
            <v>9</v>
          </cell>
          <cell r="L232">
            <v>14.51</v>
          </cell>
        </row>
        <row r="233">
          <cell r="A233">
            <v>45855</v>
          </cell>
          <cell r="F233">
            <v>161</v>
          </cell>
          <cell r="G233" t="str">
            <v>1000 CC X233 45 ŞEFFAF ŞEFFAF PALET STANDART</v>
          </cell>
          <cell r="J233">
            <v>2</v>
          </cell>
          <cell r="K233">
            <v>2</v>
          </cell>
          <cell r="L233">
            <v>24.01</v>
          </cell>
        </row>
        <row r="234">
          <cell r="A234">
            <v>45855</v>
          </cell>
          <cell r="F234">
            <v>162</v>
          </cell>
          <cell r="G234" t="str">
            <v>500 CC X305 35 ŞEFFAF ŞEFFAF PALET STANDART</v>
          </cell>
          <cell r="J234">
            <v>2</v>
          </cell>
          <cell r="K234">
            <v>2</v>
          </cell>
          <cell r="L234">
            <v>21</v>
          </cell>
        </row>
        <row r="235">
          <cell r="A235">
            <v>45855</v>
          </cell>
          <cell r="F235">
            <v>163</v>
          </cell>
          <cell r="G235" t="str">
            <v>1000 CC X404 52 ŞEFFAF ŞEFFAF PALET STANDART</v>
          </cell>
          <cell r="J235">
            <v>2</v>
          </cell>
          <cell r="K235">
            <v>2</v>
          </cell>
          <cell r="L235">
            <v>24</v>
          </cell>
        </row>
        <row r="236">
          <cell r="A236">
            <v>45855</v>
          </cell>
          <cell r="F236">
            <v>164</v>
          </cell>
          <cell r="G236" t="str">
            <v>1000 CC X380 52 OPAK BEYAZ PALET STANDART</v>
          </cell>
          <cell r="J236">
            <v>2</v>
          </cell>
          <cell r="K236">
            <v>2</v>
          </cell>
          <cell r="L236">
            <v>22.49</v>
          </cell>
        </row>
        <row r="237">
          <cell r="A237">
            <v>45855</v>
          </cell>
          <cell r="F237">
            <v>181</v>
          </cell>
          <cell r="G237" t="str">
            <v>1000 CC Z102 27 ŞEFFAF YEŞİL PALET CAKMA</v>
          </cell>
          <cell r="J237">
            <v>4</v>
          </cell>
          <cell r="K237">
            <v>4</v>
          </cell>
          <cell r="L237">
            <v>14</v>
          </cell>
        </row>
        <row r="238">
          <cell r="A238">
            <v>45855</v>
          </cell>
          <cell r="F238">
            <v>182</v>
          </cell>
          <cell r="G238" t="str">
            <v>400 CC Z100 28 ŞEFFAF ŞEFFAF PALET STANDART</v>
          </cell>
          <cell r="J238">
            <v>4</v>
          </cell>
          <cell r="K238">
            <v>4</v>
          </cell>
          <cell r="L238">
            <v>14</v>
          </cell>
        </row>
        <row r="239">
          <cell r="A239">
            <v>45855</v>
          </cell>
          <cell r="F239">
            <v>172</v>
          </cell>
          <cell r="G239" t="str">
            <v>1000 CC D125 52 ŞEFFAF ŞEFFAF PALET STANDART</v>
          </cell>
          <cell r="J239">
            <v>4</v>
          </cell>
          <cell r="K239">
            <v>4</v>
          </cell>
          <cell r="L239">
            <v>17.75</v>
          </cell>
        </row>
        <row r="240">
          <cell r="A240">
            <v>45855</v>
          </cell>
          <cell r="F240">
            <v>173</v>
          </cell>
          <cell r="G240" t="str">
            <v>950 CC D059 40 OPAK BEYAZ PALET STANDART</v>
          </cell>
          <cell r="J240">
            <v>5</v>
          </cell>
          <cell r="K240">
            <v>5</v>
          </cell>
          <cell r="L240">
            <v>15.19</v>
          </cell>
        </row>
        <row r="241">
          <cell r="A241">
            <v>45855</v>
          </cell>
          <cell r="F241">
            <v>174</v>
          </cell>
          <cell r="G241" t="str">
            <v>500 CC D105 35 ŞEFFAF ŞEFFAF PALET STANDART</v>
          </cell>
          <cell r="J241">
            <v>5</v>
          </cell>
          <cell r="K241">
            <v>5</v>
          </cell>
          <cell r="L241">
            <v>13.65</v>
          </cell>
        </row>
        <row r="242">
          <cell r="A242">
            <v>45855</v>
          </cell>
          <cell r="F242">
            <v>175</v>
          </cell>
          <cell r="G242" t="str">
            <v>1000 CC D123 95 ŞEFFAF ŞEFFAF PLS. PLT STANDART</v>
          </cell>
          <cell r="J242">
            <v>3</v>
          </cell>
          <cell r="K242">
            <v>3</v>
          </cell>
          <cell r="L242">
            <v>17.989999999999998</v>
          </cell>
        </row>
        <row r="243">
          <cell r="A243">
            <v>45855</v>
          </cell>
          <cell r="F243">
            <v>176</v>
          </cell>
          <cell r="G243" t="str">
            <v>1000 CC D107 52 OPAK BEYAZ PALET STANDART</v>
          </cell>
          <cell r="J243">
            <v>5</v>
          </cell>
          <cell r="K243">
            <v>5</v>
          </cell>
          <cell r="L243">
            <v>17.57</v>
          </cell>
        </row>
        <row r="244">
          <cell r="A244">
            <v>45855</v>
          </cell>
          <cell r="F244">
            <v>177</v>
          </cell>
          <cell r="G244" t="str">
            <v>350 CC D026 45 OPAK SİYAH PALET STANDART</v>
          </cell>
          <cell r="J244">
            <v>3</v>
          </cell>
          <cell r="K244">
            <v>3</v>
          </cell>
          <cell r="L244">
            <v>13.54</v>
          </cell>
        </row>
        <row r="245">
          <cell r="A245">
            <v>45855</v>
          </cell>
          <cell r="F245">
            <v>131</v>
          </cell>
          <cell r="G245" t="str">
            <v>250 CC Y251 25 ŞEFFAF ŞEFFAF PALET STANDART</v>
          </cell>
          <cell r="J245">
            <v>3</v>
          </cell>
          <cell r="K245">
            <v>2</v>
          </cell>
          <cell r="L245">
            <v>17.89</v>
          </cell>
        </row>
        <row r="246">
          <cell r="A246">
            <v>45855</v>
          </cell>
          <cell r="F246">
            <v>132</v>
          </cell>
          <cell r="G246" t="str">
            <v>160 CC Y286 29 ŞEFFAF SARI PALET STANDART</v>
          </cell>
          <cell r="J246">
            <v>3</v>
          </cell>
          <cell r="K246">
            <v>3</v>
          </cell>
          <cell r="L246">
            <v>20.49</v>
          </cell>
        </row>
        <row r="247">
          <cell r="A247">
            <v>45855</v>
          </cell>
          <cell r="F247">
            <v>206</v>
          </cell>
          <cell r="G247" t="str">
            <v>E123 28 MM FLİPTOP 13 ŞEFFAF YEŞİL PLT.IC.KOLI STANDART</v>
          </cell>
          <cell r="J247">
            <v>12</v>
          </cell>
          <cell r="K247">
            <v>11</v>
          </cell>
          <cell r="L247">
            <v>27</v>
          </cell>
        </row>
        <row r="248">
          <cell r="A248">
            <v>45855</v>
          </cell>
          <cell r="F248">
            <v>207</v>
          </cell>
          <cell r="G248" t="str">
            <v>E121A 28MM TRIMSIZ KAPAK 10 OPAK KIRMIZI KOLI STANDART</v>
          </cell>
          <cell r="J248">
            <v>12</v>
          </cell>
          <cell r="K248">
            <v>9</v>
          </cell>
          <cell r="L248">
            <v>30.7</v>
          </cell>
        </row>
        <row r="249">
          <cell r="A249">
            <v>45855</v>
          </cell>
          <cell r="F249">
            <v>208</v>
          </cell>
          <cell r="G249" t="str">
            <v>E016 20 MM DAMLALIK 2 OPAK BEYAZ PLT.IC.KOLI STANDART</v>
          </cell>
          <cell r="J249">
            <v>16</v>
          </cell>
          <cell r="K249">
            <v>10</v>
          </cell>
          <cell r="L249">
            <v>21.6</v>
          </cell>
        </row>
        <row r="250">
          <cell r="A250">
            <v>45855</v>
          </cell>
          <cell r="F250">
            <v>401</v>
          </cell>
          <cell r="G250" t="str">
            <v>1200 CC S009A 91 OPAK SİYAH PALET STANDART</v>
          </cell>
          <cell r="J250">
            <v>1</v>
          </cell>
          <cell r="K250">
            <v>1</v>
          </cell>
          <cell r="L250">
            <v>10.72</v>
          </cell>
        </row>
        <row r="251">
          <cell r="A251">
            <v>45855</v>
          </cell>
          <cell r="F251">
            <v>404</v>
          </cell>
          <cell r="G251" t="str">
            <v>310 CC S032 24 ŞEFFAF ŞEFFAF YÜKSEK PLT K.TAVA STANDART</v>
          </cell>
          <cell r="J251">
            <v>2</v>
          </cell>
          <cell r="K251">
            <v>2</v>
          </cell>
          <cell r="L251">
            <v>8.8000000000000007</v>
          </cell>
        </row>
        <row r="252">
          <cell r="A252">
            <v>45855</v>
          </cell>
          <cell r="F252">
            <v>301</v>
          </cell>
          <cell r="G252" t="str">
            <v>PR001 62 MM 8 GÖZ PREFORM 24 ŞEFFAF ŞEFFAF KOLI STANDART</v>
          </cell>
          <cell r="J252">
            <v>8</v>
          </cell>
          <cell r="K252">
            <v>5</v>
          </cell>
          <cell r="L252">
            <v>29.9</v>
          </cell>
        </row>
        <row r="253">
          <cell r="A253">
            <v>45855</v>
          </cell>
          <cell r="F253">
            <v>302</v>
          </cell>
          <cell r="G253" t="str">
            <v>PR017 38 MM 12 GÖZ YİVLİ PREFORM  73 OPAK BEYAZ KOLI STANDART</v>
          </cell>
          <cell r="J253">
            <v>12</v>
          </cell>
          <cell r="K253">
            <v>9</v>
          </cell>
          <cell r="L253">
            <v>58.49</v>
          </cell>
        </row>
        <row r="254">
          <cell r="A254">
            <v>45855</v>
          </cell>
          <cell r="F254">
            <v>303</v>
          </cell>
          <cell r="G254" t="str">
            <v>PR014 110 MM 12 GÖZ TWIST OFF PREFORM 91 OPAK SİYAH KOLI STANDART</v>
          </cell>
          <cell r="J254">
            <v>12</v>
          </cell>
          <cell r="K254">
            <v>6</v>
          </cell>
          <cell r="L254">
            <v>35.5</v>
          </cell>
        </row>
        <row r="255">
          <cell r="A255">
            <v>45856</v>
          </cell>
          <cell r="F255">
            <v>103</v>
          </cell>
          <cell r="G255" t="str">
            <v>700 CC SP009 40 ŞEFFAF SARI PLS. PLT STANDART</v>
          </cell>
          <cell r="J255">
            <v>5</v>
          </cell>
          <cell r="K255">
            <v>5</v>
          </cell>
          <cell r="L255">
            <v>15.1</v>
          </cell>
        </row>
        <row r="256">
          <cell r="A256">
            <v>45856</v>
          </cell>
          <cell r="F256">
            <v>161</v>
          </cell>
          <cell r="G256" t="str">
            <v>1000 CC X233 45 ŞEFFAF ŞEFFAF PALET STANDART</v>
          </cell>
          <cell r="J256">
            <v>2</v>
          </cell>
          <cell r="K256">
            <v>2</v>
          </cell>
          <cell r="L256">
            <v>24.01</v>
          </cell>
        </row>
        <row r="257">
          <cell r="A257">
            <v>45856</v>
          </cell>
          <cell r="F257">
            <v>162</v>
          </cell>
          <cell r="G257" t="str">
            <v>500 CC X305 35 ŞEFFAF ŞEFFAF PALET STANDART</v>
          </cell>
          <cell r="J257">
            <v>2</v>
          </cell>
          <cell r="K257">
            <v>2</v>
          </cell>
          <cell r="L257">
            <v>21</v>
          </cell>
        </row>
        <row r="258">
          <cell r="A258">
            <v>45856</v>
          </cell>
          <cell r="F258">
            <v>163</v>
          </cell>
          <cell r="G258" t="str">
            <v>1000 CC X404 52 ŞEFFAF ŞEFFAF PALET STANDART</v>
          </cell>
          <cell r="J258">
            <v>2</v>
          </cell>
          <cell r="K258">
            <v>2</v>
          </cell>
          <cell r="L258">
            <v>24</v>
          </cell>
        </row>
        <row r="259">
          <cell r="A259">
            <v>45856</v>
          </cell>
          <cell r="F259">
            <v>164</v>
          </cell>
          <cell r="G259" t="str">
            <v>1000 CC X380 52 OPAK BEYAZ PALET STANDART</v>
          </cell>
          <cell r="J259">
            <v>2</v>
          </cell>
          <cell r="K259">
            <v>2</v>
          </cell>
          <cell r="L259">
            <v>22.49</v>
          </cell>
        </row>
        <row r="260">
          <cell r="A260">
            <v>45856</v>
          </cell>
          <cell r="F260">
            <v>182</v>
          </cell>
          <cell r="G260" t="str">
            <v>400 CC Z100 28 ŞEFFAF ŞEFFAF PALET STANDART</v>
          </cell>
          <cell r="J260">
            <v>2</v>
          </cell>
          <cell r="K260">
            <v>2</v>
          </cell>
          <cell r="L260">
            <v>14</v>
          </cell>
        </row>
        <row r="261">
          <cell r="A261">
            <v>45856</v>
          </cell>
          <cell r="F261">
            <v>402</v>
          </cell>
          <cell r="G261" t="str">
            <v>1500 CC S043 74 OPAK BEYAZ PALET STANDART</v>
          </cell>
          <cell r="J261">
            <v>2</v>
          </cell>
          <cell r="K261">
            <v>2</v>
          </cell>
          <cell r="L261">
            <v>10</v>
          </cell>
        </row>
        <row r="262">
          <cell r="A262">
            <v>45856</v>
          </cell>
          <cell r="F262">
            <v>404</v>
          </cell>
          <cell r="G262" t="str">
            <v>310 CC S032 24 ŞEFFAF ŞEFFAF YÜKSEK PLT K.TAVA STANDART</v>
          </cell>
          <cell r="J262">
            <v>2</v>
          </cell>
          <cell r="K262">
            <v>2</v>
          </cell>
          <cell r="L262">
            <v>8.8000000000000007</v>
          </cell>
        </row>
        <row r="263">
          <cell r="A263">
            <v>45856</v>
          </cell>
          <cell r="F263">
            <v>405</v>
          </cell>
          <cell r="G263" t="str">
            <v>1200 CC S023 91 OPAK SİYAH PALET STANDART</v>
          </cell>
          <cell r="J263">
            <v>2</v>
          </cell>
          <cell r="K263">
            <v>2</v>
          </cell>
          <cell r="L263">
            <v>8.1999999999999993</v>
          </cell>
        </row>
        <row r="264">
          <cell r="A264">
            <v>45856</v>
          </cell>
          <cell r="F264">
            <v>172</v>
          </cell>
          <cell r="G264" t="str">
            <v>1000 CC D125 52 ŞEFFAF ŞEFFAF PALET STANDART</v>
          </cell>
          <cell r="J264">
            <v>4</v>
          </cell>
          <cell r="K264">
            <v>4</v>
          </cell>
          <cell r="L264">
            <v>17.850000000000001</v>
          </cell>
        </row>
        <row r="265">
          <cell r="A265">
            <v>45856</v>
          </cell>
          <cell r="F265">
            <v>173</v>
          </cell>
          <cell r="G265" t="str">
            <v>950 CC D059 40 OPAK BEYAZ PALET STANDART</v>
          </cell>
          <cell r="J265">
            <v>5</v>
          </cell>
          <cell r="K265">
            <v>5</v>
          </cell>
          <cell r="L265">
            <v>15.24</v>
          </cell>
        </row>
        <row r="266">
          <cell r="A266">
            <v>45856</v>
          </cell>
          <cell r="F266">
            <v>174</v>
          </cell>
          <cell r="G266" t="str">
            <v>750 CC D082 35 ŞEFFAF ŞEFFAF K.TAVA PALET STANDART</v>
          </cell>
          <cell r="J266">
            <v>5</v>
          </cell>
          <cell r="K266">
            <v>5</v>
          </cell>
          <cell r="L266">
            <v>13.74</v>
          </cell>
        </row>
        <row r="267">
          <cell r="A267">
            <v>45856</v>
          </cell>
          <cell r="F267">
            <v>176</v>
          </cell>
          <cell r="G267" t="str">
            <v>1000 CC D107 52 OPAK BEYAZ PALET STANDART</v>
          </cell>
          <cell r="J267">
            <v>5</v>
          </cell>
          <cell r="K267">
            <v>5</v>
          </cell>
          <cell r="L267">
            <v>17.579999999999998</v>
          </cell>
        </row>
        <row r="268">
          <cell r="A268">
            <v>45856</v>
          </cell>
          <cell r="F268">
            <v>177</v>
          </cell>
          <cell r="G268" t="str">
            <v>350 CC D026 45 OPAK SİYAH PALET STANDART</v>
          </cell>
          <cell r="J268">
            <v>3</v>
          </cell>
          <cell r="K268">
            <v>3</v>
          </cell>
          <cell r="L268">
            <v>13.56</v>
          </cell>
        </row>
        <row r="269">
          <cell r="A269">
            <v>45856</v>
          </cell>
          <cell r="F269">
            <v>131</v>
          </cell>
          <cell r="G269" t="str">
            <v>250 CC Y251 25 ŞEFFAF ŞEFFAF PALET STANDART</v>
          </cell>
          <cell r="J269">
            <v>3</v>
          </cell>
          <cell r="K269">
            <v>2</v>
          </cell>
          <cell r="L269">
            <v>17.899999999999999</v>
          </cell>
        </row>
        <row r="270">
          <cell r="A270">
            <v>45856</v>
          </cell>
          <cell r="F270">
            <v>133</v>
          </cell>
          <cell r="G270" t="str">
            <v>150 CC Y285 19 ŞEFFAF MAVİ PALET STANDART</v>
          </cell>
          <cell r="J270">
            <v>4</v>
          </cell>
          <cell r="K270">
            <v>4</v>
          </cell>
          <cell r="L270">
            <v>15.96</v>
          </cell>
        </row>
        <row r="271">
          <cell r="A271">
            <v>45856</v>
          </cell>
          <cell r="F271">
            <v>206</v>
          </cell>
          <cell r="G271" t="str">
            <v>E123 28 MM FLİPTOP 13 ŞEFFAF YEŞİL PLT.IC.KOLI STANDART</v>
          </cell>
          <cell r="J271">
            <v>12</v>
          </cell>
          <cell r="K271">
            <v>11</v>
          </cell>
          <cell r="L271">
            <v>27.3</v>
          </cell>
        </row>
        <row r="272">
          <cell r="A272">
            <v>45856</v>
          </cell>
          <cell r="F272">
            <v>207</v>
          </cell>
          <cell r="G272" t="str">
            <v>E121A 28MM TRIMSIZ KAPAK 10 OPAK KIRMIZI KOLI STANDART</v>
          </cell>
          <cell r="J272">
            <v>12</v>
          </cell>
          <cell r="K272">
            <v>9</v>
          </cell>
          <cell r="L272">
            <v>32.729999999999997</v>
          </cell>
        </row>
        <row r="273">
          <cell r="A273">
            <v>45856</v>
          </cell>
          <cell r="F273">
            <v>208</v>
          </cell>
          <cell r="G273" t="str">
            <v>E016 20 MM DAMLALIK 2 OPAK BEYAZ PLT.IC.KOLI STANDART</v>
          </cell>
          <cell r="J273">
            <v>16</v>
          </cell>
          <cell r="K273">
            <v>10</v>
          </cell>
          <cell r="L273">
            <v>21.62</v>
          </cell>
        </row>
        <row r="274">
          <cell r="A274">
            <v>45856</v>
          </cell>
          <cell r="F274">
            <v>209</v>
          </cell>
          <cell r="G274" t="str">
            <v>E023 24 MM KAPAK 8 OPAK SİYAH PLT.IC.KOLI STANDART</v>
          </cell>
          <cell r="J274">
            <v>8</v>
          </cell>
          <cell r="K274">
            <v>7</v>
          </cell>
          <cell r="L274">
            <v>29</v>
          </cell>
        </row>
        <row r="275">
          <cell r="A275">
            <v>45856</v>
          </cell>
          <cell r="F275">
            <v>301</v>
          </cell>
          <cell r="G275" t="str">
            <v>PR001 62 MM 8 GÖZ PREFORM 24 ŞEFFAF ŞEFFAF KOLI STANDART</v>
          </cell>
          <cell r="J275">
            <v>8</v>
          </cell>
          <cell r="K275">
            <v>5</v>
          </cell>
          <cell r="L275">
            <v>27.8</v>
          </cell>
        </row>
        <row r="276">
          <cell r="A276">
            <v>45856</v>
          </cell>
          <cell r="F276">
            <v>302</v>
          </cell>
          <cell r="G276" t="str">
            <v>PR017 38 MM 12 GÖZ YİVLİ PREFORM  73 OPAK BEYAZ KOLI STANDART</v>
          </cell>
          <cell r="J276">
            <v>12</v>
          </cell>
          <cell r="K276">
            <v>9</v>
          </cell>
          <cell r="L276">
            <v>59.3</v>
          </cell>
        </row>
        <row r="277">
          <cell r="A277">
            <v>45856</v>
          </cell>
          <cell r="F277">
            <v>303</v>
          </cell>
          <cell r="G277" t="str">
            <v>PR014 110 MM 12 GÖZ TWIST OFF PREFORM 91 OPAK SİYAH KOLI STANDART</v>
          </cell>
          <cell r="J277">
            <v>12</v>
          </cell>
          <cell r="K277">
            <v>7</v>
          </cell>
          <cell r="L277">
            <v>38.1</v>
          </cell>
        </row>
        <row r="278">
          <cell r="A278">
            <v>45856</v>
          </cell>
          <cell r="F278">
            <v>175</v>
          </cell>
          <cell r="G278" t="str">
            <v>1000 CC D123 95 ŞEFFAF ŞEFFAF PLS. PLT STANDART</v>
          </cell>
          <cell r="J278">
            <v>3</v>
          </cell>
          <cell r="K278">
            <v>3</v>
          </cell>
          <cell r="L278">
            <v>18.05</v>
          </cell>
        </row>
        <row r="279">
          <cell r="A279">
            <v>45856</v>
          </cell>
          <cell r="F279">
            <v>181</v>
          </cell>
          <cell r="G279" t="str">
            <v>1000 CC Z102 27 ŞEFFAF YEŞİL PALET CAKMA</v>
          </cell>
          <cell r="J279">
            <v>4</v>
          </cell>
          <cell r="K279">
            <v>4</v>
          </cell>
          <cell r="L279">
            <v>14</v>
          </cell>
        </row>
        <row r="280">
          <cell r="A280">
            <v>45856</v>
          </cell>
          <cell r="F280">
            <v>132</v>
          </cell>
          <cell r="G280" t="str">
            <v>160 CC Y286 29 ŞEFFAF SARI PALET STANDART</v>
          </cell>
          <cell r="J280">
            <v>3</v>
          </cell>
          <cell r="K280">
            <v>3</v>
          </cell>
          <cell r="L280">
            <v>20.41</v>
          </cell>
        </row>
        <row r="281">
          <cell r="A281">
            <v>45856</v>
          </cell>
          <cell r="F281">
            <v>204</v>
          </cell>
          <cell r="G281" t="str">
            <v>E125 62 MM BAHARAT FLİPTOP 12 OPAK GOLD KOLI STANDART</v>
          </cell>
          <cell r="J281">
            <v>4</v>
          </cell>
          <cell r="K281">
            <v>4</v>
          </cell>
          <cell r="L281">
            <v>20.5</v>
          </cell>
        </row>
        <row r="282">
          <cell r="A282">
            <v>45859</v>
          </cell>
          <cell r="F282">
            <v>103</v>
          </cell>
          <cell r="G282" t="str">
            <v>700 CC SP009 40 ŞEFFAF SARI PLS. PLT STANDART</v>
          </cell>
          <cell r="J282">
            <v>5</v>
          </cell>
          <cell r="K282">
            <v>5</v>
          </cell>
          <cell r="L282">
            <v>14.16</v>
          </cell>
        </row>
        <row r="283">
          <cell r="A283">
            <v>45859</v>
          </cell>
          <cell r="F283">
            <v>104</v>
          </cell>
          <cell r="G283" t="str">
            <v>1500 CC SP026 52 ŞEFFAF ŞEFFAF PALET STANDART</v>
          </cell>
          <cell r="J283">
            <v>5</v>
          </cell>
          <cell r="K283">
            <v>5</v>
          </cell>
          <cell r="L283">
            <v>19.36</v>
          </cell>
        </row>
        <row r="284">
          <cell r="A284">
            <v>45859</v>
          </cell>
          <cell r="F284">
            <v>161</v>
          </cell>
          <cell r="G284" t="str">
            <v>1000 CC X233 45 ŞEFFAF ŞEFFAF PALET STANDART</v>
          </cell>
          <cell r="J284">
            <v>2</v>
          </cell>
          <cell r="K284">
            <v>2</v>
          </cell>
          <cell r="L284">
            <v>24.01</v>
          </cell>
        </row>
        <row r="285">
          <cell r="A285">
            <v>45859</v>
          </cell>
          <cell r="F285">
            <v>162</v>
          </cell>
          <cell r="G285" t="str">
            <v>750 CC X419 35 ŞEFFAF ŞEFFAF PALET STANDART</v>
          </cell>
          <cell r="J285">
            <v>2</v>
          </cell>
          <cell r="K285">
            <v>2</v>
          </cell>
          <cell r="L285">
            <v>21</v>
          </cell>
        </row>
        <row r="286">
          <cell r="A286">
            <v>45859</v>
          </cell>
          <cell r="F286">
            <v>163</v>
          </cell>
          <cell r="G286" t="str">
            <v>1000 CC X404 52 ŞEFFAF ŞEFFAF PALET STANDART</v>
          </cell>
          <cell r="J286">
            <v>2</v>
          </cell>
          <cell r="K286">
            <v>2</v>
          </cell>
          <cell r="L286">
            <v>24</v>
          </cell>
        </row>
        <row r="287">
          <cell r="A287">
            <v>45859</v>
          </cell>
          <cell r="F287">
            <v>182</v>
          </cell>
          <cell r="G287" t="str">
            <v>400 CC Z100 28 ŞEFFAF ŞEFFAF PALET STANDART</v>
          </cell>
          <cell r="J287">
            <v>4</v>
          </cell>
          <cell r="K287">
            <v>4</v>
          </cell>
          <cell r="L287">
            <v>14</v>
          </cell>
        </row>
        <row r="288">
          <cell r="A288">
            <v>45859</v>
          </cell>
          <cell r="F288">
            <v>402</v>
          </cell>
          <cell r="G288" t="str">
            <v>1200 CC S051 74 OPAK BEYAZ PALET STANDART</v>
          </cell>
          <cell r="J288">
            <v>2</v>
          </cell>
          <cell r="K288">
            <v>2</v>
          </cell>
          <cell r="L288">
            <v>10.9</v>
          </cell>
        </row>
        <row r="289">
          <cell r="A289">
            <v>45859</v>
          </cell>
          <cell r="F289">
            <v>404</v>
          </cell>
          <cell r="G289" t="str">
            <v>310 CC S032 24 ŞEFFAF ŞEFFAF YÜKSEK PLT K.TAVA STANDART</v>
          </cell>
          <cell r="J289">
            <v>2</v>
          </cell>
          <cell r="K289">
            <v>2</v>
          </cell>
          <cell r="L289">
            <v>8.8000000000000007</v>
          </cell>
        </row>
        <row r="290">
          <cell r="A290">
            <v>45859</v>
          </cell>
          <cell r="F290">
            <v>171</v>
          </cell>
          <cell r="G290" t="str">
            <v>500 CC D052 40 ŞEFFAF PEMBE PALET STANDART</v>
          </cell>
          <cell r="J290">
            <v>6</v>
          </cell>
          <cell r="K290">
            <v>6</v>
          </cell>
          <cell r="L290">
            <v>19.920000000000002</v>
          </cell>
        </row>
        <row r="291">
          <cell r="A291">
            <v>45859</v>
          </cell>
          <cell r="F291">
            <v>172</v>
          </cell>
          <cell r="G291" t="str">
            <v>1000 CC D125 52 ŞEFFAF ŞEFFAF PALET STANDART</v>
          </cell>
          <cell r="J291">
            <v>4</v>
          </cell>
          <cell r="K291">
            <v>4</v>
          </cell>
          <cell r="L291">
            <v>17.899999999999999</v>
          </cell>
        </row>
        <row r="292">
          <cell r="A292">
            <v>45859</v>
          </cell>
          <cell r="F292">
            <v>173</v>
          </cell>
          <cell r="G292" t="str">
            <v>600 CC D113 40 OPAK BEYAZ PALET CAKMA</v>
          </cell>
          <cell r="J292">
            <v>5</v>
          </cell>
          <cell r="K292">
            <v>5</v>
          </cell>
          <cell r="L292">
            <v>15.72</v>
          </cell>
        </row>
        <row r="293">
          <cell r="A293">
            <v>45859</v>
          </cell>
          <cell r="F293">
            <v>174</v>
          </cell>
          <cell r="G293" t="str">
            <v>750 CC D082 35 ŞEFFAF ŞEFFAF K.TAVA PALET STANDART</v>
          </cell>
          <cell r="J293">
            <v>5</v>
          </cell>
          <cell r="K293">
            <v>5</v>
          </cell>
          <cell r="L293">
            <v>13.76</v>
          </cell>
        </row>
        <row r="294">
          <cell r="A294">
            <v>45859</v>
          </cell>
          <cell r="F294">
            <v>176</v>
          </cell>
          <cell r="G294" t="str">
            <v>1000 CC D107 52 OPAK YEŞİL PALET STANDART</v>
          </cell>
          <cell r="J294">
            <v>5</v>
          </cell>
          <cell r="K294">
            <v>5</v>
          </cell>
          <cell r="L294">
            <v>16.64</v>
          </cell>
        </row>
        <row r="295">
          <cell r="A295">
            <v>45859</v>
          </cell>
          <cell r="F295">
            <v>177</v>
          </cell>
          <cell r="G295" t="str">
            <v>500 CC D088 45 ŞEFFAF ŞEFFAF PLS. PLT STANDART</v>
          </cell>
          <cell r="J295">
            <v>3</v>
          </cell>
          <cell r="K295">
            <v>3</v>
          </cell>
          <cell r="L295">
            <v>13.24</v>
          </cell>
        </row>
        <row r="296">
          <cell r="A296">
            <v>45859</v>
          </cell>
          <cell r="F296">
            <v>131</v>
          </cell>
          <cell r="G296" t="str">
            <v>200 CC Y296 25 OPAK BEYAZ PALET STANDART</v>
          </cell>
          <cell r="J296">
            <v>3</v>
          </cell>
          <cell r="K296">
            <v>2</v>
          </cell>
          <cell r="L296">
            <v>16.55</v>
          </cell>
        </row>
        <row r="297">
          <cell r="A297">
            <v>45859</v>
          </cell>
          <cell r="F297">
            <v>133</v>
          </cell>
          <cell r="G297" t="str">
            <v>150 CC Y285 19 ŞEFFAF KAHVE PALET STANDART</v>
          </cell>
          <cell r="J297">
            <v>4</v>
          </cell>
          <cell r="K297">
            <v>4</v>
          </cell>
          <cell r="L297">
            <v>16.2</v>
          </cell>
        </row>
        <row r="298">
          <cell r="A298">
            <v>45859</v>
          </cell>
          <cell r="F298">
            <v>206</v>
          </cell>
          <cell r="G298" t="str">
            <v>E123 28 MM FLİPTOP 13 ŞEFFAF TURUNCU PLT.IC.KOLI STANDART</v>
          </cell>
          <cell r="J298">
            <v>12</v>
          </cell>
          <cell r="K298">
            <v>11</v>
          </cell>
          <cell r="L298">
            <v>27.3</v>
          </cell>
        </row>
        <row r="299">
          <cell r="A299">
            <v>45859</v>
          </cell>
          <cell r="F299">
            <v>301</v>
          </cell>
          <cell r="G299" t="str">
            <v>PR001 62 MM 8 GÖZ PREFORM 24 ŞEFFAF ŞEFFAF KOLI STANDART</v>
          </cell>
          <cell r="J299">
            <v>8</v>
          </cell>
          <cell r="K299">
            <v>5</v>
          </cell>
          <cell r="L299">
            <v>27.88</v>
          </cell>
        </row>
        <row r="300">
          <cell r="A300">
            <v>45859</v>
          </cell>
          <cell r="F300">
            <v>302</v>
          </cell>
          <cell r="G300" t="str">
            <v>PR017 38 MM 12 GÖZ YİVLİ PREFORM  73 OPAK BEYAZ KOLI STANDART</v>
          </cell>
          <cell r="J300">
            <v>12</v>
          </cell>
          <cell r="K300">
            <v>12</v>
          </cell>
          <cell r="L300">
            <v>61.3</v>
          </cell>
        </row>
        <row r="301">
          <cell r="A301">
            <v>45859</v>
          </cell>
          <cell r="F301">
            <v>175</v>
          </cell>
          <cell r="G301" t="str">
            <v>1000 CC D123 95 ŞEFFAF ŞEFFAF PLS. PLT STANDART</v>
          </cell>
          <cell r="J301">
            <v>3</v>
          </cell>
          <cell r="K301">
            <v>3</v>
          </cell>
          <cell r="L301">
            <v>18.350000000000001</v>
          </cell>
        </row>
        <row r="302">
          <cell r="A302">
            <v>45859</v>
          </cell>
          <cell r="F302">
            <v>181</v>
          </cell>
          <cell r="G302" t="str">
            <v>1000 CC Z102 27 ŞEFFAF ŞEFFAF PALET CAKMA</v>
          </cell>
          <cell r="J302">
            <v>4</v>
          </cell>
          <cell r="K302">
            <v>4</v>
          </cell>
          <cell r="L302">
            <v>14</v>
          </cell>
        </row>
        <row r="303">
          <cell r="A303">
            <v>45859</v>
          </cell>
          <cell r="F303">
            <v>132</v>
          </cell>
          <cell r="G303" t="str">
            <v>160 CC Y286 29 ŞEFFAF SARI PALET STANDART</v>
          </cell>
          <cell r="J303">
            <v>3</v>
          </cell>
          <cell r="K303">
            <v>3</v>
          </cell>
          <cell r="L303">
            <v>22.35</v>
          </cell>
        </row>
        <row r="304">
          <cell r="A304">
            <v>45860</v>
          </cell>
          <cell r="F304">
            <v>103</v>
          </cell>
          <cell r="G304" t="str">
            <v>700 CC SP009 40 ŞEFFAF SARI PLS. PLT STANDART</v>
          </cell>
          <cell r="J304">
            <v>5</v>
          </cell>
          <cell r="K304">
            <v>5</v>
          </cell>
          <cell r="L304">
            <v>14.29</v>
          </cell>
        </row>
        <row r="305">
          <cell r="A305">
            <v>45860</v>
          </cell>
          <cell r="F305">
            <v>161</v>
          </cell>
          <cell r="G305" t="str">
            <v>1000 CC X233 45 ŞEFFAF ŞEFFAF PALET STANDART</v>
          </cell>
          <cell r="J305">
            <v>2</v>
          </cell>
          <cell r="K305">
            <v>2</v>
          </cell>
          <cell r="L305">
            <v>24</v>
          </cell>
        </row>
        <row r="306">
          <cell r="A306">
            <v>45860</v>
          </cell>
          <cell r="F306">
            <v>162</v>
          </cell>
          <cell r="G306" t="str">
            <v>750 CC X419 35 ŞEFFAF ŞEFFAF PALET STANDART</v>
          </cell>
          <cell r="J306">
            <v>2</v>
          </cell>
          <cell r="K306">
            <v>2</v>
          </cell>
          <cell r="L306">
            <v>24</v>
          </cell>
        </row>
        <row r="307">
          <cell r="A307">
            <v>45860</v>
          </cell>
          <cell r="F307">
            <v>164</v>
          </cell>
          <cell r="G307" t="str">
            <v>1000 CC X383 45 ŞEFFAF ŞEFFAF PALET STANDART</v>
          </cell>
          <cell r="J307">
            <v>2</v>
          </cell>
          <cell r="K307">
            <v>2</v>
          </cell>
          <cell r="L307">
            <v>22.64</v>
          </cell>
        </row>
        <row r="308">
          <cell r="A308">
            <v>45860</v>
          </cell>
          <cell r="F308">
            <v>402</v>
          </cell>
          <cell r="G308" t="str">
            <v>1500 CC S043 74 OPAK BEYAZ PALET STANDART</v>
          </cell>
          <cell r="J308">
            <v>2</v>
          </cell>
          <cell r="K308">
            <v>2</v>
          </cell>
          <cell r="L308">
            <v>10.9</v>
          </cell>
        </row>
        <row r="309">
          <cell r="A309">
            <v>45860</v>
          </cell>
          <cell r="F309">
            <v>171</v>
          </cell>
          <cell r="G309" t="str">
            <v>500 CC D052 40 ŞEFFAF PEMBE PALET STANDART</v>
          </cell>
          <cell r="J309">
            <v>6</v>
          </cell>
          <cell r="K309">
            <v>6</v>
          </cell>
          <cell r="L309">
            <v>19.600000000000001</v>
          </cell>
        </row>
        <row r="310">
          <cell r="A310">
            <v>45860</v>
          </cell>
          <cell r="F310">
            <v>172</v>
          </cell>
          <cell r="G310" t="str">
            <v>1000 CC D125 52 ŞEFFAF ŞEFFAF PALET STANDART</v>
          </cell>
          <cell r="J310">
            <v>4</v>
          </cell>
          <cell r="K310">
            <v>4</v>
          </cell>
          <cell r="L310">
            <v>17.649999999999999</v>
          </cell>
        </row>
        <row r="311">
          <cell r="A311">
            <v>45860</v>
          </cell>
          <cell r="F311">
            <v>173</v>
          </cell>
          <cell r="G311" t="str">
            <v>600 CC D113 40 OPAK BEYAZ PALET CAKMA</v>
          </cell>
          <cell r="J311">
            <v>5</v>
          </cell>
          <cell r="K311">
            <v>5</v>
          </cell>
          <cell r="L311">
            <v>15.77</v>
          </cell>
        </row>
        <row r="312">
          <cell r="A312">
            <v>45860</v>
          </cell>
          <cell r="F312">
            <v>174</v>
          </cell>
          <cell r="G312" t="str">
            <v>750 CC D072 35 ŞEFFAF ŞEFFAF PALET STANDART</v>
          </cell>
          <cell r="J312">
            <v>5</v>
          </cell>
          <cell r="K312">
            <v>5</v>
          </cell>
          <cell r="L312">
            <v>14.72</v>
          </cell>
        </row>
        <row r="313">
          <cell r="A313">
            <v>45860</v>
          </cell>
          <cell r="F313">
            <v>176</v>
          </cell>
          <cell r="G313" t="str">
            <v>1000 CC D107 52 OPAK YEŞİL PALET STANDART</v>
          </cell>
          <cell r="J313">
            <v>5</v>
          </cell>
          <cell r="K313">
            <v>5</v>
          </cell>
          <cell r="L313">
            <v>16.600000000000001</v>
          </cell>
        </row>
        <row r="314">
          <cell r="A314">
            <v>45860</v>
          </cell>
          <cell r="F314">
            <v>177</v>
          </cell>
          <cell r="G314" t="str">
            <v>500 CC D088 45 ŞEFFAF ŞEFFAF PLS. PLT STANDART</v>
          </cell>
          <cell r="J314">
            <v>3</v>
          </cell>
          <cell r="K314">
            <v>3</v>
          </cell>
          <cell r="L314">
            <v>13.11</v>
          </cell>
        </row>
        <row r="315">
          <cell r="A315">
            <v>45860</v>
          </cell>
          <cell r="F315">
            <v>133</v>
          </cell>
          <cell r="G315" t="str">
            <v>150 CC Y285 19 ŞEFFAF KAHVE PALET STANDART</v>
          </cell>
          <cell r="J315">
            <v>4</v>
          </cell>
          <cell r="K315">
            <v>4</v>
          </cell>
          <cell r="L315">
            <v>15.87</v>
          </cell>
        </row>
        <row r="316">
          <cell r="A316">
            <v>45860</v>
          </cell>
          <cell r="F316">
            <v>206</v>
          </cell>
          <cell r="G316" t="str">
            <v>E123 28 MM FLİPTOP 13 ŞEFFAF TURUNCU PLT.IC.KOLI STANDART</v>
          </cell>
          <cell r="J316">
            <v>12</v>
          </cell>
          <cell r="K316">
            <v>11</v>
          </cell>
          <cell r="L316">
            <v>28.7</v>
          </cell>
        </row>
        <row r="317">
          <cell r="A317">
            <v>45860</v>
          </cell>
          <cell r="F317">
            <v>207</v>
          </cell>
          <cell r="G317" t="str">
            <v>E121A 28MM TRIMSIZ KAPAK 10 OPAK KIRMIZI KOLI STANDART</v>
          </cell>
          <cell r="J317">
            <v>12</v>
          </cell>
          <cell r="K317">
            <v>7</v>
          </cell>
          <cell r="L317">
            <v>35.1</v>
          </cell>
        </row>
        <row r="318">
          <cell r="A318">
            <v>45860</v>
          </cell>
          <cell r="F318">
            <v>208</v>
          </cell>
          <cell r="G318" t="str">
            <v>E063 110 MM 32 OPAK SARI KOLI STANDART</v>
          </cell>
          <cell r="J318">
            <v>4</v>
          </cell>
          <cell r="K318">
            <v>2</v>
          </cell>
          <cell r="L318">
            <v>23.2</v>
          </cell>
        </row>
        <row r="319">
          <cell r="A319">
            <v>45860</v>
          </cell>
          <cell r="F319">
            <v>209</v>
          </cell>
          <cell r="G319" t="str">
            <v>E023 24 MM KAPAK 8 OPAK SİYAH PLT.IC.KOLI STANDART</v>
          </cell>
          <cell r="J319">
            <v>4</v>
          </cell>
          <cell r="K319">
            <v>4</v>
          </cell>
          <cell r="L319">
            <v>22.2</v>
          </cell>
        </row>
        <row r="320">
          <cell r="A320">
            <v>45860</v>
          </cell>
          <cell r="F320">
            <v>301</v>
          </cell>
          <cell r="G320" t="str">
            <v>PR001 62 MM 8 GÖZ PREFORM 24 ŞEFFAF ŞEFFAF KOLI STANDART</v>
          </cell>
          <cell r="J320">
            <v>8</v>
          </cell>
          <cell r="K320">
            <v>5</v>
          </cell>
          <cell r="L320">
            <v>27.8</v>
          </cell>
        </row>
        <row r="321">
          <cell r="A321">
            <v>45860</v>
          </cell>
          <cell r="F321">
            <v>302</v>
          </cell>
          <cell r="G321" t="str">
            <v>PR017 38 MM 12 GÖZ YİVLİ PREFORM  73 OPAK BEYAZ KOLI STANDART</v>
          </cell>
          <cell r="J321">
            <v>12</v>
          </cell>
          <cell r="K321">
            <v>9</v>
          </cell>
          <cell r="L321">
            <v>57.3</v>
          </cell>
        </row>
        <row r="322">
          <cell r="A322">
            <v>45860</v>
          </cell>
          <cell r="F322">
            <v>501</v>
          </cell>
          <cell r="G322" t="str">
            <v>200 CC P118 17 OPAK SİYAH PALET STANDART</v>
          </cell>
          <cell r="J322">
            <v>6</v>
          </cell>
          <cell r="K322">
            <v>6</v>
          </cell>
          <cell r="L322">
            <v>15.62</v>
          </cell>
        </row>
        <row r="323">
          <cell r="A323">
            <v>45860</v>
          </cell>
          <cell r="F323">
            <v>503</v>
          </cell>
          <cell r="G323" t="str">
            <v>3000 CC P111 120 OPAK TURKUAZ POSET STANDART</v>
          </cell>
          <cell r="J323">
            <v>2</v>
          </cell>
          <cell r="K323">
            <v>2</v>
          </cell>
          <cell r="L323">
            <v>14.5</v>
          </cell>
        </row>
        <row r="324">
          <cell r="A324">
            <v>45860</v>
          </cell>
          <cell r="F324">
            <v>175</v>
          </cell>
          <cell r="G324" t="str">
            <v>1000 CC D123 95 ŞEFFAF ŞEFFAF PLS. PLT STANDART</v>
          </cell>
          <cell r="J324">
            <v>3</v>
          </cell>
          <cell r="K324">
            <v>3</v>
          </cell>
          <cell r="L324">
            <v>18</v>
          </cell>
        </row>
        <row r="325">
          <cell r="A325">
            <v>45860</v>
          </cell>
          <cell r="F325">
            <v>132</v>
          </cell>
          <cell r="G325" t="str">
            <v>160 CC Y286 29 ŞEFFAF SARI PALET STANDART</v>
          </cell>
          <cell r="J325">
            <v>3</v>
          </cell>
          <cell r="K325">
            <v>3</v>
          </cell>
          <cell r="L325">
            <v>22.62</v>
          </cell>
        </row>
        <row r="326">
          <cell r="A326">
            <v>45860</v>
          </cell>
          <cell r="F326">
            <v>204</v>
          </cell>
          <cell r="G326" t="str">
            <v>E125 62 MM BAHARAT FLİPTOP 12 OPAK GOLD KOLI STANDART</v>
          </cell>
          <cell r="J326">
            <v>4</v>
          </cell>
          <cell r="K326">
            <v>4</v>
          </cell>
          <cell r="L326">
            <v>21.4</v>
          </cell>
        </row>
        <row r="327">
          <cell r="A327">
            <v>45861</v>
          </cell>
          <cell r="F327">
            <v>103</v>
          </cell>
          <cell r="G327" t="str">
            <v>700 CC SP009 40 ŞEFFAF SARI PLS. PLT STANDART</v>
          </cell>
          <cell r="J327">
            <v>5</v>
          </cell>
          <cell r="K327">
            <v>5</v>
          </cell>
          <cell r="L327">
            <v>14.18</v>
          </cell>
        </row>
        <row r="328">
          <cell r="A328">
            <v>45861</v>
          </cell>
          <cell r="F328">
            <v>104</v>
          </cell>
          <cell r="G328" t="str">
            <v>1500 CC SP026 52 ŞEFFAF ŞEFFAF PLS. PLT STANDART</v>
          </cell>
          <cell r="J328">
            <v>5</v>
          </cell>
          <cell r="K328">
            <v>5</v>
          </cell>
          <cell r="L328">
            <v>19.98</v>
          </cell>
        </row>
        <row r="329">
          <cell r="A329">
            <v>45861</v>
          </cell>
          <cell r="F329">
            <v>161</v>
          </cell>
          <cell r="G329" t="str">
            <v>1000 CC X134 45 ŞEFFAF ŞEFFAF PALET STANDART</v>
          </cell>
          <cell r="J329">
            <v>2</v>
          </cell>
          <cell r="K329">
            <v>2</v>
          </cell>
          <cell r="L329">
            <v>24.01</v>
          </cell>
        </row>
        <row r="330">
          <cell r="A330">
            <v>45861</v>
          </cell>
          <cell r="F330">
            <v>163</v>
          </cell>
          <cell r="G330" t="str">
            <v>1000 CC X380 52 OPAK BEYAZ PALET STANDART</v>
          </cell>
          <cell r="J330">
            <v>2</v>
          </cell>
          <cell r="K330">
            <v>2</v>
          </cell>
          <cell r="L330">
            <v>24</v>
          </cell>
        </row>
        <row r="331">
          <cell r="A331">
            <v>45861</v>
          </cell>
          <cell r="F331">
            <v>164</v>
          </cell>
          <cell r="G331" t="str">
            <v>1000 CC X366 45 ŞEFFAF ŞEFFAF PALET STANDART</v>
          </cell>
          <cell r="J331">
            <v>2</v>
          </cell>
          <cell r="K331">
            <v>2</v>
          </cell>
          <cell r="L331">
            <v>22.79</v>
          </cell>
        </row>
        <row r="332">
          <cell r="A332">
            <v>45861</v>
          </cell>
          <cell r="F332">
            <v>402</v>
          </cell>
          <cell r="G332" t="str">
            <v>1500 CC S043 74 OPAK BEYAZ PALET STANDART</v>
          </cell>
          <cell r="J332">
            <v>2</v>
          </cell>
          <cell r="K332">
            <v>2</v>
          </cell>
          <cell r="L332">
            <v>10.199999999999999</v>
          </cell>
        </row>
        <row r="333">
          <cell r="A333">
            <v>45861</v>
          </cell>
          <cell r="F333">
            <v>404</v>
          </cell>
          <cell r="G333" t="str">
            <v>300 CC S053 24 ŞEFFAF ŞEFFAF PLS. PLT STANDART</v>
          </cell>
          <cell r="J333">
            <v>2</v>
          </cell>
          <cell r="K333">
            <v>2</v>
          </cell>
          <cell r="L333">
            <v>6.5</v>
          </cell>
        </row>
        <row r="334">
          <cell r="A334">
            <v>45861</v>
          </cell>
          <cell r="F334">
            <v>172</v>
          </cell>
          <cell r="G334" t="str">
            <v>1000 CC D125 52 ŞEFFAF ŞEFFAF PALET STANDART</v>
          </cell>
          <cell r="J334">
            <v>4</v>
          </cell>
          <cell r="K334">
            <v>4</v>
          </cell>
          <cell r="L334">
            <v>17.739999999999998</v>
          </cell>
        </row>
        <row r="335">
          <cell r="A335">
            <v>45861</v>
          </cell>
          <cell r="F335">
            <v>173</v>
          </cell>
          <cell r="G335" t="str">
            <v>750 CC D071 40 ŞEFFAF SARI PALET STANDART</v>
          </cell>
          <cell r="J335">
            <v>5</v>
          </cell>
          <cell r="K335">
            <v>5</v>
          </cell>
          <cell r="L335">
            <v>16.13</v>
          </cell>
        </row>
        <row r="336">
          <cell r="A336">
            <v>45861</v>
          </cell>
          <cell r="F336">
            <v>176</v>
          </cell>
          <cell r="G336" t="str">
            <v>1000 CC D107 52 OPAK YEŞİL PALET STANDART</v>
          </cell>
          <cell r="J336">
            <v>5</v>
          </cell>
          <cell r="K336">
            <v>5</v>
          </cell>
          <cell r="L336">
            <v>16.57</v>
          </cell>
        </row>
        <row r="337">
          <cell r="A337">
            <v>45861</v>
          </cell>
          <cell r="F337">
            <v>177</v>
          </cell>
          <cell r="G337" t="str">
            <v>500 CC D088 45 ŞEFFAF ŞEFFAF PLS. PLT STANDART</v>
          </cell>
          <cell r="J337">
            <v>3</v>
          </cell>
          <cell r="K337">
            <v>3</v>
          </cell>
          <cell r="L337">
            <v>13.2</v>
          </cell>
        </row>
        <row r="338">
          <cell r="A338">
            <v>45861</v>
          </cell>
          <cell r="F338">
            <v>133</v>
          </cell>
          <cell r="G338" t="str">
            <v>150 CC Y285 19 ŞEFFAF KAHVE PALET STANDART</v>
          </cell>
          <cell r="J338">
            <v>4</v>
          </cell>
          <cell r="K338">
            <v>4</v>
          </cell>
          <cell r="L338">
            <v>15.86</v>
          </cell>
        </row>
        <row r="339">
          <cell r="A339">
            <v>45861</v>
          </cell>
          <cell r="F339">
            <v>206</v>
          </cell>
          <cell r="G339" t="str">
            <v>E123 28 MM FLİPTOP 13 ŞEFFAF TURUNCU PLT.IC.KOLI STANDART</v>
          </cell>
          <cell r="J339">
            <v>12</v>
          </cell>
          <cell r="K339">
            <v>11</v>
          </cell>
          <cell r="L339">
            <v>27.2</v>
          </cell>
        </row>
        <row r="340">
          <cell r="A340">
            <v>45861</v>
          </cell>
          <cell r="F340">
            <v>207</v>
          </cell>
          <cell r="G340" t="str">
            <v>E121A 28MM TRIMSIZ KAPAK 10 OPAK KIRMIZI KOLI STANDART</v>
          </cell>
          <cell r="J340">
            <v>12</v>
          </cell>
          <cell r="K340">
            <v>9</v>
          </cell>
          <cell r="L340">
            <v>34.03</v>
          </cell>
        </row>
        <row r="341">
          <cell r="A341">
            <v>45861</v>
          </cell>
          <cell r="F341">
            <v>208</v>
          </cell>
          <cell r="G341" t="str">
            <v>E063 110 MM 32 OPAK SARI KOLI STANDART</v>
          </cell>
          <cell r="J341">
            <v>4</v>
          </cell>
          <cell r="K341">
            <v>2</v>
          </cell>
          <cell r="L341">
            <v>23.2</v>
          </cell>
        </row>
        <row r="342">
          <cell r="A342">
            <v>45861</v>
          </cell>
          <cell r="F342">
            <v>210</v>
          </cell>
          <cell r="G342" t="str">
            <v>E031A 110 MM ETİKETLİ FOLYOLU 17 OPAK SARI PLT.IC.KOLI STANDART</v>
          </cell>
          <cell r="J342">
            <v>4</v>
          </cell>
          <cell r="K342">
            <v>4</v>
          </cell>
          <cell r="L342">
            <v>22.2</v>
          </cell>
        </row>
        <row r="343">
          <cell r="A343">
            <v>45861</v>
          </cell>
          <cell r="F343">
            <v>301</v>
          </cell>
          <cell r="G343" t="str">
            <v>PR001 62 MM 8 GÖZ PREFORM 24 ŞEFFAF ŞEFFAF KOLI STANDART</v>
          </cell>
          <cell r="J343">
            <v>8</v>
          </cell>
          <cell r="K343">
            <v>5</v>
          </cell>
          <cell r="L343">
            <v>28</v>
          </cell>
        </row>
        <row r="344">
          <cell r="A344">
            <v>45861</v>
          </cell>
          <cell r="F344">
            <v>302</v>
          </cell>
          <cell r="G344" t="str">
            <v>PR017 38 MM 12 GÖZ YİVLİ PREFORM  73 OPAK BEYAZ KOLI STANDART</v>
          </cell>
          <cell r="J344">
            <v>12</v>
          </cell>
          <cell r="K344">
            <v>9</v>
          </cell>
          <cell r="L344">
            <v>62.8</v>
          </cell>
        </row>
        <row r="345">
          <cell r="A345">
            <v>45861</v>
          </cell>
          <cell r="F345">
            <v>501</v>
          </cell>
          <cell r="G345" t="str">
            <v>200 CC P118 17 OPAK SİYAH PALET STANDART</v>
          </cell>
          <cell r="J345">
            <v>6</v>
          </cell>
          <cell r="K345">
            <v>6</v>
          </cell>
          <cell r="L345">
            <v>15.62</v>
          </cell>
        </row>
        <row r="346">
          <cell r="A346">
            <v>45861</v>
          </cell>
          <cell r="F346">
            <v>175</v>
          </cell>
          <cell r="G346" t="str">
            <v>1000 CC D123 95 ŞEFFAF ŞEFFAF PLS. PLT STANDART</v>
          </cell>
          <cell r="J346">
            <v>3</v>
          </cell>
          <cell r="K346">
            <v>3</v>
          </cell>
          <cell r="L346">
            <v>17.93</v>
          </cell>
        </row>
        <row r="347">
          <cell r="A347">
            <v>45861</v>
          </cell>
          <cell r="F347">
            <v>132</v>
          </cell>
          <cell r="G347" t="str">
            <v>160 CC Y286 29 ŞEFFAF SARI PALET STANDART</v>
          </cell>
          <cell r="J347">
            <v>3</v>
          </cell>
          <cell r="K347">
            <v>3</v>
          </cell>
          <cell r="L347">
            <v>22.13</v>
          </cell>
        </row>
        <row r="348">
          <cell r="A348">
            <v>45861</v>
          </cell>
          <cell r="F348">
            <v>204</v>
          </cell>
          <cell r="G348" t="str">
            <v>E125 62 MM BAHARAT FLİPTOP 12 OPAK GOLD KOLI STANDART</v>
          </cell>
          <cell r="J348">
            <v>4</v>
          </cell>
          <cell r="K348">
            <v>4</v>
          </cell>
          <cell r="L348">
            <v>21.3</v>
          </cell>
        </row>
        <row r="349">
          <cell r="A349">
            <v>45862</v>
          </cell>
          <cell r="F349">
            <v>104</v>
          </cell>
          <cell r="G349" t="str">
            <v>1500 CC SP026 52 ŞEFFAF ŞEFFAF PLS. PLT STANDART</v>
          </cell>
          <cell r="J349">
            <v>5</v>
          </cell>
          <cell r="K349">
            <v>5</v>
          </cell>
          <cell r="L349">
            <v>18.850000000000001</v>
          </cell>
        </row>
        <row r="350">
          <cell r="A350">
            <v>45862</v>
          </cell>
          <cell r="F350">
            <v>161</v>
          </cell>
          <cell r="G350" t="str">
            <v>1000 CC X134 45 ŞEFFAF ŞEFFAF PALET STANDART</v>
          </cell>
          <cell r="J350">
            <v>2</v>
          </cell>
          <cell r="K350">
            <v>2</v>
          </cell>
          <cell r="L350">
            <v>24</v>
          </cell>
        </row>
        <row r="351">
          <cell r="A351">
            <v>45862</v>
          </cell>
          <cell r="F351">
            <v>162</v>
          </cell>
          <cell r="G351" t="str">
            <v>500 CC X097 35 ŞEFFAF ŞEFFAF PLS. PLT STANDART</v>
          </cell>
          <cell r="J351">
            <v>2</v>
          </cell>
          <cell r="K351">
            <v>2</v>
          </cell>
          <cell r="L351">
            <v>21</v>
          </cell>
        </row>
        <row r="352">
          <cell r="A352">
            <v>45862</v>
          </cell>
          <cell r="F352">
            <v>163</v>
          </cell>
          <cell r="G352" t="str">
            <v>1000 CC X285 52 ŞEFFAF ŞEFFAF K.TAVA PALET STANDART</v>
          </cell>
          <cell r="J352">
            <v>2</v>
          </cell>
          <cell r="K352">
            <v>2</v>
          </cell>
          <cell r="L352">
            <v>24</v>
          </cell>
        </row>
        <row r="353">
          <cell r="A353">
            <v>45862</v>
          </cell>
          <cell r="F353">
            <v>164</v>
          </cell>
          <cell r="G353" t="str">
            <v>1000 CC X366 45 ŞEFFAF ŞEFFAF PALET STANDART</v>
          </cell>
          <cell r="J353">
            <v>2</v>
          </cell>
          <cell r="K353">
            <v>2</v>
          </cell>
          <cell r="L353">
            <v>21</v>
          </cell>
        </row>
        <row r="354">
          <cell r="A354">
            <v>45862</v>
          </cell>
          <cell r="F354">
            <v>404</v>
          </cell>
          <cell r="G354" t="str">
            <v>300 CC S053 24 ŞEFFAF ŞEFFAF PLS. PLT STANDART</v>
          </cell>
          <cell r="J354">
            <v>2</v>
          </cell>
          <cell r="K354">
            <v>2</v>
          </cell>
          <cell r="L354">
            <v>6.7</v>
          </cell>
        </row>
        <row r="355">
          <cell r="A355">
            <v>45862</v>
          </cell>
          <cell r="F355">
            <v>171</v>
          </cell>
          <cell r="G355" t="str">
            <v>500 CC D052 40 ŞEFFAF PEMBE PALET STANDART</v>
          </cell>
          <cell r="J355">
            <v>5</v>
          </cell>
          <cell r="K355">
            <v>5</v>
          </cell>
          <cell r="L355">
            <v>17.45</v>
          </cell>
        </row>
        <row r="356">
          <cell r="A356">
            <v>45862</v>
          </cell>
          <cell r="F356">
            <v>172</v>
          </cell>
          <cell r="G356" t="str">
            <v>1000 CC D125 52 ŞEFFAF ŞEFFAF PALET STANDART</v>
          </cell>
          <cell r="J356">
            <v>4</v>
          </cell>
          <cell r="K356">
            <v>4</v>
          </cell>
          <cell r="L356">
            <v>17.649999999999999</v>
          </cell>
        </row>
        <row r="357">
          <cell r="A357">
            <v>45862</v>
          </cell>
          <cell r="F357">
            <v>173</v>
          </cell>
          <cell r="G357" t="str">
            <v>750 CC D071 40 ŞEFFAF SARI PALET STANDART</v>
          </cell>
          <cell r="J357">
            <v>5</v>
          </cell>
          <cell r="K357">
            <v>5</v>
          </cell>
          <cell r="L357">
            <v>16.309999999999999</v>
          </cell>
        </row>
        <row r="358">
          <cell r="A358">
            <v>45862</v>
          </cell>
          <cell r="F358">
            <v>176</v>
          </cell>
          <cell r="G358" t="str">
            <v>1000 CC D107 52 OPAK YEŞİL PALET STANDART</v>
          </cell>
          <cell r="J358">
            <v>5</v>
          </cell>
          <cell r="K358">
            <v>5</v>
          </cell>
          <cell r="L358">
            <v>16.8</v>
          </cell>
        </row>
        <row r="359">
          <cell r="A359">
            <v>45862</v>
          </cell>
          <cell r="F359">
            <v>177</v>
          </cell>
          <cell r="G359" t="str">
            <v>500 CC D088 45 ŞEFFAF ŞEFFAF PLS. PLT STANDART</v>
          </cell>
          <cell r="J359">
            <v>3</v>
          </cell>
          <cell r="K359">
            <v>3</v>
          </cell>
          <cell r="L359">
            <v>13.19</v>
          </cell>
        </row>
        <row r="360">
          <cell r="A360">
            <v>45862</v>
          </cell>
          <cell r="F360">
            <v>133</v>
          </cell>
          <cell r="G360" t="str">
            <v>150 CC Y285 19 ŞEFFAF KIRMIZI PALET STANDART</v>
          </cell>
          <cell r="J360">
            <v>4</v>
          </cell>
          <cell r="K360">
            <v>4</v>
          </cell>
          <cell r="L360">
            <v>15.88</v>
          </cell>
        </row>
        <row r="361">
          <cell r="A361">
            <v>45862</v>
          </cell>
          <cell r="F361">
            <v>206</v>
          </cell>
          <cell r="G361" t="str">
            <v>E123 28 MM FLİPTOP 13 ŞEFFAF LİLA PLT.IC.KOLI STANDART</v>
          </cell>
          <cell r="J361">
            <v>12</v>
          </cell>
          <cell r="K361">
            <v>11</v>
          </cell>
          <cell r="L361">
            <v>27.2</v>
          </cell>
        </row>
        <row r="362">
          <cell r="A362">
            <v>45862</v>
          </cell>
          <cell r="F362">
            <v>207</v>
          </cell>
          <cell r="G362" t="str">
            <v>E121A 28MM TRIMSIZ KAPAK 10 OPAK KIRMIZI KOLI STANDART</v>
          </cell>
          <cell r="J362">
            <v>12</v>
          </cell>
          <cell r="K362">
            <v>9</v>
          </cell>
          <cell r="L362">
            <v>34.01</v>
          </cell>
        </row>
        <row r="363">
          <cell r="A363">
            <v>45862</v>
          </cell>
          <cell r="F363">
            <v>208</v>
          </cell>
          <cell r="G363" t="str">
            <v>E063 110 MM 32 OPAK SARI KOLI STANDART</v>
          </cell>
          <cell r="J363">
            <v>4</v>
          </cell>
          <cell r="K363">
            <v>2</v>
          </cell>
          <cell r="L363">
            <v>24.8</v>
          </cell>
        </row>
        <row r="364">
          <cell r="A364">
            <v>45862</v>
          </cell>
          <cell r="F364">
            <v>209</v>
          </cell>
          <cell r="G364" t="str">
            <v>E023 24 MM KAPAK 8 OPAK SİYAH PLT.IC.KOLI STANDART</v>
          </cell>
          <cell r="J364">
            <v>8</v>
          </cell>
          <cell r="K364">
            <v>6</v>
          </cell>
          <cell r="L364">
            <v>29.5</v>
          </cell>
        </row>
        <row r="365">
          <cell r="A365">
            <v>45862</v>
          </cell>
          <cell r="F365">
            <v>401</v>
          </cell>
          <cell r="G365" t="str">
            <v>5000 CC S001 90 ŞEFFAF ŞEFFAF POSET STANDART</v>
          </cell>
          <cell r="J365">
            <v>1</v>
          </cell>
          <cell r="K365">
            <v>1</v>
          </cell>
          <cell r="L365">
            <v>11.4</v>
          </cell>
        </row>
        <row r="366">
          <cell r="A366">
            <v>45862</v>
          </cell>
          <cell r="F366">
            <v>301</v>
          </cell>
          <cell r="G366" t="str">
            <v>PR001 62 MM 8 GÖZ PREFORM 24 ŞEFFAF ŞEFFAF KOLI STANDART</v>
          </cell>
          <cell r="J366">
            <v>8</v>
          </cell>
          <cell r="K366">
            <v>5</v>
          </cell>
          <cell r="L366">
            <v>28.1</v>
          </cell>
        </row>
        <row r="367">
          <cell r="A367">
            <v>45862</v>
          </cell>
          <cell r="F367">
            <v>501</v>
          </cell>
          <cell r="G367" t="str">
            <v>200 CC P118 17 OPAK SİYAH PALET STANDART</v>
          </cell>
          <cell r="J367">
            <v>6</v>
          </cell>
          <cell r="K367">
            <v>6</v>
          </cell>
          <cell r="L367">
            <v>15.62</v>
          </cell>
        </row>
        <row r="368">
          <cell r="A368">
            <v>45862</v>
          </cell>
          <cell r="F368">
            <v>503</v>
          </cell>
          <cell r="G368" t="str">
            <v>3000 CC P111 120 OPAK TURKUAZ POSET STANDART</v>
          </cell>
          <cell r="J368">
            <v>2</v>
          </cell>
          <cell r="K368">
            <v>2</v>
          </cell>
          <cell r="L368">
            <v>14.5</v>
          </cell>
        </row>
        <row r="369">
          <cell r="A369">
            <v>45862</v>
          </cell>
          <cell r="F369">
            <v>175</v>
          </cell>
          <cell r="G369" t="str">
            <v>700 CC D128 80 ŞEFFAF ŞEFFAF PLS. PLT STANDART</v>
          </cell>
          <cell r="J369">
            <v>3</v>
          </cell>
          <cell r="K369">
            <v>3</v>
          </cell>
          <cell r="L369">
            <v>17.97</v>
          </cell>
        </row>
        <row r="370">
          <cell r="A370">
            <v>45862</v>
          </cell>
          <cell r="F370">
            <v>132</v>
          </cell>
          <cell r="G370" t="str">
            <v>160 CC Y286 29 ŞEFFAF SARI PALET STANDART</v>
          </cell>
          <cell r="J370">
            <v>3</v>
          </cell>
          <cell r="K370">
            <v>3</v>
          </cell>
          <cell r="L370">
            <v>22.12</v>
          </cell>
        </row>
        <row r="371">
          <cell r="A371">
            <v>45863</v>
          </cell>
          <cell r="F371">
            <v>103</v>
          </cell>
          <cell r="G371" t="str">
            <v>700 CC SP009 40 ŞEFFAF SARI PLS. PLT STANDART</v>
          </cell>
          <cell r="J371">
            <v>5</v>
          </cell>
          <cell r="K371">
            <v>5</v>
          </cell>
          <cell r="L371">
            <v>14.55</v>
          </cell>
        </row>
        <row r="372">
          <cell r="A372">
            <v>45863</v>
          </cell>
          <cell r="F372">
            <v>161</v>
          </cell>
          <cell r="G372" t="str">
            <v>1000 CC X378 45 ŞEFFAF ŞEFFAF K.TAVA PALET STANDART</v>
          </cell>
          <cell r="J372">
            <v>2</v>
          </cell>
          <cell r="K372">
            <v>2</v>
          </cell>
          <cell r="L372">
            <v>21</v>
          </cell>
        </row>
        <row r="373">
          <cell r="A373">
            <v>45863</v>
          </cell>
          <cell r="F373">
            <v>162</v>
          </cell>
          <cell r="G373" t="str">
            <v>500 CC X097 35 ŞEFFAF ŞEFFAF PLS. PLT STANDART</v>
          </cell>
          <cell r="J373">
            <v>2</v>
          </cell>
          <cell r="K373">
            <v>2</v>
          </cell>
          <cell r="L373">
            <v>24</v>
          </cell>
        </row>
        <row r="374">
          <cell r="A374">
            <v>45863</v>
          </cell>
          <cell r="F374">
            <v>163</v>
          </cell>
          <cell r="G374" t="str">
            <v>1000 CC X285 52 ŞEFFAF ŞEFFAF K.TAVA PALET STANDART</v>
          </cell>
          <cell r="J374">
            <v>2</v>
          </cell>
          <cell r="K374">
            <v>2</v>
          </cell>
          <cell r="L374">
            <v>21</v>
          </cell>
        </row>
        <row r="375">
          <cell r="A375">
            <v>45863</v>
          </cell>
          <cell r="F375">
            <v>182</v>
          </cell>
          <cell r="G375" t="str">
            <v>750 CC Z099 26 ŞEFFAF ŞEFFAF PLS. PLT STANDART</v>
          </cell>
          <cell r="J375">
            <v>4</v>
          </cell>
          <cell r="K375">
            <v>4</v>
          </cell>
          <cell r="L375">
            <v>15</v>
          </cell>
        </row>
        <row r="376">
          <cell r="A376">
            <v>45863</v>
          </cell>
          <cell r="F376">
            <v>404</v>
          </cell>
          <cell r="G376" t="str">
            <v>300 CC S053 24 ŞEFFAF ŞEFFAF PLS. PLT STANDART</v>
          </cell>
          <cell r="J376">
            <v>2</v>
          </cell>
          <cell r="K376">
            <v>2</v>
          </cell>
          <cell r="L376">
            <v>6.5</v>
          </cell>
        </row>
        <row r="377">
          <cell r="A377">
            <v>45863</v>
          </cell>
          <cell r="F377">
            <v>405</v>
          </cell>
          <cell r="G377" t="str">
            <v>1000 CC S013 43 ŞEFFAF ŞEFFAF PLS. PLT STANDART</v>
          </cell>
          <cell r="J377">
            <v>2</v>
          </cell>
          <cell r="K377">
            <v>2</v>
          </cell>
          <cell r="L377">
            <v>7.5</v>
          </cell>
        </row>
        <row r="378">
          <cell r="A378">
            <v>45863</v>
          </cell>
          <cell r="F378">
            <v>171</v>
          </cell>
          <cell r="G378" t="str">
            <v>500 CC D052 40 ŞEFFAF PEMBE PALET STANDART</v>
          </cell>
          <cell r="J378">
            <v>6</v>
          </cell>
          <cell r="K378">
            <v>5</v>
          </cell>
          <cell r="L378">
            <v>17.39</v>
          </cell>
        </row>
        <row r="379">
          <cell r="A379">
            <v>45863</v>
          </cell>
          <cell r="F379">
            <v>172</v>
          </cell>
          <cell r="G379" t="str">
            <v>1000 CC D125 52 ŞEFFAF ŞEFFAF PALET STANDART</v>
          </cell>
          <cell r="J379">
            <v>4</v>
          </cell>
          <cell r="K379">
            <v>4</v>
          </cell>
          <cell r="L379">
            <v>17.649999999999999</v>
          </cell>
        </row>
        <row r="380">
          <cell r="A380">
            <v>45863</v>
          </cell>
          <cell r="F380">
            <v>173</v>
          </cell>
          <cell r="G380" t="str">
            <v>750 CC D071 40 ŞEFFAF SARI PALET STANDART</v>
          </cell>
          <cell r="J380">
            <v>5</v>
          </cell>
          <cell r="K380">
            <v>5</v>
          </cell>
          <cell r="L380">
            <v>16.170000000000002</v>
          </cell>
        </row>
        <row r="381">
          <cell r="A381">
            <v>45863</v>
          </cell>
          <cell r="F381">
            <v>174</v>
          </cell>
          <cell r="G381" t="str">
            <v>500 CC D085 35 ŞEFFAF ŞEFFAF K.TAVA PALET STANDART</v>
          </cell>
          <cell r="J381">
            <v>5</v>
          </cell>
          <cell r="K381">
            <v>5</v>
          </cell>
          <cell r="L381">
            <v>13.75</v>
          </cell>
        </row>
        <row r="382">
          <cell r="A382">
            <v>45863</v>
          </cell>
          <cell r="F382">
            <v>176</v>
          </cell>
          <cell r="G382" t="str">
            <v>1000 CC D107 52 OPAK YEŞİL PALET STANDART</v>
          </cell>
          <cell r="J382">
            <v>5</v>
          </cell>
          <cell r="K382">
            <v>5</v>
          </cell>
          <cell r="L382">
            <v>16.600000000000001</v>
          </cell>
        </row>
        <row r="383">
          <cell r="A383">
            <v>45863</v>
          </cell>
          <cell r="F383">
            <v>177</v>
          </cell>
          <cell r="G383" t="str">
            <v>500 CC D088 45 ŞEFFAF ŞEFFAF PLS. PLT STANDART</v>
          </cell>
          <cell r="J383">
            <v>3</v>
          </cell>
          <cell r="K383">
            <v>3</v>
          </cell>
          <cell r="L383">
            <v>13.2</v>
          </cell>
        </row>
        <row r="384">
          <cell r="A384">
            <v>45863</v>
          </cell>
          <cell r="F384">
            <v>133</v>
          </cell>
          <cell r="G384" t="str">
            <v>150 CC Y285 19 ŞEFFAF KIRMIZI PALET STANDART</v>
          </cell>
          <cell r="J384">
            <v>4</v>
          </cell>
          <cell r="K384">
            <v>4</v>
          </cell>
          <cell r="L384">
            <v>15.86</v>
          </cell>
        </row>
        <row r="385">
          <cell r="A385">
            <v>45863</v>
          </cell>
          <cell r="F385">
            <v>206</v>
          </cell>
          <cell r="G385" t="str">
            <v>E123 28 MM FLİPTOP 13 ŞEFFAF LİLA PLT.IC.KOLI STANDART</v>
          </cell>
          <cell r="J385">
            <v>12</v>
          </cell>
          <cell r="K385">
            <v>11</v>
          </cell>
          <cell r="L385">
            <v>27.1</v>
          </cell>
        </row>
        <row r="386">
          <cell r="A386">
            <v>45863</v>
          </cell>
          <cell r="F386">
            <v>208</v>
          </cell>
          <cell r="G386" t="str">
            <v>E063 110 MM 32 OPAK SARI KOLI STANDART</v>
          </cell>
          <cell r="J386">
            <v>4</v>
          </cell>
          <cell r="K386">
            <v>2</v>
          </cell>
          <cell r="L386">
            <v>24.68</v>
          </cell>
        </row>
        <row r="387">
          <cell r="A387">
            <v>45863</v>
          </cell>
          <cell r="F387">
            <v>209</v>
          </cell>
          <cell r="G387" t="str">
            <v>E023 24 MM KAPAK 8 OPAK SİYAH PLT.IC.KOLI STANDART</v>
          </cell>
          <cell r="J387">
            <v>8</v>
          </cell>
          <cell r="K387">
            <v>7</v>
          </cell>
          <cell r="L387">
            <v>29.5</v>
          </cell>
        </row>
        <row r="388">
          <cell r="A388">
            <v>45863</v>
          </cell>
          <cell r="F388">
            <v>401</v>
          </cell>
          <cell r="G388" t="str">
            <v>5000 CC S001 90 ŞEFFAF ŞEFFAF POSET STANDART</v>
          </cell>
          <cell r="J388">
            <v>1</v>
          </cell>
          <cell r="K388">
            <v>1</v>
          </cell>
          <cell r="L388">
            <v>11.76</v>
          </cell>
        </row>
        <row r="389">
          <cell r="A389">
            <v>45863</v>
          </cell>
          <cell r="F389">
            <v>503</v>
          </cell>
          <cell r="G389" t="str">
            <v>3000 CC P111 120 OPAK TURKUAZ POSET STANDART</v>
          </cell>
          <cell r="J389">
            <v>2</v>
          </cell>
          <cell r="K389">
            <v>2</v>
          </cell>
          <cell r="L389">
            <v>14.5</v>
          </cell>
        </row>
        <row r="390">
          <cell r="A390">
            <v>45863</v>
          </cell>
          <cell r="F390">
            <v>175</v>
          </cell>
          <cell r="G390" t="str">
            <v>700 CC D128 80 ŞEFFAF ŞEFFAF PLS. PLT STANDART</v>
          </cell>
          <cell r="J390">
            <v>3</v>
          </cell>
          <cell r="K390">
            <v>3</v>
          </cell>
          <cell r="L390">
            <v>17.03</v>
          </cell>
        </row>
        <row r="391">
          <cell r="A391">
            <v>45866</v>
          </cell>
          <cell r="F391">
            <v>103</v>
          </cell>
          <cell r="G391" t="str">
            <v>700 CC SP009 40 ŞEFFAF SARI PLS. PLT STANDART</v>
          </cell>
          <cell r="J391">
            <v>5</v>
          </cell>
          <cell r="K391">
            <v>5</v>
          </cell>
          <cell r="L391">
            <v>14.75</v>
          </cell>
        </row>
        <row r="392">
          <cell r="A392">
            <v>45866</v>
          </cell>
          <cell r="F392">
            <v>161</v>
          </cell>
          <cell r="G392" t="str">
            <v>1000 CC X378 45 ŞEFFAF ŞEFFAF K.TAVA PALET STANDART</v>
          </cell>
          <cell r="J392">
            <v>2</v>
          </cell>
          <cell r="K392">
            <v>2</v>
          </cell>
          <cell r="L392">
            <v>21</v>
          </cell>
        </row>
        <row r="393">
          <cell r="A393">
            <v>45866</v>
          </cell>
          <cell r="F393">
            <v>162</v>
          </cell>
          <cell r="G393" t="str">
            <v>750 CC X031 35 ŞEFFAF ŞEFFAF PALET STANDART</v>
          </cell>
          <cell r="J393">
            <v>2</v>
          </cell>
          <cell r="K393">
            <v>2</v>
          </cell>
          <cell r="L393">
            <v>21</v>
          </cell>
        </row>
        <row r="394">
          <cell r="A394">
            <v>45866</v>
          </cell>
          <cell r="F394">
            <v>164</v>
          </cell>
          <cell r="G394" t="str">
            <v>1000 CC X404 52 ŞEFFAF ŞEFFAF PALET STANDART</v>
          </cell>
          <cell r="J394">
            <v>2</v>
          </cell>
          <cell r="K394">
            <v>2</v>
          </cell>
          <cell r="L394">
            <v>22.8</v>
          </cell>
        </row>
        <row r="395">
          <cell r="A395">
            <v>45866</v>
          </cell>
          <cell r="F395">
            <v>182</v>
          </cell>
          <cell r="G395" t="str">
            <v>400 CC Z101 26 ŞEFFAF ŞEFFAF PALET STANDART</v>
          </cell>
          <cell r="J395">
            <v>4</v>
          </cell>
          <cell r="K395">
            <v>4</v>
          </cell>
          <cell r="L395">
            <v>15</v>
          </cell>
        </row>
        <row r="396">
          <cell r="A396">
            <v>45866</v>
          </cell>
          <cell r="F396">
            <v>404</v>
          </cell>
          <cell r="G396" t="str">
            <v>300 CC S053 24 ŞEFFAF ŞEFFAF PLS. PLT STANDART</v>
          </cell>
          <cell r="J396">
            <v>2</v>
          </cell>
          <cell r="K396">
            <v>2</v>
          </cell>
          <cell r="L396">
            <v>7.1</v>
          </cell>
        </row>
        <row r="397">
          <cell r="A397">
            <v>45866</v>
          </cell>
          <cell r="F397">
            <v>171</v>
          </cell>
          <cell r="G397" t="str">
            <v>500 CC D052 40 ŞEFFAF PEMBE PALET STANDART</v>
          </cell>
          <cell r="J397">
            <v>6</v>
          </cell>
          <cell r="K397">
            <v>5</v>
          </cell>
          <cell r="L397">
            <v>17.48</v>
          </cell>
        </row>
        <row r="398">
          <cell r="A398">
            <v>45866</v>
          </cell>
          <cell r="F398">
            <v>174</v>
          </cell>
          <cell r="G398" t="str">
            <v>450 CC D120 35 ŞEFFAF UV PLS. PLT K.TAVA CAKMA</v>
          </cell>
          <cell r="J398">
            <v>5</v>
          </cell>
          <cell r="K398">
            <v>5</v>
          </cell>
          <cell r="L398">
            <v>13.68</v>
          </cell>
        </row>
        <row r="399">
          <cell r="A399">
            <v>45866</v>
          </cell>
          <cell r="F399">
            <v>176</v>
          </cell>
          <cell r="G399" t="str">
            <v>1000 CC D107 52 OPAK SİYAH PALET STANDART</v>
          </cell>
          <cell r="J399">
            <v>5</v>
          </cell>
          <cell r="K399">
            <v>5</v>
          </cell>
          <cell r="L399">
            <v>16.62</v>
          </cell>
        </row>
        <row r="400">
          <cell r="A400">
            <v>45866</v>
          </cell>
          <cell r="F400">
            <v>177</v>
          </cell>
          <cell r="G400" t="str">
            <v>500 CC D088 45 ŞEFFAF ŞEFFAF PLS. PLT STANDART</v>
          </cell>
          <cell r="J400">
            <v>3</v>
          </cell>
          <cell r="K400">
            <v>3</v>
          </cell>
          <cell r="L400">
            <v>13.22</v>
          </cell>
        </row>
        <row r="401">
          <cell r="A401">
            <v>45866</v>
          </cell>
          <cell r="F401">
            <v>206</v>
          </cell>
          <cell r="G401" t="str">
            <v>E123 28 MM FLİPTOP 13 ŞEFFAF LİLA PLT.IC.KOLI STANDART</v>
          </cell>
          <cell r="J401">
            <v>12</v>
          </cell>
          <cell r="K401">
            <v>11</v>
          </cell>
          <cell r="L401">
            <v>27.2</v>
          </cell>
        </row>
        <row r="402">
          <cell r="A402">
            <v>45866</v>
          </cell>
          <cell r="F402">
            <v>207</v>
          </cell>
          <cell r="G402" t="str">
            <v>E121A 28MM TRIMSIZ KAPAK 10 OPAK KIRMIZI KOLI STANDART</v>
          </cell>
          <cell r="J402">
            <v>12</v>
          </cell>
          <cell r="K402">
            <v>8</v>
          </cell>
          <cell r="L402">
            <v>34</v>
          </cell>
        </row>
        <row r="403">
          <cell r="A403">
            <v>45866</v>
          </cell>
          <cell r="F403">
            <v>208</v>
          </cell>
          <cell r="G403" t="str">
            <v>E063 110 MM 32 OPAK SARI KOLI STANDART</v>
          </cell>
          <cell r="J403">
            <v>4</v>
          </cell>
          <cell r="K403">
            <v>2</v>
          </cell>
          <cell r="L403">
            <v>24.8</v>
          </cell>
        </row>
        <row r="404">
          <cell r="A404">
            <v>45866</v>
          </cell>
          <cell r="F404">
            <v>209</v>
          </cell>
          <cell r="G404" t="str">
            <v>E023 24 MM KAPAK 8 OPAK SİYAH PLT.IC.KOLI STANDART</v>
          </cell>
          <cell r="J404">
            <v>8</v>
          </cell>
          <cell r="K404">
            <v>7</v>
          </cell>
          <cell r="L404">
            <v>29</v>
          </cell>
        </row>
        <row r="405">
          <cell r="A405">
            <v>45866</v>
          </cell>
          <cell r="F405">
            <v>210</v>
          </cell>
          <cell r="G405" t="str">
            <v>E031A 110 MM ETİKETLİ FOLYOLU 17 OPAK GOLD PLT.IC.KOLI STANDART</v>
          </cell>
          <cell r="J405">
            <v>4</v>
          </cell>
          <cell r="K405">
            <v>4</v>
          </cell>
          <cell r="L405">
            <v>22.2</v>
          </cell>
        </row>
        <row r="406">
          <cell r="A406">
            <v>45866</v>
          </cell>
          <cell r="F406">
            <v>401</v>
          </cell>
          <cell r="G406" t="str">
            <v>5000 CC S001 90 ŞEFFAF ŞEFFAF POSET STANDART</v>
          </cell>
          <cell r="J406">
            <v>1</v>
          </cell>
          <cell r="K406">
            <v>1</v>
          </cell>
          <cell r="L406">
            <v>11.7</v>
          </cell>
        </row>
        <row r="407">
          <cell r="A407">
            <v>45866</v>
          </cell>
          <cell r="F407">
            <v>303</v>
          </cell>
          <cell r="G407" t="str">
            <v>PR014 110 MM 12 GÖZ TWIST OFF PREFORM 91 OPAK SİYAH KOLI STANDART</v>
          </cell>
          <cell r="J407">
            <v>12</v>
          </cell>
          <cell r="K407">
            <v>6</v>
          </cell>
          <cell r="L407">
            <v>41.9</v>
          </cell>
        </row>
        <row r="408">
          <cell r="A408">
            <v>45866</v>
          </cell>
          <cell r="F408">
            <v>503</v>
          </cell>
          <cell r="G408" t="str">
            <v>3000 CC P111 120 OPAK TURKUAZ POSET STANDART</v>
          </cell>
          <cell r="J408">
            <v>2</v>
          </cell>
          <cell r="K408">
            <v>2</v>
          </cell>
          <cell r="L408">
            <v>14.5</v>
          </cell>
        </row>
        <row r="409">
          <cell r="A409">
            <v>45866</v>
          </cell>
          <cell r="F409">
            <v>175</v>
          </cell>
          <cell r="G409" t="str">
            <v>700 CC D128 80 ŞEFFAF ŞEFFAF PLS. PLT STANDART</v>
          </cell>
          <cell r="J409">
            <v>3</v>
          </cell>
          <cell r="K409">
            <v>3</v>
          </cell>
          <cell r="L409">
            <v>17.100000000000001</v>
          </cell>
        </row>
        <row r="410">
          <cell r="A410">
            <v>45866</v>
          </cell>
          <cell r="F410">
            <v>181</v>
          </cell>
          <cell r="G410" t="str">
            <v>400 CC Z032 28 ŞEFFAF ŞEFFAF PALET STANDART</v>
          </cell>
          <cell r="J410">
            <v>4</v>
          </cell>
          <cell r="K410">
            <v>4</v>
          </cell>
          <cell r="L410">
            <v>14</v>
          </cell>
        </row>
        <row r="411">
          <cell r="A411">
            <v>45866</v>
          </cell>
          <cell r="F411">
            <v>132</v>
          </cell>
          <cell r="G411" t="str">
            <v>200 CC Y321 25 ŞEFFAF TURKUAZ PALET STANDART</v>
          </cell>
          <cell r="J411">
            <v>3</v>
          </cell>
          <cell r="K411">
            <v>3</v>
          </cell>
          <cell r="L411">
            <v>16.93</v>
          </cell>
        </row>
        <row r="412">
          <cell r="A412">
            <v>45867</v>
          </cell>
          <cell r="F412">
            <v>103</v>
          </cell>
          <cell r="G412" t="str">
            <v>700 CC SP009 40 ŞEFFAF SARI PLS. PLT STANDART</v>
          </cell>
          <cell r="J412">
            <v>5</v>
          </cell>
          <cell r="K412">
            <v>5</v>
          </cell>
          <cell r="L412">
            <v>14.53</v>
          </cell>
        </row>
        <row r="413">
          <cell r="A413">
            <v>45867</v>
          </cell>
          <cell r="F413">
            <v>161</v>
          </cell>
          <cell r="G413" t="str">
            <v>1000 CC X378 45 ŞEFFAF ŞEFFAF K.TAVA PALET STANDART</v>
          </cell>
          <cell r="J413">
            <v>2</v>
          </cell>
          <cell r="K413">
            <v>2</v>
          </cell>
          <cell r="L413">
            <v>21</v>
          </cell>
        </row>
        <row r="414">
          <cell r="A414">
            <v>45867</v>
          </cell>
          <cell r="F414">
            <v>162</v>
          </cell>
          <cell r="G414" t="str">
            <v>400 CC X282 35 ŞEFFAF ŞEFFAF PALET CAKMA</v>
          </cell>
          <cell r="J414">
            <v>2</v>
          </cell>
          <cell r="K414">
            <v>2</v>
          </cell>
          <cell r="L414">
            <v>21.84</v>
          </cell>
        </row>
        <row r="415">
          <cell r="A415">
            <v>45867</v>
          </cell>
          <cell r="F415">
            <v>163</v>
          </cell>
          <cell r="G415" t="str">
            <v>1000 CC X134 52 ŞEFFAF ŞEFFAF PALET STANDART</v>
          </cell>
          <cell r="J415">
            <v>2</v>
          </cell>
          <cell r="K415">
            <v>2</v>
          </cell>
          <cell r="L415">
            <v>22.49</v>
          </cell>
        </row>
        <row r="416">
          <cell r="A416">
            <v>45867</v>
          </cell>
          <cell r="F416">
            <v>164</v>
          </cell>
          <cell r="G416" t="str">
            <v>1000 CC X404 52 ŞEFFAF ŞEFFAF PALET STANDART</v>
          </cell>
          <cell r="J416">
            <v>2</v>
          </cell>
          <cell r="K416">
            <v>2</v>
          </cell>
          <cell r="L416">
            <v>22.8</v>
          </cell>
        </row>
        <row r="417">
          <cell r="A417">
            <v>45867</v>
          </cell>
          <cell r="F417">
            <v>182</v>
          </cell>
          <cell r="G417" t="str">
            <v>400 CC Z101 26 ŞEFFAF ŞEFFAF PALET STANDART</v>
          </cell>
          <cell r="J417">
            <v>4</v>
          </cell>
          <cell r="K417">
            <v>4</v>
          </cell>
          <cell r="L417">
            <v>15</v>
          </cell>
        </row>
        <row r="418">
          <cell r="A418">
            <v>45867</v>
          </cell>
          <cell r="F418">
            <v>402</v>
          </cell>
          <cell r="G418" t="str">
            <v>1500 CC S043 74 OPAK BEYAZ PALET STANDART</v>
          </cell>
          <cell r="J418">
            <v>2</v>
          </cell>
          <cell r="K418">
            <v>2</v>
          </cell>
          <cell r="L418">
            <v>10.5</v>
          </cell>
        </row>
        <row r="419">
          <cell r="A419">
            <v>45867</v>
          </cell>
          <cell r="F419">
            <v>404</v>
          </cell>
          <cell r="G419" t="str">
            <v>300 CC S053 24 ŞEFFAF ŞEFFAF PLS. PLT STANDART</v>
          </cell>
          <cell r="J419">
            <v>2</v>
          </cell>
          <cell r="K419">
            <v>2</v>
          </cell>
          <cell r="L419">
            <v>6.9</v>
          </cell>
        </row>
        <row r="420">
          <cell r="A420">
            <v>45867</v>
          </cell>
          <cell r="F420">
            <v>405</v>
          </cell>
          <cell r="G420" t="str">
            <v>1200 CC S023 91 OPAK SİYAH PALET STANDART</v>
          </cell>
          <cell r="J420">
            <v>2</v>
          </cell>
          <cell r="K420">
            <v>2</v>
          </cell>
          <cell r="L420">
            <v>8.9</v>
          </cell>
        </row>
        <row r="421">
          <cell r="A421">
            <v>45867</v>
          </cell>
          <cell r="F421">
            <v>171</v>
          </cell>
          <cell r="G421" t="str">
            <v>500 CC D052 40 ŞEFFAF PEMBE PALET STANDART</v>
          </cell>
          <cell r="J421">
            <v>6</v>
          </cell>
          <cell r="K421">
            <v>5</v>
          </cell>
          <cell r="L421">
            <v>17.43</v>
          </cell>
        </row>
        <row r="422">
          <cell r="A422">
            <v>45867</v>
          </cell>
          <cell r="F422">
            <v>172</v>
          </cell>
          <cell r="G422" t="str">
            <v>1000 CC D075 45 ŞEFFAF ŞEFFAF PALET STANDART</v>
          </cell>
          <cell r="J422">
            <v>4</v>
          </cell>
          <cell r="K422">
            <v>4</v>
          </cell>
          <cell r="L422">
            <v>17.600000000000001</v>
          </cell>
        </row>
        <row r="423">
          <cell r="A423">
            <v>45867</v>
          </cell>
          <cell r="F423">
            <v>174</v>
          </cell>
          <cell r="G423" t="str">
            <v>450 CC D120 35 ŞEFFAF UV PLS. PLT K.TAVA CAKMA</v>
          </cell>
          <cell r="J423">
            <v>5</v>
          </cell>
          <cell r="K423">
            <v>5</v>
          </cell>
          <cell r="L423">
            <v>13.78</v>
          </cell>
        </row>
        <row r="424">
          <cell r="A424">
            <v>45867</v>
          </cell>
          <cell r="F424">
            <v>176</v>
          </cell>
          <cell r="G424" t="str">
            <v>1000 CC D107 52 OPAK SİYAH PALET STANDART</v>
          </cell>
          <cell r="J424">
            <v>5</v>
          </cell>
          <cell r="K424">
            <v>5</v>
          </cell>
          <cell r="L424">
            <v>16.940000000000001</v>
          </cell>
        </row>
        <row r="425">
          <cell r="A425">
            <v>45867</v>
          </cell>
          <cell r="F425">
            <v>131</v>
          </cell>
          <cell r="G425" t="str">
            <v>400 CC Y105 25 ŞEFFAF ŞEFFAF PALET KISA</v>
          </cell>
          <cell r="J425">
            <v>3</v>
          </cell>
          <cell r="K425">
            <v>2</v>
          </cell>
          <cell r="L425">
            <v>17.420000000000002</v>
          </cell>
        </row>
        <row r="426">
          <cell r="A426">
            <v>45867</v>
          </cell>
          <cell r="F426">
            <v>134</v>
          </cell>
          <cell r="G426" t="str">
            <v>300 CC Y044 25 OPAK SİYAH PALET CAKMA</v>
          </cell>
          <cell r="J426">
            <v>3</v>
          </cell>
          <cell r="K426">
            <v>2</v>
          </cell>
          <cell r="L426">
            <v>14.67</v>
          </cell>
        </row>
        <row r="427">
          <cell r="A427">
            <v>45867</v>
          </cell>
          <cell r="F427">
            <v>206</v>
          </cell>
          <cell r="G427" t="str">
            <v>E123 28 MM FLİPTOP 13 ŞEFFAF BUZ BEYAZ PLT.IC.KOLI STANDART</v>
          </cell>
          <cell r="J427">
            <v>12</v>
          </cell>
          <cell r="K427">
            <v>11</v>
          </cell>
          <cell r="L427">
            <v>27.2</v>
          </cell>
        </row>
        <row r="428">
          <cell r="A428">
            <v>45867</v>
          </cell>
          <cell r="F428">
            <v>207</v>
          </cell>
          <cell r="G428" t="str">
            <v>E121A 28MM TRIMSIZ KAPAK 10 OPAK KIRMIZI KOLI STANDART</v>
          </cell>
          <cell r="J428">
            <v>12</v>
          </cell>
          <cell r="K428">
            <v>8</v>
          </cell>
          <cell r="L428">
            <v>34.869999999999997</v>
          </cell>
        </row>
        <row r="429">
          <cell r="A429">
            <v>45867</v>
          </cell>
          <cell r="F429">
            <v>208</v>
          </cell>
          <cell r="G429" t="str">
            <v>E063 110 MM 32 OPAK SARI KOLI STANDART</v>
          </cell>
          <cell r="J429">
            <v>4</v>
          </cell>
          <cell r="K429">
            <v>2</v>
          </cell>
          <cell r="L429">
            <v>24.5</v>
          </cell>
        </row>
        <row r="430">
          <cell r="A430">
            <v>45867</v>
          </cell>
          <cell r="F430">
            <v>209</v>
          </cell>
          <cell r="G430" t="str">
            <v>E023 24 MM KAPAK 8 OPAK SİYAH PLT.IC.KOLI STANDART</v>
          </cell>
          <cell r="J430">
            <v>8</v>
          </cell>
          <cell r="K430">
            <v>7</v>
          </cell>
          <cell r="L430">
            <v>29</v>
          </cell>
        </row>
        <row r="431">
          <cell r="A431">
            <v>45867</v>
          </cell>
          <cell r="F431">
            <v>210</v>
          </cell>
          <cell r="G431" t="str">
            <v>E031A 110 MM ETİKETLİ FOLYOLU 17 OPAK SARI PLT.IC.KOLI STANDART</v>
          </cell>
          <cell r="J431">
            <v>4</v>
          </cell>
          <cell r="K431">
            <v>4</v>
          </cell>
          <cell r="L431">
            <v>22.2</v>
          </cell>
        </row>
        <row r="432">
          <cell r="A432">
            <v>45867</v>
          </cell>
          <cell r="F432">
            <v>401</v>
          </cell>
          <cell r="G432" t="str">
            <v>700 CC S006 90 ŞEFFAF ŞEFFAF PLS. PLT STANDART</v>
          </cell>
          <cell r="J432">
            <v>1</v>
          </cell>
          <cell r="K432">
            <v>1</v>
          </cell>
          <cell r="L432">
            <v>8.75</v>
          </cell>
        </row>
        <row r="433">
          <cell r="A433">
            <v>45867</v>
          </cell>
          <cell r="F433">
            <v>303</v>
          </cell>
          <cell r="G433" t="str">
            <v>PR014 110 MM 12 GÖZ TWIST OFF PREFORM 91 OPAK SİYAH KOLI STANDART</v>
          </cell>
          <cell r="J433">
            <v>12</v>
          </cell>
          <cell r="K433">
            <v>6</v>
          </cell>
          <cell r="L433">
            <v>41.5</v>
          </cell>
        </row>
        <row r="434">
          <cell r="A434">
            <v>45867</v>
          </cell>
          <cell r="F434">
            <v>302</v>
          </cell>
          <cell r="G434" t="str">
            <v>PR017 38 MM 12 GÖZ YİVLİ PREFORM  73 OPAK BEYAZ KOLI STANDART</v>
          </cell>
          <cell r="J434">
            <v>12</v>
          </cell>
          <cell r="K434">
            <v>9</v>
          </cell>
          <cell r="L434">
            <v>62.8</v>
          </cell>
        </row>
        <row r="435">
          <cell r="A435">
            <v>45867</v>
          </cell>
          <cell r="F435">
            <v>503</v>
          </cell>
          <cell r="G435" t="str">
            <v>3000 CC P111 120 OPAK BEYAZ POSET STANDART</v>
          </cell>
          <cell r="J435">
            <v>2</v>
          </cell>
          <cell r="K435">
            <v>2</v>
          </cell>
          <cell r="L435">
            <v>14.5</v>
          </cell>
        </row>
        <row r="436">
          <cell r="A436">
            <v>45867</v>
          </cell>
          <cell r="F436">
            <v>175</v>
          </cell>
          <cell r="G436" t="str">
            <v>700 CC D128 80 ŞEFFAF ŞEFFAF PLS. PLT STANDART</v>
          </cell>
          <cell r="J436">
            <v>3</v>
          </cell>
          <cell r="K436">
            <v>3</v>
          </cell>
          <cell r="L436">
            <v>17</v>
          </cell>
        </row>
        <row r="437">
          <cell r="A437">
            <v>45867</v>
          </cell>
          <cell r="F437">
            <v>138</v>
          </cell>
          <cell r="G437" t="str">
            <v>200 CC Y340 22 ŞEFFAF KAHVE PALET STANDART</v>
          </cell>
          <cell r="J437">
            <v>4</v>
          </cell>
          <cell r="K437">
            <v>4</v>
          </cell>
          <cell r="L437">
            <v>17.75</v>
          </cell>
        </row>
        <row r="438">
          <cell r="A438">
            <v>45867</v>
          </cell>
          <cell r="F438">
            <v>132</v>
          </cell>
          <cell r="G438" t="str">
            <v>400 CC Y206 29 ŞEFFAF ŞEFFAF PALET KISA</v>
          </cell>
          <cell r="J438">
            <v>3</v>
          </cell>
          <cell r="K438">
            <v>3</v>
          </cell>
          <cell r="L438">
            <v>21.04</v>
          </cell>
        </row>
        <row r="439">
          <cell r="A439">
            <v>45868</v>
          </cell>
          <cell r="F439">
            <v>101</v>
          </cell>
          <cell r="G439" t="str">
            <v>450 CC SP032 29 ŞEFFAF ŞEFFAF K.TAVA PALET CAKMA</v>
          </cell>
          <cell r="J439">
            <v>4</v>
          </cell>
          <cell r="K439">
            <v>4</v>
          </cell>
          <cell r="L439">
            <v>12.29</v>
          </cell>
        </row>
        <row r="440">
          <cell r="A440">
            <v>45868</v>
          </cell>
          <cell r="F440">
            <v>103</v>
          </cell>
          <cell r="G440" t="str">
            <v>700 CC SP009 40 ŞEFFAF SARI PLS. PLT STANDART</v>
          </cell>
          <cell r="J440">
            <v>5</v>
          </cell>
          <cell r="K440">
            <v>5</v>
          </cell>
          <cell r="L440">
            <v>14.66</v>
          </cell>
        </row>
        <row r="441">
          <cell r="A441">
            <v>45868</v>
          </cell>
          <cell r="F441">
            <v>161</v>
          </cell>
          <cell r="G441" t="str">
            <v>1000 CC X378 45 ŞEFFAF ŞEFFAF K.TAVA PALET STANDART</v>
          </cell>
          <cell r="J441">
            <v>2</v>
          </cell>
          <cell r="K441">
            <v>2</v>
          </cell>
          <cell r="L441">
            <v>21</v>
          </cell>
        </row>
        <row r="442">
          <cell r="A442">
            <v>45868</v>
          </cell>
          <cell r="F442">
            <v>162</v>
          </cell>
          <cell r="G442" t="str">
            <v>400 CC X282 35 ŞEFFAF ŞEFFAF PALET CAKMA</v>
          </cell>
          <cell r="J442">
            <v>2</v>
          </cell>
          <cell r="K442">
            <v>2</v>
          </cell>
          <cell r="L442">
            <v>21</v>
          </cell>
        </row>
        <row r="443">
          <cell r="A443">
            <v>45868</v>
          </cell>
          <cell r="F443">
            <v>164</v>
          </cell>
          <cell r="G443" t="str">
            <v>1000 CC X404 52 ŞEFFAF ŞEFFAF PALET STANDART</v>
          </cell>
          <cell r="J443">
            <v>2</v>
          </cell>
          <cell r="K443">
            <v>2</v>
          </cell>
          <cell r="L443">
            <v>22.79</v>
          </cell>
        </row>
        <row r="444">
          <cell r="A444">
            <v>45868</v>
          </cell>
          <cell r="F444">
            <v>182</v>
          </cell>
          <cell r="G444" t="str">
            <v>400 CC Z018 26 ŞEFFAF ŞEFFAF PLS. PLT K.TAVA STANDART</v>
          </cell>
          <cell r="J444">
            <v>4</v>
          </cell>
          <cell r="K444">
            <v>4</v>
          </cell>
          <cell r="L444">
            <v>15</v>
          </cell>
        </row>
        <row r="445">
          <cell r="A445">
            <v>45868</v>
          </cell>
          <cell r="F445">
            <v>402</v>
          </cell>
          <cell r="G445" t="str">
            <v>1500 CC S043 74 OPAK BEYAZ PALET STANDART</v>
          </cell>
          <cell r="J445">
            <v>2</v>
          </cell>
          <cell r="K445">
            <v>2</v>
          </cell>
          <cell r="L445">
            <v>10.5</v>
          </cell>
        </row>
        <row r="446">
          <cell r="A446">
            <v>45868</v>
          </cell>
          <cell r="F446">
            <v>405</v>
          </cell>
          <cell r="G446" t="str">
            <v>1200 CC S023 91 OPAK SİYAH PALET STANDART</v>
          </cell>
          <cell r="J446">
            <v>2</v>
          </cell>
          <cell r="K446">
            <v>2</v>
          </cell>
          <cell r="L446">
            <v>8.8000000000000007</v>
          </cell>
        </row>
        <row r="447">
          <cell r="A447">
            <v>45868</v>
          </cell>
          <cell r="F447">
            <v>172</v>
          </cell>
          <cell r="G447" t="str">
            <v>1000 CC D075 45 ŞEFFAF ŞEFFAF PALET STANDART</v>
          </cell>
          <cell r="J447">
            <v>4</v>
          </cell>
          <cell r="K447">
            <v>4</v>
          </cell>
          <cell r="L447">
            <v>15.29</v>
          </cell>
        </row>
        <row r="448">
          <cell r="A448">
            <v>45868</v>
          </cell>
          <cell r="F448">
            <v>174</v>
          </cell>
          <cell r="G448" t="str">
            <v>450 CC D120 35 ŞEFFAF UV PLS. PLT K.TAVA CAKMA</v>
          </cell>
          <cell r="J448">
            <v>5</v>
          </cell>
          <cell r="K448">
            <v>5</v>
          </cell>
          <cell r="L448">
            <v>13.74</v>
          </cell>
        </row>
        <row r="449">
          <cell r="A449">
            <v>45868</v>
          </cell>
          <cell r="F449">
            <v>176</v>
          </cell>
          <cell r="G449" t="str">
            <v>1000 CC D107 52 OPAK SİYAH PALET STANDART</v>
          </cell>
          <cell r="J449">
            <v>5</v>
          </cell>
          <cell r="K449">
            <v>5</v>
          </cell>
          <cell r="L449">
            <v>16.920000000000002</v>
          </cell>
        </row>
        <row r="450">
          <cell r="A450">
            <v>45868</v>
          </cell>
          <cell r="F450">
            <v>177</v>
          </cell>
          <cell r="G450" t="str">
            <v>500 CC D088 45 ŞEFFAF ŞEFFAF PLS. PLT STANDART</v>
          </cell>
          <cell r="J450">
            <v>3</v>
          </cell>
          <cell r="K450">
            <v>3</v>
          </cell>
          <cell r="L450">
            <v>13.19</v>
          </cell>
        </row>
        <row r="451">
          <cell r="A451">
            <v>45868</v>
          </cell>
          <cell r="F451">
            <v>131</v>
          </cell>
          <cell r="G451" t="str">
            <v>400 CC Y105 25 ŞEFFAF ŞEFFAF PALET KISA</v>
          </cell>
          <cell r="J451">
            <v>3</v>
          </cell>
          <cell r="K451">
            <v>2</v>
          </cell>
          <cell r="L451">
            <v>17.97</v>
          </cell>
        </row>
        <row r="452">
          <cell r="A452">
            <v>45868</v>
          </cell>
          <cell r="F452">
            <v>134</v>
          </cell>
          <cell r="G452" t="str">
            <v>300 CC Y044 25 OPAK KIRMIZI PALET CAKMA</v>
          </cell>
          <cell r="J452">
            <v>3</v>
          </cell>
          <cell r="K452">
            <v>2</v>
          </cell>
          <cell r="L452">
            <v>13.97</v>
          </cell>
        </row>
        <row r="453">
          <cell r="A453">
            <v>45868</v>
          </cell>
          <cell r="F453">
            <v>206</v>
          </cell>
          <cell r="G453" t="str">
            <v>E123 28 MM FLİPTOP 13 ŞEFFAF BUZ BEYAZ PLT.IC.KOLI STANDART</v>
          </cell>
          <cell r="J453">
            <v>12</v>
          </cell>
          <cell r="K453">
            <v>11</v>
          </cell>
          <cell r="L453">
            <v>27.2</v>
          </cell>
        </row>
        <row r="454">
          <cell r="A454">
            <v>45868</v>
          </cell>
          <cell r="F454">
            <v>207</v>
          </cell>
          <cell r="G454" t="str">
            <v>E121A 28MM TRIMSIZ KAPAK 10 OPAK KIRMIZI KOLI STANDART</v>
          </cell>
          <cell r="J454">
            <v>12</v>
          </cell>
          <cell r="K454">
            <v>8</v>
          </cell>
          <cell r="L454">
            <v>34.11</v>
          </cell>
        </row>
        <row r="455">
          <cell r="A455">
            <v>45868</v>
          </cell>
          <cell r="F455">
            <v>208</v>
          </cell>
          <cell r="G455" t="str">
            <v>E063 110 MM 32 OPAK SARI KOLI STANDART</v>
          </cell>
          <cell r="J455">
            <v>4</v>
          </cell>
          <cell r="K455">
            <v>2</v>
          </cell>
          <cell r="L455">
            <v>27.79</v>
          </cell>
        </row>
        <row r="456">
          <cell r="A456">
            <v>45867</v>
          </cell>
          <cell r="F456">
            <v>401</v>
          </cell>
          <cell r="G456" t="str">
            <v>700 CC S006 90 ŞEFFAF ŞEFFAF PLS. PLT STANDART</v>
          </cell>
          <cell r="J456">
            <v>1</v>
          </cell>
          <cell r="K456">
            <v>1</v>
          </cell>
          <cell r="L456">
            <v>8.75</v>
          </cell>
        </row>
        <row r="457">
          <cell r="A457">
            <v>45868</v>
          </cell>
          <cell r="F457">
            <v>302</v>
          </cell>
          <cell r="G457" t="str">
            <v>PR017 38 MM 12 GÖZ YİVLİ PREFORM  73 OPAK BEYAZ KOLI STANDART</v>
          </cell>
          <cell r="J457">
            <v>12</v>
          </cell>
          <cell r="K457">
            <v>9</v>
          </cell>
          <cell r="L457">
            <v>62.85</v>
          </cell>
        </row>
        <row r="458">
          <cell r="A458">
            <v>45868</v>
          </cell>
          <cell r="F458">
            <v>303</v>
          </cell>
          <cell r="G458" t="str">
            <v>PR014 110 MM 12 GÖZ TWIST OFF PREFORM 91 OPAK SİYAH KOLI STANDART</v>
          </cell>
          <cell r="J458">
            <v>12</v>
          </cell>
          <cell r="K458">
            <v>6</v>
          </cell>
          <cell r="L458">
            <v>41.9</v>
          </cell>
        </row>
        <row r="459">
          <cell r="A459">
            <v>45868</v>
          </cell>
          <cell r="F459">
            <v>503</v>
          </cell>
          <cell r="G459" t="str">
            <v>3000 CC P111 120 OPAK BEYAZ POSET STANDART</v>
          </cell>
          <cell r="J459">
            <v>2</v>
          </cell>
          <cell r="K459">
            <v>2</v>
          </cell>
          <cell r="L459">
            <v>14</v>
          </cell>
        </row>
        <row r="460">
          <cell r="A460">
            <v>45868</v>
          </cell>
          <cell r="F460">
            <v>175</v>
          </cell>
          <cell r="G460" t="str">
            <v>700 CC D128 80 ŞEFFAF ŞEFFAF PLS. PLT STANDART</v>
          </cell>
          <cell r="J460">
            <v>3</v>
          </cell>
          <cell r="K460">
            <v>3</v>
          </cell>
          <cell r="L460">
            <v>17.059999999999999</v>
          </cell>
        </row>
        <row r="461">
          <cell r="A461">
            <v>45868</v>
          </cell>
          <cell r="F461">
            <v>181</v>
          </cell>
          <cell r="G461" t="str">
            <v>750 CC Z064 28 ŞEFFAF ŞEFFAF POSET STANDART</v>
          </cell>
          <cell r="J461">
            <v>4</v>
          </cell>
          <cell r="K461">
            <v>4</v>
          </cell>
          <cell r="L461">
            <v>14</v>
          </cell>
        </row>
        <row r="462">
          <cell r="A462">
            <v>45868</v>
          </cell>
          <cell r="F462">
            <v>138</v>
          </cell>
          <cell r="G462" t="str">
            <v>200 CC Y340 22 ŞEFFAF KAHVE PALET STANDART</v>
          </cell>
          <cell r="J462">
            <v>4</v>
          </cell>
          <cell r="K462">
            <v>4</v>
          </cell>
          <cell r="L462">
            <v>17.77</v>
          </cell>
        </row>
        <row r="463">
          <cell r="A463">
            <v>45868</v>
          </cell>
          <cell r="F463">
            <v>132</v>
          </cell>
          <cell r="G463" t="str">
            <v>400 CC Y206 29 ŞEFFAF ŞEFFAF PALET KISA</v>
          </cell>
          <cell r="J463">
            <v>3</v>
          </cell>
          <cell r="K463">
            <v>3</v>
          </cell>
          <cell r="L463">
            <v>21.13</v>
          </cell>
        </row>
        <row r="464">
          <cell r="A464">
            <v>45868</v>
          </cell>
          <cell r="F464">
            <v>204</v>
          </cell>
          <cell r="G464" t="str">
            <v>E125 62 MM BAHARAT FLİPTOP 12 OPAK KIRMIZI KOLI STANDART</v>
          </cell>
          <cell r="J464">
            <v>4</v>
          </cell>
          <cell r="K464">
            <v>3</v>
          </cell>
          <cell r="L464">
            <v>21.3</v>
          </cell>
        </row>
        <row r="465">
          <cell r="A465">
            <v>45869</v>
          </cell>
          <cell r="F465">
            <v>101</v>
          </cell>
          <cell r="G465" t="str">
            <v>450 CC SP032 29 ŞEFFAF ŞEFFAF K.TAVA PALET CAKMA</v>
          </cell>
          <cell r="J465">
            <v>4</v>
          </cell>
          <cell r="K465">
            <v>4</v>
          </cell>
          <cell r="L465">
            <v>12.46</v>
          </cell>
        </row>
        <row r="466">
          <cell r="A466">
            <v>45869</v>
          </cell>
          <cell r="F466">
            <v>103</v>
          </cell>
          <cell r="G466" t="str">
            <v>700 CC SP009 40 ŞEFFAF SARI PLS. PLT STANDART</v>
          </cell>
          <cell r="J466">
            <v>5</v>
          </cell>
          <cell r="K466">
            <v>5</v>
          </cell>
          <cell r="L466">
            <v>14.87</v>
          </cell>
        </row>
        <row r="467">
          <cell r="A467">
            <v>45869</v>
          </cell>
          <cell r="F467">
            <v>161</v>
          </cell>
          <cell r="G467" t="str">
            <v>1000 CC X288 45 ŞEFFAF ŞEFFAF PLS. PLT STANDART</v>
          </cell>
          <cell r="J467">
            <v>2</v>
          </cell>
          <cell r="K467">
            <v>2</v>
          </cell>
          <cell r="L467">
            <v>21.61</v>
          </cell>
        </row>
        <row r="468">
          <cell r="A468">
            <v>45869</v>
          </cell>
          <cell r="F468">
            <v>162</v>
          </cell>
          <cell r="G468" t="str">
            <v>400 CC X282 35 ŞEFFAF ŞEFFAF PALET CAKMA</v>
          </cell>
          <cell r="J468">
            <v>2</v>
          </cell>
          <cell r="K468">
            <v>2</v>
          </cell>
          <cell r="L468">
            <v>21</v>
          </cell>
        </row>
        <row r="469">
          <cell r="A469">
            <v>45869</v>
          </cell>
          <cell r="F469">
            <v>163</v>
          </cell>
          <cell r="G469" t="str">
            <v>1000 CC X197 52 ŞEFFAF ŞEFFAF PALET STANDART</v>
          </cell>
          <cell r="J469">
            <v>2</v>
          </cell>
          <cell r="K469">
            <v>2</v>
          </cell>
          <cell r="L469">
            <v>24.3</v>
          </cell>
        </row>
        <row r="470">
          <cell r="A470">
            <v>45869</v>
          </cell>
          <cell r="F470">
            <v>164</v>
          </cell>
          <cell r="G470" t="str">
            <v>1000 CC X404 52 ŞEFFAF ŞEFFAF PALET STANDART</v>
          </cell>
          <cell r="J470">
            <v>2</v>
          </cell>
          <cell r="K470">
            <v>2</v>
          </cell>
          <cell r="L470">
            <v>22.79</v>
          </cell>
        </row>
        <row r="471">
          <cell r="A471">
            <v>45869</v>
          </cell>
          <cell r="F471">
            <v>182</v>
          </cell>
          <cell r="G471" t="str">
            <v>400 CC Z018 26 ŞEFFAF ŞEFFAF PLS. PLT K.TAVA STANDART</v>
          </cell>
          <cell r="J471">
            <v>4</v>
          </cell>
          <cell r="K471">
            <v>4</v>
          </cell>
          <cell r="L471">
            <v>15</v>
          </cell>
        </row>
        <row r="472">
          <cell r="A472">
            <v>45869</v>
          </cell>
          <cell r="F472">
            <v>402</v>
          </cell>
          <cell r="G472" t="str">
            <v>1500 CC S043 74 OPAK BEYAZ PALET STANDART</v>
          </cell>
          <cell r="J472">
            <v>2</v>
          </cell>
          <cell r="K472">
            <v>2</v>
          </cell>
          <cell r="L472">
            <v>10.5</v>
          </cell>
        </row>
        <row r="473">
          <cell r="A473">
            <v>45869</v>
          </cell>
          <cell r="F473">
            <v>172</v>
          </cell>
          <cell r="G473" t="str">
            <v>1000 CC D075 45 ŞEFFAF ŞEFFAF PALET STANDART</v>
          </cell>
          <cell r="J473">
            <v>4</v>
          </cell>
          <cell r="K473">
            <v>4</v>
          </cell>
          <cell r="L473">
            <v>15.77</v>
          </cell>
        </row>
        <row r="474">
          <cell r="A474">
            <v>45869</v>
          </cell>
          <cell r="F474">
            <v>174</v>
          </cell>
          <cell r="G474" t="str">
            <v>450 CC D120 35 ŞEFFAF UV PLS. PLT K.TAVA CAKMA</v>
          </cell>
          <cell r="J474">
            <v>5</v>
          </cell>
          <cell r="K474">
            <v>5</v>
          </cell>
          <cell r="L474">
            <v>13.78</v>
          </cell>
        </row>
        <row r="475">
          <cell r="A475">
            <v>45869</v>
          </cell>
          <cell r="F475">
            <v>176</v>
          </cell>
          <cell r="G475" t="str">
            <v>1000 CC D107 52 OPAK SİYAH PALET STANDART</v>
          </cell>
          <cell r="J475">
            <v>5</v>
          </cell>
          <cell r="K475">
            <v>5</v>
          </cell>
          <cell r="L475">
            <v>16.79</v>
          </cell>
        </row>
        <row r="476">
          <cell r="A476">
            <v>45869</v>
          </cell>
          <cell r="F476">
            <v>177</v>
          </cell>
          <cell r="G476" t="str">
            <v>500 CC D088 45 ŞEFFAF ŞEFFAF PLS. PLT STANDART</v>
          </cell>
          <cell r="J476">
            <v>3</v>
          </cell>
          <cell r="K476">
            <v>3</v>
          </cell>
          <cell r="L476">
            <v>13.21</v>
          </cell>
        </row>
        <row r="477">
          <cell r="A477">
            <v>45869</v>
          </cell>
          <cell r="F477">
            <v>131</v>
          </cell>
          <cell r="G477" t="str">
            <v>400 CC Y105 25 ŞEFFAF ŞEFFAF PALET KISA</v>
          </cell>
          <cell r="J477">
            <v>3</v>
          </cell>
          <cell r="K477">
            <v>2</v>
          </cell>
          <cell r="L477">
            <v>18.27</v>
          </cell>
        </row>
        <row r="478">
          <cell r="A478">
            <v>45869</v>
          </cell>
          <cell r="F478">
            <v>134</v>
          </cell>
          <cell r="G478" t="str">
            <v>300 CC Y044 25 OPAK KIRMIZI PALET CAKMA</v>
          </cell>
          <cell r="J478">
            <v>3</v>
          </cell>
          <cell r="K478">
            <v>2</v>
          </cell>
          <cell r="L478">
            <v>13.97</v>
          </cell>
        </row>
        <row r="479">
          <cell r="A479">
            <v>45869</v>
          </cell>
          <cell r="F479">
            <v>206</v>
          </cell>
          <cell r="G479" t="str">
            <v>E123 28 MM FLİPTOP 13 ŞEFFAF BUZ BEYAZ PLT.IC.KOLI STANDART</v>
          </cell>
          <cell r="J479">
            <v>12</v>
          </cell>
          <cell r="K479">
            <v>11</v>
          </cell>
          <cell r="L479">
            <v>27.2</v>
          </cell>
        </row>
        <row r="480">
          <cell r="A480">
            <v>45869</v>
          </cell>
          <cell r="F480">
            <v>207</v>
          </cell>
          <cell r="G480" t="str">
            <v>E121A 28MM TRIMSIZ KAPAK 10 OPAK KIRMIZI KOLI STANDART</v>
          </cell>
          <cell r="J480">
            <v>12</v>
          </cell>
          <cell r="K480">
            <v>8</v>
          </cell>
          <cell r="L480">
            <v>34.799999999999997</v>
          </cell>
        </row>
        <row r="481">
          <cell r="A481">
            <v>45869</v>
          </cell>
          <cell r="F481">
            <v>209</v>
          </cell>
          <cell r="G481" t="str">
            <v>E023 24 MM KAPAK 8 OPAK SİYAH PLT.IC.KOLI STANDART</v>
          </cell>
          <cell r="J481">
            <v>8</v>
          </cell>
          <cell r="K481">
            <v>7</v>
          </cell>
          <cell r="L481">
            <v>29.5</v>
          </cell>
        </row>
        <row r="482">
          <cell r="A482">
            <v>45869</v>
          </cell>
          <cell r="F482">
            <v>401</v>
          </cell>
          <cell r="G482" t="str">
            <v>700 CC S006 90 ŞEFFAF ŞEFFAF PLS. PLT STANDART</v>
          </cell>
          <cell r="J482">
            <v>1</v>
          </cell>
          <cell r="K482">
            <v>1</v>
          </cell>
          <cell r="L482">
            <v>8.75</v>
          </cell>
        </row>
        <row r="483">
          <cell r="A483">
            <v>45869</v>
          </cell>
          <cell r="F483">
            <v>503</v>
          </cell>
          <cell r="G483" t="str">
            <v>3000 CC P111 120 OPAK BEYAZ POSET STANDART</v>
          </cell>
          <cell r="J483">
            <v>2</v>
          </cell>
          <cell r="K483">
            <v>2</v>
          </cell>
          <cell r="L483">
            <v>13.5</v>
          </cell>
        </row>
        <row r="484">
          <cell r="A484">
            <v>45869</v>
          </cell>
          <cell r="F484">
            <v>175</v>
          </cell>
          <cell r="G484" t="str">
            <v>700 CC D128 80 ŞEFFAF ŞEFFAF PLS. PLT STANDART</v>
          </cell>
          <cell r="J484">
            <v>3</v>
          </cell>
          <cell r="K484">
            <v>3</v>
          </cell>
          <cell r="L484">
            <v>17.07</v>
          </cell>
        </row>
        <row r="485">
          <cell r="A485">
            <v>45869</v>
          </cell>
          <cell r="F485">
            <v>181</v>
          </cell>
          <cell r="G485" t="str">
            <v>750 CC Z064 28 ŞEFFAF ŞEFFAF POSET STANDART</v>
          </cell>
          <cell r="J485">
            <v>4</v>
          </cell>
          <cell r="K485">
            <v>4</v>
          </cell>
          <cell r="L485">
            <v>14</v>
          </cell>
        </row>
        <row r="486">
          <cell r="A486">
            <v>45869</v>
          </cell>
          <cell r="F486">
            <v>138</v>
          </cell>
          <cell r="G486" t="str">
            <v>200 CC Y340 22 ŞEFFAF KAHVE PALET STANDART</v>
          </cell>
          <cell r="J486">
            <v>4</v>
          </cell>
          <cell r="K486">
            <v>4</v>
          </cell>
          <cell r="L486">
            <v>17.46</v>
          </cell>
        </row>
        <row r="487">
          <cell r="A487">
            <v>45869</v>
          </cell>
          <cell r="F487">
            <v>132</v>
          </cell>
          <cell r="G487" t="str">
            <v>400 CC Y206 29 ŞEFFAF ŞEFFAF PALET KISA</v>
          </cell>
          <cell r="J487">
            <v>3</v>
          </cell>
          <cell r="K487">
            <v>3</v>
          </cell>
          <cell r="L487">
            <v>21.56</v>
          </cell>
        </row>
        <row r="488">
          <cell r="A488">
            <v>45869</v>
          </cell>
          <cell r="F488">
            <v>204</v>
          </cell>
          <cell r="G488" t="str">
            <v>E125 62 MM BAHARAT FLİPTOP 12 OPAK KIRMIZI KOLI STANDART</v>
          </cell>
          <cell r="J488">
            <v>4</v>
          </cell>
          <cell r="K488">
            <v>3</v>
          </cell>
          <cell r="L488">
            <v>21.9</v>
          </cell>
        </row>
        <row r="489">
          <cell r="A489">
            <v>45873</v>
          </cell>
          <cell r="F489">
            <v>103</v>
          </cell>
          <cell r="G489" t="str">
            <v>700 CC SP009 40 ŞEFFAF SARI PLS. PLT STANDART</v>
          </cell>
          <cell r="J489">
            <v>5</v>
          </cell>
          <cell r="K489">
            <v>5</v>
          </cell>
          <cell r="L489">
            <v>14.86</v>
          </cell>
        </row>
        <row r="490">
          <cell r="A490">
            <v>45873</v>
          </cell>
          <cell r="F490">
            <v>104</v>
          </cell>
          <cell r="G490" t="str">
            <v>500 CC SP052 25 ŞEFFAF ŞEFFAF PALET STANDART</v>
          </cell>
          <cell r="J490">
            <v>6</v>
          </cell>
          <cell r="K490">
            <v>6</v>
          </cell>
          <cell r="L490">
            <v>16.100000000000001</v>
          </cell>
        </row>
        <row r="491">
          <cell r="A491">
            <v>45873</v>
          </cell>
          <cell r="F491">
            <v>162</v>
          </cell>
          <cell r="G491" t="str">
            <v>750 CC X214 35 ŞEFFAF ŞEFFAF PLS. PLT STANDART</v>
          </cell>
          <cell r="J491">
            <v>2</v>
          </cell>
          <cell r="K491">
            <v>2</v>
          </cell>
          <cell r="L491">
            <v>21</v>
          </cell>
        </row>
        <row r="492">
          <cell r="A492">
            <v>45873</v>
          </cell>
          <cell r="F492">
            <v>163</v>
          </cell>
          <cell r="G492" t="str">
            <v>1000 CC X197 52 ŞEFFAF ŞEFFAF PALET STANDART</v>
          </cell>
          <cell r="J492">
            <v>2</v>
          </cell>
          <cell r="K492">
            <v>2</v>
          </cell>
          <cell r="L492">
            <v>24</v>
          </cell>
        </row>
        <row r="493">
          <cell r="A493">
            <v>45873</v>
          </cell>
          <cell r="F493">
            <v>182</v>
          </cell>
          <cell r="G493" t="str">
            <v>450 CC Z069 26 ŞEFFAF MAVİ PLS. PLT STANDART</v>
          </cell>
          <cell r="J493">
            <v>4</v>
          </cell>
          <cell r="K493">
            <v>4</v>
          </cell>
          <cell r="L493">
            <v>15</v>
          </cell>
        </row>
        <row r="494">
          <cell r="A494">
            <v>45873</v>
          </cell>
          <cell r="F494">
            <v>404</v>
          </cell>
          <cell r="G494" t="str">
            <v>300 CC S044 24 ŞEFFAF ŞEFFAF PALET STANDART</v>
          </cell>
          <cell r="J494">
            <v>2</v>
          </cell>
          <cell r="K494">
            <v>2</v>
          </cell>
          <cell r="L494">
            <v>7.3</v>
          </cell>
        </row>
        <row r="495">
          <cell r="A495">
            <v>45873</v>
          </cell>
          <cell r="F495">
            <v>172</v>
          </cell>
          <cell r="G495" t="str">
            <v>1000 CC D075 45 ŞEFFAF ŞEFFAF PALET STANDART</v>
          </cell>
          <cell r="J495">
            <v>4</v>
          </cell>
          <cell r="K495">
            <v>4</v>
          </cell>
          <cell r="L495">
            <v>15.79</v>
          </cell>
        </row>
        <row r="496">
          <cell r="A496">
            <v>45873</v>
          </cell>
          <cell r="F496">
            <v>173</v>
          </cell>
          <cell r="G496" t="str">
            <v>500 CC D077 40 ŞEFFAF TURKUAZ PALET STANDART</v>
          </cell>
          <cell r="J496">
            <v>5</v>
          </cell>
          <cell r="K496">
            <v>5</v>
          </cell>
          <cell r="L496">
            <v>16.28</v>
          </cell>
        </row>
        <row r="497">
          <cell r="A497">
            <v>45873</v>
          </cell>
          <cell r="F497">
            <v>174</v>
          </cell>
          <cell r="G497" t="str">
            <v>450 CC D120 35 ŞEFFAF UV PLS. PLT K.TAVA CAKMA</v>
          </cell>
          <cell r="J497">
            <v>5</v>
          </cell>
          <cell r="K497">
            <v>5</v>
          </cell>
          <cell r="L497">
            <v>13.72</v>
          </cell>
        </row>
        <row r="498">
          <cell r="A498">
            <v>45873</v>
          </cell>
          <cell r="F498">
            <v>206</v>
          </cell>
          <cell r="G498" t="str">
            <v>E123 28 MM FLİPTOP 13 ŞEFFAF BUZ BEYAZ PLT.IC.KOLI STANDART</v>
          </cell>
          <cell r="J498">
            <v>12</v>
          </cell>
          <cell r="K498">
            <v>11</v>
          </cell>
          <cell r="L498">
            <v>27.3</v>
          </cell>
        </row>
        <row r="499">
          <cell r="A499">
            <v>45873</v>
          </cell>
          <cell r="F499">
            <v>207</v>
          </cell>
          <cell r="G499" t="str">
            <v>E121A 28MM TRIMSIZ KAPAK 10 OPAK KIRMIZI KOLI STANDART</v>
          </cell>
          <cell r="J499">
            <v>12</v>
          </cell>
          <cell r="K499">
            <v>8</v>
          </cell>
          <cell r="L499">
            <v>34.130000000000003</v>
          </cell>
        </row>
        <row r="500">
          <cell r="A500">
            <v>45873</v>
          </cell>
          <cell r="F500">
            <v>208</v>
          </cell>
          <cell r="G500" t="str">
            <v>E034 100 MM KULPLU KİLİTLİ 30 OPAK SARI PLT.IC.KOLI STANDART</v>
          </cell>
          <cell r="J500">
            <v>2</v>
          </cell>
          <cell r="K500">
            <v>1</v>
          </cell>
          <cell r="L500">
            <v>36.75</v>
          </cell>
        </row>
        <row r="501">
          <cell r="A501">
            <v>45873</v>
          </cell>
          <cell r="F501">
            <v>209</v>
          </cell>
          <cell r="G501" t="str">
            <v>E023 24 MM KAPAK 8 OPAK SİYAH PLT.IC.KOLI STANDART</v>
          </cell>
          <cell r="J501">
            <v>8</v>
          </cell>
          <cell r="K501">
            <v>7</v>
          </cell>
          <cell r="L501">
            <v>28.4</v>
          </cell>
        </row>
        <row r="502">
          <cell r="A502">
            <v>45873</v>
          </cell>
          <cell r="F502">
            <v>401</v>
          </cell>
          <cell r="G502" t="str">
            <v>1500 CC S011 125 ŞEFFAF ŞEFFAF PLS. PLT STANDART</v>
          </cell>
          <cell r="J502">
            <v>1</v>
          </cell>
          <cell r="K502">
            <v>1</v>
          </cell>
          <cell r="L502">
            <v>9.82</v>
          </cell>
        </row>
        <row r="503">
          <cell r="A503">
            <v>45873</v>
          </cell>
          <cell r="F503">
            <v>503</v>
          </cell>
          <cell r="G503" t="str">
            <v>3000 CC P111 120 OPAK KIRMIZI POSET STANDART</v>
          </cell>
          <cell r="J503">
            <v>2</v>
          </cell>
          <cell r="K503">
            <v>2</v>
          </cell>
          <cell r="L503">
            <v>13.5</v>
          </cell>
        </row>
        <row r="504">
          <cell r="A504">
            <v>45874</v>
          </cell>
          <cell r="F504">
            <v>103</v>
          </cell>
          <cell r="G504" t="str">
            <v>700 CC SP009 40 ŞEFFAF SARI PLS. PLT STANDART</v>
          </cell>
          <cell r="J504">
            <v>5</v>
          </cell>
          <cell r="K504">
            <v>5</v>
          </cell>
          <cell r="L504">
            <v>14.95</v>
          </cell>
        </row>
        <row r="505">
          <cell r="A505">
            <v>45874</v>
          </cell>
          <cell r="F505">
            <v>104</v>
          </cell>
          <cell r="G505" t="str">
            <v>500 CC SP052 25 ŞEFFAF ŞEFFAF PALET STANDART</v>
          </cell>
          <cell r="J505">
            <v>6</v>
          </cell>
          <cell r="K505">
            <v>6</v>
          </cell>
          <cell r="L505">
            <v>15.85</v>
          </cell>
        </row>
        <row r="506">
          <cell r="A506">
            <v>45874</v>
          </cell>
          <cell r="F506">
            <v>162</v>
          </cell>
          <cell r="G506" t="str">
            <v>750 CC X214 35 ŞEFFAF ŞEFFAF PLS. PLT STANDART</v>
          </cell>
          <cell r="J506">
            <v>2</v>
          </cell>
          <cell r="K506">
            <v>2</v>
          </cell>
          <cell r="L506">
            <v>21</v>
          </cell>
        </row>
        <row r="507">
          <cell r="A507">
            <v>45874</v>
          </cell>
          <cell r="F507">
            <v>163</v>
          </cell>
          <cell r="G507" t="str">
            <v>1000 CC X197 52 ŞEFFAF ŞEFFAF PALET STANDART</v>
          </cell>
          <cell r="J507">
            <v>2</v>
          </cell>
          <cell r="K507">
            <v>2</v>
          </cell>
          <cell r="L507">
            <v>24</v>
          </cell>
        </row>
        <row r="508">
          <cell r="A508">
            <v>45874</v>
          </cell>
          <cell r="F508">
            <v>164</v>
          </cell>
          <cell r="G508" t="str">
            <v>1000 CC X380 52 OPAK BEYAZ PALET STANDART</v>
          </cell>
          <cell r="J508">
            <v>2</v>
          </cell>
          <cell r="K508">
            <v>2</v>
          </cell>
          <cell r="L508">
            <v>25.49</v>
          </cell>
        </row>
        <row r="509">
          <cell r="A509">
            <v>45874</v>
          </cell>
          <cell r="F509">
            <v>404</v>
          </cell>
          <cell r="G509" t="str">
            <v>300 CC S044 24 ŞEFFAF ŞEFFAF PALET STANDART</v>
          </cell>
          <cell r="J509">
            <v>2</v>
          </cell>
          <cell r="K509">
            <v>2</v>
          </cell>
          <cell r="L509">
            <v>7.3</v>
          </cell>
        </row>
        <row r="510">
          <cell r="A510">
            <v>45874</v>
          </cell>
          <cell r="F510">
            <v>405</v>
          </cell>
          <cell r="G510" t="str">
            <v>1200 CC S023 91 OPAK SİYAH PALET STANDART</v>
          </cell>
          <cell r="J510">
            <v>2</v>
          </cell>
          <cell r="K510">
            <v>2</v>
          </cell>
          <cell r="L510">
            <v>8.8000000000000007</v>
          </cell>
        </row>
        <row r="511">
          <cell r="A511">
            <v>45874</v>
          </cell>
          <cell r="F511">
            <v>172</v>
          </cell>
          <cell r="G511" t="str">
            <v>1000 CC D103 52 ŞEFFAF ŞEFFAF PALET STANDART</v>
          </cell>
          <cell r="J511">
            <v>4</v>
          </cell>
          <cell r="K511">
            <v>4</v>
          </cell>
          <cell r="L511">
            <v>17.760000000000002</v>
          </cell>
        </row>
        <row r="512">
          <cell r="A512">
            <v>45874</v>
          </cell>
          <cell r="F512">
            <v>173</v>
          </cell>
          <cell r="G512" t="str">
            <v>500 CC D077 40 ŞEFFAF TURKUAZ PALET STANDART</v>
          </cell>
          <cell r="J512">
            <v>5</v>
          </cell>
          <cell r="K512">
            <v>5</v>
          </cell>
          <cell r="L512">
            <v>16.29</v>
          </cell>
        </row>
        <row r="513">
          <cell r="A513">
            <v>45874</v>
          </cell>
          <cell r="F513">
            <v>174</v>
          </cell>
          <cell r="G513" t="str">
            <v>450 CC D120 35 ŞEFFAF UV PLS. PLT K.TAVA CAKMA</v>
          </cell>
          <cell r="J513">
            <v>5</v>
          </cell>
          <cell r="K513">
            <v>5</v>
          </cell>
          <cell r="L513">
            <v>13.78</v>
          </cell>
        </row>
        <row r="514">
          <cell r="A514">
            <v>45874</v>
          </cell>
          <cell r="F514">
            <v>177</v>
          </cell>
          <cell r="G514" t="str">
            <v>350 CC D026 45 OPAK SİYAH PALET STANDART</v>
          </cell>
          <cell r="J514">
            <v>3</v>
          </cell>
          <cell r="K514">
            <v>3</v>
          </cell>
          <cell r="L514">
            <v>14.55</v>
          </cell>
        </row>
        <row r="515">
          <cell r="A515">
            <v>45874</v>
          </cell>
          <cell r="F515">
            <v>132</v>
          </cell>
          <cell r="G515" t="str">
            <v>400 CC Y206 29 ŞEFFAF ŞEFFAF PALET KISA</v>
          </cell>
          <cell r="J515">
            <v>3</v>
          </cell>
          <cell r="K515">
            <v>3</v>
          </cell>
          <cell r="L515">
            <v>21.23</v>
          </cell>
        </row>
        <row r="516">
          <cell r="A516">
            <v>45874</v>
          </cell>
          <cell r="F516">
            <v>204</v>
          </cell>
          <cell r="G516" t="str">
            <v>E125 62 MM BAHARAT FLİPTOP 12 OPAK KIRMIZI KOLI STANDART</v>
          </cell>
          <cell r="J516">
            <v>4</v>
          </cell>
          <cell r="K516">
            <v>3</v>
          </cell>
          <cell r="L516">
            <v>21.4</v>
          </cell>
        </row>
        <row r="517">
          <cell r="A517">
            <v>45874</v>
          </cell>
          <cell r="F517">
            <v>206</v>
          </cell>
          <cell r="G517" t="str">
            <v>E123 28 MM FLİPTOP 13 ŞEFFAF BUZ BEYAZ PLT.IC.KOLI STANDART</v>
          </cell>
          <cell r="J517">
            <v>12</v>
          </cell>
          <cell r="K517">
            <v>11</v>
          </cell>
          <cell r="L517">
            <v>28.3</v>
          </cell>
        </row>
        <row r="518">
          <cell r="A518">
            <v>45874</v>
          </cell>
          <cell r="F518">
            <v>207</v>
          </cell>
          <cell r="G518" t="str">
            <v>E121A 28MM TRIMSIZ KAPAK 10 OPAK KIRMIZI KOLI STANDART</v>
          </cell>
          <cell r="J518">
            <v>12</v>
          </cell>
          <cell r="K518">
            <v>8</v>
          </cell>
          <cell r="L518">
            <v>34.299999999999997</v>
          </cell>
        </row>
        <row r="519">
          <cell r="A519">
            <v>45874</v>
          </cell>
          <cell r="F519">
            <v>208</v>
          </cell>
          <cell r="G519" t="str">
            <v>E034 100 MM KULPLU KİLİTLİ 30 OPAK SARI PLT.IC.KOLI STANDART</v>
          </cell>
          <cell r="J519">
            <v>2</v>
          </cell>
          <cell r="K519">
            <v>2</v>
          </cell>
          <cell r="L519">
            <v>37.479999999999997</v>
          </cell>
        </row>
        <row r="520">
          <cell r="A520">
            <v>45874</v>
          </cell>
          <cell r="F520">
            <v>209</v>
          </cell>
          <cell r="G520" t="str">
            <v>E023 24 MM KAPAK 8 OPAK SİYAH PLT.IC.KOLI STANDART</v>
          </cell>
          <cell r="J520">
            <v>8</v>
          </cell>
          <cell r="K520">
            <v>7</v>
          </cell>
          <cell r="L520">
            <v>28.4</v>
          </cell>
        </row>
        <row r="521">
          <cell r="A521">
            <v>45874</v>
          </cell>
          <cell r="F521">
            <v>210</v>
          </cell>
          <cell r="G521" t="str">
            <v>E032 100 MM ETİKETLİ FOLYOLU 13 OPAK YEŞİL PLT.IC.KOLI STANDART</v>
          </cell>
          <cell r="J521">
            <v>4</v>
          </cell>
          <cell r="K521">
            <v>3</v>
          </cell>
          <cell r="L521">
            <v>19.7</v>
          </cell>
        </row>
        <row r="522">
          <cell r="A522">
            <v>45874</v>
          </cell>
          <cell r="F522">
            <v>503</v>
          </cell>
          <cell r="G522" t="str">
            <v>3000 CC P111 120 OPAK KIRMIZI POSET STANDART</v>
          </cell>
          <cell r="J522">
            <v>2</v>
          </cell>
          <cell r="K522">
            <v>2</v>
          </cell>
          <cell r="L522">
            <v>13.5</v>
          </cell>
        </row>
        <row r="523">
          <cell r="A523">
            <v>45875</v>
          </cell>
          <cell r="F523">
            <v>103</v>
          </cell>
          <cell r="G523" t="str">
            <v>700 CC SP009 40 ŞEFFAF SARI PLS. PLT STANDART</v>
          </cell>
          <cell r="J523">
            <v>5</v>
          </cell>
          <cell r="K523">
            <v>5</v>
          </cell>
          <cell r="L523">
            <v>14.7</v>
          </cell>
        </row>
        <row r="524">
          <cell r="A524">
            <v>45875</v>
          </cell>
          <cell r="F524">
            <v>161</v>
          </cell>
          <cell r="G524" t="str">
            <v>900 CC X377 45 ŞEFFAF SARI PLS. PLT STANDART</v>
          </cell>
          <cell r="J524">
            <v>2</v>
          </cell>
          <cell r="K524">
            <v>2</v>
          </cell>
          <cell r="L524">
            <v>22</v>
          </cell>
        </row>
        <row r="525">
          <cell r="A525">
            <v>45875</v>
          </cell>
          <cell r="F525">
            <v>162</v>
          </cell>
          <cell r="G525" t="str">
            <v>750 CC X214 35 ŞEFFAF ŞEFFAF PLS. PLT STANDART</v>
          </cell>
          <cell r="J525">
            <v>2</v>
          </cell>
          <cell r="K525">
            <v>2</v>
          </cell>
          <cell r="L525">
            <v>21</v>
          </cell>
        </row>
        <row r="526">
          <cell r="A526">
            <v>45875</v>
          </cell>
          <cell r="F526">
            <v>163</v>
          </cell>
          <cell r="G526" t="str">
            <v>1000 CC X197 52 ŞEFFAF ŞEFFAF PALET STANDART</v>
          </cell>
          <cell r="J526">
            <v>2</v>
          </cell>
          <cell r="K526">
            <v>2</v>
          </cell>
          <cell r="L526">
            <v>24</v>
          </cell>
        </row>
        <row r="527">
          <cell r="A527">
            <v>45875</v>
          </cell>
          <cell r="F527">
            <v>164</v>
          </cell>
          <cell r="G527" t="str">
            <v>1000 CC X380 52 OPAK BEYAZ PALET STANDART</v>
          </cell>
          <cell r="J527">
            <v>2</v>
          </cell>
          <cell r="K527">
            <v>2</v>
          </cell>
          <cell r="L527">
            <v>25.5</v>
          </cell>
        </row>
        <row r="528">
          <cell r="A528">
            <v>45875</v>
          </cell>
          <cell r="F528">
            <v>182</v>
          </cell>
          <cell r="G528" t="str">
            <v>400 CC Z078 26 ŞEFFAF ŞEFFAF PALET STANDART</v>
          </cell>
          <cell r="J528">
            <v>4</v>
          </cell>
          <cell r="K528">
            <v>4</v>
          </cell>
          <cell r="L528">
            <v>14</v>
          </cell>
        </row>
        <row r="529">
          <cell r="A529">
            <v>45875</v>
          </cell>
          <cell r="F529">
            <v>401</v>
          </cell>
          <cell r="G529" t="str">
            <v>1500 CC S011 125 ŞEFFAF ŞEFFAF PLS. PLT STANDART</v>
          </cell>
          <cell r="J529">
            <v>1</v>
          </cell>
          <cell r="K529">
            <v>1</v>
          </cell>
          <cell r="L529">
            <v>9.6999999999999993</v>
          </cell>
        </row>
        <row r="530">
          <cell r="A530">
            <v>45875</v>
          </cell>
          <cell r="F530">
            <v>402</v>
          </cell>
          <cell r="G530" t="str">
            <v>1500 CC S043 74 OPAK BEYAZ PALET STANDART</v>
          </cell>
          <cell r="J530">
            <v>2</v>
          </cell>
          <cell r="K530">
            <v>2</v>
          </cell>
          <cell r="L530">
            <v>10.199999999999999</v>
          </cell>
        </row>
        <row r="531">
          <cell r="A531">
            <v>45875</v>
          </cell>
          <cell r="F531">
            <v>404</v>
          </cell>
          <cell r="G531" t="str">
            <v>300 CC S053 24 ŞEFFAF ŞEFFAF PLS. PLT STANDART</v>
          </cell>
          <cell r="J531">
            <v>2</v>
          </cell>
          <cell r="K531">
            <v>2</v>
          </cell>
          <cell r="L531">
            <v>7.3</v>
          </cell>
        </row>
        <row r="532">
          <cell r="A532">
            <v>45875</v>
          </cell>
          <cell r="F532">
            <v>405</v>
          </cell>
          <cell r="G532" t="str">
            <v>1200 CC S023 91 OPAK SİYAH PALET STANDART</v>
          </cell>
          <cell r="J532">
            <v>2</v>
          </cell>
          <cell r="K532">
            <v>2</v>
          </cell>
          <cell r="L532">
            <v>8.8000000000000007</v>
          </cell>
        </row>
        <row r="533">
          <cell r="A533">
            <v>45875</v>
          </cell>
          <cell r="F533">
            <v>171</v>
          </cell>
          <cell r="G533" t="str">
            <v>400 CC D032 29 OPAK KREM PLS. PLT K.TAVA STANDART</v>
          </cell>
          <cell r="J533">
            <v>4</v>
          </cell>
          <cell r="K533">
            <v>4</v>
          </cell>
          <cell r="L533">
            <v>17.54</v>
          </cell>
        </row>
        <row r="534">
          <cell r="A534">
            <v>45875</v>
          </cell>
          <cell r="F534">
            <v>172</v>
          </cell>
          <cell r="G534" t="str">
            <v>1000 CC D103 52 ŞEFFAF ŞEFFAF PALET STANDART</v>
          </cell>
          <cell r="J534">
            <v>4</v>
          </cell>
          <cell r="K534">
            <v>4</v>
          </cell>
          <cell r="L534">
            <v>17.75</v>
          </cell>
        </row>
        <row r="535">
          <cell r="A535">
            <v>45875</v>
          </cell>
          <cell r="F535">
            <v>173</v>
          </cell>
          <cell r="G535" t="str">
            <v>700 CC D062 40 ŞEFFAF SARI PLS. PLT STANDART</v>
          </cell>
          <cell r="J535">
            <v>5</v>
          </cell>
          <cell r="K535">
            <v>5</v>
          </cell>
          <cell r="L535">
            <v>16.350000000000001</v>
          </cell>
        </row>
        <row r="536">
          <cell r="A536">
            <v>45875</v>
          </cell>
          <cell r="F536">
            <v>174</v>
          </cell>
          <cell r="G536" t="str">
            <v>450 CC D120 35 ŞEFFAF UV PLS. PLT K.TAVA CAKMA</v>
          </cell>
          <cell r="J536">
            <v>5</v>
          </cell>
          <cell r="K536">
            <v>5</v>
          </cell>
          <cell r="L536">
            <v>13.78</v>
          </cell>
        </row>
        <row r="537">
          <cell r="A537">
            <v>45875</v>
          </cell>
          <cell r="F537">
            <v>175</v>
          </cell>
          <cell r="G537" t="str">
            <v>250 CC D127  28 ŞEFFAF ŞEFFAF PALET CAKMA</v>
          </cell>
          <cell r="J537">
            <v>5</v>
          </cell>
          <cell r="K537">
            <v>5</v>
          </cell>
          <cell r="L537">
            <v>12.46</v>
          </cell>
        </row>
        <row r="538">
          <cell r="A538">
            <v>45875</v>
          </cell>
          <cell r="F538">
            <v>132</v>
          </cell>
          <cell r="G538" t="str">
            <v>400 CC Y206 29 ŞEFFAF ŞEFFAF PALET KISA</v>
          </cell>
          <cell r="J538">
            <v>3</v>
          </cell>
          <cell r="K538">
            <v>3</v>
          </cell>
          <cell r="L538">
            <v>21.2</v>
          </cell>
        </row>
        <row r="539">
          <cell r="A539">
            <v>45875</v>
          </cell>
          <cell r="F539">
            <v>204</v>
          </cell>
          <cell r="G539" t="str">
            <v>E125 62 MM BAHARAT FLİPTOP 12 OPAK KIRMIZI KOLI STANDART</v>
          </cell>
          <cell r="J539">
            <v>4</v>
          </cell>
          <cell r="K539">
            <v>3</v>
          </cell>
          <cell r="L539">
            <v>21.4</v>
          </cell>
        </row>
        <row r="540">
          <cell r="A540">
            <v>45875</v>
          </cell>
          <cell r="F540">
            <v>206</v>
          </cell>
          <cell r="G540" t="str">
            <v>E123 28 MM FLİPTOP 13 ŞEFFAF SARI PLT.IC.KOLI STANDART</v>
          </cell>
          <cell r="J540">
            <v>12</v>
          </cell>
          <cell r="K540">
            <v>11</v>
          </cell>
          <cell r="L540">
            <v>28.2</v>
          </cell>
        </row>
        <row r="541">
          <cell r="A541">
            <v>45875</v>
          </cell>
          <cell r="F541">
            <v>207</v>
          </cell>
          <cell r="G541" t="str">
            <v>E121A 28MM TRIMSIZ KAPAK 10 OPAK KIRMIZI KOLI STANDART</v>
          </cell>
          <cell r="J541">
            <v>12</v>
          </cell>
          <cell r="K541">
            <v>8</v>
          </cell>
          <cell r="L541">
            <v>34.25</v>
          </cell>
        </row>
        <row r="542">
          <cell r="A542">
            <v>45875</v>
          </cell>
          <cell r="F542">
            <v>208</v>
          </cell>
          <cell r="G542" t="str">
            <v>E034 100 MM KULPLU KİLİTLİ 30 OPAK SARI PLT.IC.KOLI STANDART</v>
          </cell>
          <cell r="J542">
            <v>2</v>
          </cell>
          <cell r="K542">
            <v>2</v>
          </cell>
          <cell r="L542">
            <v>36.78</v>
          </cell>
        </row>
        <row r="543">
          <cell r="A543">
            <v>45875</v>
          </cell>
          <cell r="F543">
            <v>301</v>
          </cell>
          <cell r="G543" t="str">
            <v>PR001 62 MM 8 GÖZ PREFORM 24 ŞEFFAF ŞEFFAF KOLI STANDART</v>
          </cell>
          <cell r="J543">
            <v>8</v>
          </cell>
          <cell r="K543">
            <v>5</v>
          </cell>
          <cell r="L543">
            <v>30.7</v>
          </cell>
        </row>
        <row r="544">
          <cell r="A544">
            <v>45875</v>
          </cell>
          <cell r="F544">
            <v>302</v>
          </cell>
          <cell r="G544" t="str">
            <v>PR017 38 MM 12 GÖZ YİVLİ PREFORM  73 OPAK BEYAZ KOLI STANDART</v>
          </cell>
          <cell r="J544">
            <v>12</v>
          </cell>
          <cell r="K544">
            <v>12</v>
          </cell>
          <cell r="L544">
            <v>41.45</v>
          </cell>
        </row>
        <row r="545">
          <cell r="A545">
            <v>45875</v>
          </cell>
          <cell r="F545">
            <v>502</v>
          </cell>
          <cell r="G545" t="str">
            <v>265 CC P130 30 OPAK BEYAZ PLS. PLT STANDART</v>
          </cell>
          <cell r="J545">
            <v>4</v>
          </cell>
          <cell r="K545">
            <v>4</v>
          </cell>
          <cell r="L545">
            <v>19.2</v>
          </cell>
        </row>
        <row r="546">
          <cell r="A546">
            <v>45875</v>
          </cell>
          <cell r="F546">
            <v>503</v>
          </cell>
          <cell r="G546" t="str">
            <v>3000 CC P111 120 OPAK KIRMIZI POSET STANDART</v>
          </cell>
          <cell r="J546">
            <v>2</v>
          </cell>
          <cell r="K546">
            <v>2</v>
          </cell>
          <cell r="L546">
            <v>13.5</v>
          </cell>
        </row>
        <row r="547">
          <cell r="A547">
            <v>45876</v>
          </cell>
          <cell r="F547">
            <v>101</v>
          </cell>
          <cell r="G547" t="str">
            <v>450 CC SP032 29 ŞEFFAF ŞEFFAF K.TAVA PALET CAKMA</v>
          </cell>
          <cell r="J547">
            <v>4</v>
          </cell>
          <cell r="K547">
            <v>4</v>
          </cell>
          <cell r="L547">
            <v>12.63</v>
          </cell>
        </row>
        <row r="548">
          <cell r="A548">
            <v>45876</v>
          </cell>
          <cell r="F548">
            <v>103</v>
          </cell>
          <cell r="G548" t="str">
            <v>700 CC SP009 40 OPAK SARI PLS. PLT STANDART</v>
          </cell>
          <cell r="J548">
            <v>5</v>
          </cell>
          <cell r="K548">
            <v>5</v>
          </cell>
          <cell r="L548">
            <v>14.82</v>
          </cell>
        </row>
        <row r="549">
          <cell r="A549">
            <v>45876</v>
          </cell>
          <cell r="F549">
            <v>104</v>
          </cell>
          <cell r="G549" t="str">
            <v>400 CC SP040 25 ŞEFFAF ŞEFFAF PLS. PLT K.TAVA STANDART</v>
          </cell>
          <cell r="J549">
            <v>6</v>
          </cell>
          <cell r="K549">
            <v>6</v>
          </cell>
          <cell r="L549">
            <v>13.21</v>
          </cell>
        </row>
        <row r="550">
          <cell r="A550">
            <v>45876</v>
          </cell>
          <cell r="F550">
            <v>162</v>
          </cell>
          <cell r="G550" t="str">
            <v>750 CC X419 35 ŞEFFAF ŞEFFAF PALET STANDART</v>
          </cell>
          <cell r="J550">
            <v>2</v>
          </cell>
          <cell r="K550">
            <v>2</v>
          </cell>
          <cell r="L550">
            <v>21.63</v>
          </cell>
        </row>
        <row r="551">
          <cell r="A551">
            <v>45876</v>
          </cell>
          <cell r="F551">
            <v>163</v>
          </cell>
          <cell r="G551" t="str">
            <v>1000 CC X197 52 ŞEFFAF ŞEFFAF PALET STANDART</v>
          </cell>
          <cell r="J551">
            <v>2</v>
          </cell>
          <cell r="K551">
            <v>2</v>
          </cell>
          <cell r="L551">
            <v>24</v>
          </cell>
        </row>
        <row r="552">
          <cell r="A552">
            <v>45876</v>
          </cell>
          <cell r="F552">
            <v>164</v>
          </cell>
          <cell r="G552" t="str">
            <v>1000 CC X380 52 OPAK BEYAZ PALET STANDART</v>
          </cell>
          <cell r="J552">
            <v>2</v>
          </cell>
          <cell r="K552">
            <v>2</v>
          </cell>
          <cell r="L552">
            <v>25.5</v>
          </cell>
        </row>
        <row r="553">
          <cell r="A553">
            <v>45876</v>
          </cell>
          <cell r="F553">
            <v>182</v>
          </cell>
          <cell r="G553" t="str">
            <v>400 CC Z078 26 ŞEFFAF ŞEFFAF PALET STANDART</v>
          </cell>
          <cell r="J553">
            <v>4</v>
          </cell>
          <cell r="K553">
            <v>4</v>
          </cell>
          <cell r="L553">
            <v>14</v>
          </cell>
        </row>
        <row r="554">
          <cell r="A554">
            <v>45876</v>
          </cell>
          <cell r="F554">
            <v>402</v>
          </cell>
          <cell r="G554" t="str">
            <v>1500 CC S043 74 OPAK BEYAZ PALET STANDART</v>
          </cell>
          <cell r="J554">
            <v>2</v>
          </cell>
          <cell r="K554">
            <v>2</v>
          </cell>
          <cell r="L554">
            <v>11.2</v>
          </cell>
        </row>
        <row r="555">
          <cell r="A555">
            <v>45876</v>
          </cell>
          <cell r="F555">
            <v>171</v>
          </cell>
          <cell r="G555" t="str">
            <v>400 CC D032 29 OPAK KREM PLS. PLT K.TAVA STANDART</v>
          </cell>
          <cell r="J555">
            <v>4</v>
          </cell>
          <cell r="K555">
            <v>4</v>
          </cell>
          <cell r="L555">
            <v>18.86</v>
          </cell>
        </row>
        <row r="556">
          <cell r="A556">
            <v>45876</v>
          </cell>
          <cell r="F556">
            <v>172</v>
          </cell>
          <cell r="G556" t="str">
            <v>1000 CC D103 52 ŞEFFAF ŞEFFAF PALET STANDART</v>
          </cell>
          <cell r="J556">
            <v>4</v>
          </cell>
          <cell r="K556">
            <v>4</v>
          </cell>
          <cell r="L556">
            <v>17.89</v>
          </cell>
        </row>
        <row r="557">
          <cell r="A557">
            <v>45876</v>
          </cell>
          <cell r="F557">
            <v>173</v>
          </cell>
          <cell r="G557" t="str">
            <v>700 CC D062 40 ŞEFFAF SARI PLS. PLT STANDART</v>
          </cell>
          <cell r="J557">
            <v>5</v>
          </cell>
          <cell r="K557">
            <v>5</v>
          </cell>
          <cell r="L557">
            <v>16.649999999999999</v>
          </cell>
        </row>
        <row r="558">
          <cell r="A558">
            <v>45876</v>
          </cell>
          <cell r="F558">
            <v>174</v>
          </cell>
          <cell r="G558" t="str">
            <v>450 CC D120 35 ŞEFFAF UV PLS. PLT K.TAVA CAKMA</v>
          </cell>
          <cell r="J558">
            <v>5</v>
          </cell>
          <cell r="K558">
            <v>5</v>
          </cell>
          <cell r="L558">
            <v>13.89</v>
          </cell>
        </row>
        <row r="559">
          <cell r="A559">
            <v>45876</v>
          </cell>
          <cell r="F559">
            <v>175</v>
          </cell>
          <cell r="G559" t="str">
            <v>250 CC D127  28 ŞEFFAF ŞEFFAF PALET CAKMA</v>
          </cell>
          <cell r="J559">
            <v>5</v>
          </cell>
          <cell r="K559">
            <v>5</v>
          </cell>
          <cell r="L559">
            <v>12.45</v>
          </cell>
        </row>
        <row r="560">
          <cell r="A560">
            <v>45876</v>
          </cell>
          <cell r="F560">
            <v>177</v>
          </cell>
          <cell r="G560" t="str">
            <v>350 CC D026 45 OPAK SİYAH PALET STANDART</v>
          </cell>
          <cell r="J560">
            <v>3</v>
          </cell>
          <cell r="K560">
            <v>3</v>
          </cell>
          <cell r="L560">
            <v>14.26</v>
          </cell>
        </row>
        <row r="561">
          <cell r="A561">
            <v>45876</v>
          </cell>
          <cell r="F561">
            <v>131</v>
          </cell>
          <cell r="G561" t="str">
            <v>400 CC Y105 25 ŞEFFAF ŞEFFAF PALET KISA</v>
          </cell>
          <cell r="J561">
            <v>3</v>
          </cell>
          <cell r="K561">
            <v>2</v>
          </cell>
          <cell r="L561">
            <v>17.87</v>
          </cell>
        </row>
        <row r="562">
          <cell r="A562">
            <v>45876</v>
          </cell>
          <cell r="F562">
            <v>132</v>
          </cell>
          <cell r="G562" t="str">
            <v>400 CC Y206 29 ŞEFFAF ŞEFFAF PALET KISA</v>
          </cell>
          <cell r="J562">
            <v>3</v>
          </cell>
          <cell r="K562">
            <v>3</v>
          </cell>
          <cell r="L562">
            <v>21.03</v>
          </cell>
        </row>
        <row r="563">
          <cell r="A563">
            <v>45876</v>
          </cell>
          <cell r="F563">
            <v>206</v>
          </cell>
          <cell r="G563" t="str">
            <v>E123 28 MM FLİPTOP 13 ŞEFFAF SARI PLT.IC.KOLI STANDART</v>
          </cell>
          <cell r="J563">
            <v>12</v>
          </cell>
          <cell r="K563">
            <v>11</v>
          </cell>
          <cell r="L563">
            <v>28.2</v>
          </cell>
        </row>
        <row r="564">
          <cell r="A564">
            <v>45876</v>
          </cell>
          <cell r="F564">
            <v>207</v>
          </cell>
          <cell r="G564" t="str">
            <v>E121A 28MM TRIMSIZ KAPAK 10 OPAK KIRMIZI KOLI STANDART</v>
          </cell>
          <cell r="J564">
            <v>12</v>
          </cell>
          <cell r="K564">
            <v>8</v>
          </cell>
          <cell r="L564">
            <v>34.31</v>
          </cell>
        </row>
        <row r="565">
          <cell r="A565">
            <v>45876</v>
          </cell>
          <cell r="F565">
            <v>208</v>
          </cell>
          <cell r="G565" t="str">
            <v>E034 100 MM KULPLU KİLİTLİ 30 OPAK SARI PLT.IC.KOLI STANDART</v>
          </cell>
          <cell r="J565">
            <v>2</v>
          </cell>
          <cell r="K565">
            <v>2</v>
          </cell>
          <cell r="L565">
            <v>36.78</v>
          </cell>
        </row>
        <row r="566">
          <cell r="A566">
            <v>45876</v>
          </cell>
          <cell r="F566">
            <v>209</v>
          </cell>
          <cell r="G566" t="str">
            <v>E023 24 MM KAPAK 8 OPAK SİYAH PLT.IC.KOLI STANDART</v>
          </cell>
          <cell r="J566">
            <v>8</v>
          </cell>
          <cell r="K566">
            <v>7</v>
          </cell>
          <cell r="L566">
            <v>30.3</v>
          </cell>
        </row>
        <row r="567">
          <cell r="A567">
            <v>45876</v>
          </cell>
          <cell r="F567">
            <v>210</v>
          </cell>
          <cell r="G567" t="str">
            <v>E032 100 MM ETİKETLİ FOLYOLU 13 OPAK YEŞİL PLT.IC.KOLI STANDART</v>
          </cell>
          <cell r="J567">
            <v>4</v>
          </cell>
          <cell r="K567">
            <v>4</v>
          </cell>
          <cell r="L567">
            <v>19.7</v>
          </cell>
        </row>
        <row r="568">
          <cell r="A568">
            <v>45876</v>
          </cell>
          <cell r="F568">
            <v>302</v>
          </cell>
          <cell r="G568" t="str">
            <v>PR017 38 MM 12 GÖZ YİVLİ PREFORM  73 OPAK BEYAZ KOLI STANDART</v>
          </cell>
          <cell r="J568">
            <v>12</v>
          </cell>
          <cell r="K568">
            <v>12</v>
          </cell>
          <cell r="L568">
            <v>41.38</v>
          </cell>
        </row>
        <row r="569">
          <cell r="A569">
            <v>45876</v>
          </cell>
          <cell r="F569">
            <v>502</v>
          </cell>
          <cell r="G569" t="str">
            <v>265 CC P130 30 OPAK BEYAZ PLS. PLT STANDART</v>
          </cell>
          <cell r="J569">
            <v>4</v>
          </cell>
          <cell r="K569">
            <v>4</v>
          </cell>
          <cell r="L569">
            <v>19.02</v>
          </cell>
        </row>
        <row r="570">
          <cell r="A570">
            <v>45876</v>
          </cell>
          <cell r="F570">
            <v>503</v>
          </cell>
          <cell r="G570" t="str">
            <v>3000 CC P111 120 OPAK KIRMIZI POSET STANDART</v>
          </cell>
          <cell r="J570">
            <v>2</v>
          </cell>
          <cell r="K570">
            <v>2</v>
          </cell>
          <cell r="L570">
            <v>13.5</v>
          </cell>
        </row>
        <row r="571">
          <cell r="A571">
            <v>45877</v>
          </cell>
          <cell r="F571">
            <v>103</v>
          </cell>
          <cell r="G571" t="str">
            <v>700 CC SP009 40 ŞEFFAF SARI PLS. PLT STANDART</v>
          </cell>
          <cell r="J571">
            <v>5</v>
          </cell>
          <cell r="K571">
            <v>5</v>
          </cell>
          <cell r="L571">
            <v>14.65</v>
          </cell>
        </row>
        <row r="572">
          <cell r="A572">
            <v>45877</v>
          </cell>
          <cell r="F572">
            <v>104</v>
          </cell>
          <cell r="G572" t="str">
            <v>400 CC SP040 25 ŞEFFAF ŞEFFAF PLS. PLT K.TAVA STANDART</v>
          </cell>
          <cell r="J572">
            <v>6</v>
          </cell>
          <cell r="K572">
            <v>6</v>
          </cell>
          <cell r="L572">
            <v>13.32</v>
          </cell>
        </row>
        <row r="573">
          <cell r="A573">
            <v>45877</v>
          </cell>
          <cell r="F573">
            <v>171</v>
          </cell>
          <cell r="G573" t="str">
            <v>400 CC D032 29 OPAK KREM PLS. PLT K.TAVA STANDART</v>
          </cell>
          <cell r="J573">
            <v>4</v>
          </cell>
          <cell r="K573">
            <v>4</v>
          </cell>
          <cell r="L573">
            <v>18.940000000000001</v>
          </cell>
        </row>
        <row r="574">
          <cell r="A574">
            <v>45877</v>
          </cell>
          <cell r="F574">
            <v>161</v>
          </cell>
          <cell r="G574" t="str">
            <v>900 CC X377 45 ŞEFFAF SARI PLS. PLT STANDART</v>
          </cell>
          <cell r="J574">
            <v>2</v>
          </cell>
          <cell r="K574">
            <v>2</v>
          </cell>
          <cell r="L574">
            <v>23</v>
          </cell>
        </row>
        <row r="575">
          <cell r="A575">
            <v>45877</v>
          </cell>
          <cell r="F575">
            <v>162</v>
          </cell>
          <cell r="G575" t="str">
            <v>750 CC X419 35 ŞEFFAF ŞEFFAF PALET STANDART</v>
          </cell>
          <cell r="J575">
            <v>2</v>
          </cell>
          <cell r="K575">
            <v>2</v>
          </cell>
          <cell r="L575">
            <v>21.71</v>
          </cell>
        </row>
        <row r="576">
          <cell r="A576">
            <v>45877</v>
          </cell>
          <cell r="F576">
            <v>163</v>
          </cell>
          <cell r="G576" t="str">
            <v>1000 CC X197 52 ŞEFFAF ŞEFFAF PALET STANDART</v>
          </cell>
          <cell r="J576">
            <v>2</v>
          </cell>
          <cell r="K576">
            <v>2</v>
          </cell>
          <cell r="L576">
            <v>24</v>
          </cell>
        </row>
        <row r="577">
          <cell r="A577">
            <v>45877</v>
          </cell>
          <cell r="F577">
            <v>164</v>
          </cell>
          <cell r="G577" t="str">
            <v>1000 CC X380 52 OPAK BEYAZ PALET STANDART</v>
          </cell>
          <cell r="J577">
            <v>2</v>
          </cell>
          <cell r="K577">
            <v>2</v>
          </cell>
          <cell r="L577">
            <v>25.49</v>
          </cell>
        </row>
        <row r="578">
          <cell r="A578">
            <v>45877</v>
          </cell>
          <cell r="F578">
            <v>181</v>
          </cell>
          <cell r="G578" t="str">
            <v>750 CC Z105 28 OPAK MAVİ PLS. PLT STANDART</v>
          </cell>
          <cell r="J578">
            <v>4</v>
          </cell>
          <cell r="K578">
            <v>4</v>
          </cell>
          <cell r="L578">
            <v>14</v>
          </cell>
        </row>
        <row r="579">
          <cell r="A579">
            <v>45877</v>
          </cell>
          <cell r="F579">
            <v>182</v>
          </cell>
          <cell r="G579" t="str">
            <v>400 CC Z078 26 ŞEFFAF ŞEFFAF PALET STANDART</v>
          </cell>
          <cell r="J579">
            <v>4</v>
          </cell>
          <cell r="K579">
            <v>4</v>
          </cell>
          <cell r="L579">
            <v>14</v>
          </cell>
        </row>
        <row r="580">
          <cell r="A580">
            <v>45877</v>
          </cell>
          <cell r="F580">
            <v>401</v>
          </cell>
          <cell r="G580" t="str">
            <v>5000 CC S001 90 ŞEFFAF ŞEFFAF POSET STANDART</v>
          </cell>
          <cell r="J580">
            <v>1</v>
          </cell>
          <cell r="K580">
            <v>1</v>
          </cell>
          <cell r="L580">
            <v>11.91</v>
          </cell>
        </row>
        <row r="581">
          <cell r="A581">
            <v>45877</v>
          </cell>
          <cell r="F581">
            <v>402</v>
          </cell>
          <cell r="G581" t="str">
            <v>1500 CC S043 74 OPAK BEYAZ PALET STANDART</v>
          </cell>
          <cell r="J581">
            <v>2</v>
          </cell>
          <cell r="K581">
            <v>2</v>
          </cell>
          <cell r="L581">
            <v>9.6999999999999993</v>
          </cell>
        </row>
        <row r="582">
          <cell r="A582">
            <v>45877</v>
          </cell>
          <cell r="F582">
            <v>172</v>
          </cell>
          <cell r="G582" t="str">
            <v>1000 CC D103 52 OPAK YEŞİL PALET STANDART</v>
          </cell>
          <cell r="J582">
            <v>4</v>
          </cell>
          <cell r="K582">
            <v>4</v>
          </cell>
          <cell r="L582">
            <v>17.7</v>
          </cell>
        </row>
        <row r="583">
          <cell r="A583">
            <v>45877</v>
          </cell>
          <cell r="F583">
            <v>173</v>
          </cell>
          <cell r="G583" t="str">
            <v>700 CC D062 40 ŞEFFAF SARI PLS. PLT STANDART</v>
          </cell>
          <cell r="J583">
            <v>5</v>
          </cell>
          <cell r="K583">
            <v>5</v>
          </cell>
          <cell r="L583">
            <v>16.29</v>
          </cell>
        </row>
        <row r="584">
          <cell r="A584">
            <v>45877</v>
          </cell>
          <cell r="F584">
            <v>174</v>
          </cell>
          <cell r="G584" t="str">
            <v>450 CC D120 35 ŞEFFAF UV PLS. PLT K.TAVA CAKMA</v>
          </cell>
          <cell r="J584">
            <v>5</v>
          </cell>
          <cell r="K584">
            <v>5</v>
          </cell>
          <cell r="L584">
            <v>13.73</v>
          </cell>
        </row>
        <row r="585">
          <cell r="A585">
            <v>45877</v>
          </cell>
          <cell r="F585">
            <v>175</v>
          </cell>
          <cell r="G585" t="str">
            <v>250 CC D127  28 ŞEFFAF ŞEFFAF PALET CAKMA</v>
          </cell>
          <cell r="J585">
            <v>5</v>
          </cell>
          <cell r="K585">
            <v>5</v>
          </cell>
          <cell r="L585">
            <v>12.68</v>
          </cell>
        </row>
        <row r="586">
          <cell r="A586">
            <v>45877</v>
          </cell>
          <cell r="F586">
            <v>177</v>
          </cell>
          <cell r="G586" t="str">
            <v>350 CC D026 45 OPAK SİYAH PALET STANDART</v>
          </cell>
          <cell r="J586">
            <v>3</v>
          </cell>
          <cell r="K586">
            <v>3</v>
          </cell>
          <cell r="L586">
            <v>13.97</v>
          </cell>
        </row>
        <row r="587">
          <cell r="A587">
            <v>45877</v>
          </cell>
          <cell r="F587">
            <v>131</v>
          </cell>
          <cell r="G587" t="str">
            <v>200 CC Y253 25 ŞEFFAF ŞEFFAF PALET STANDART</v>
          </cell>
          <cell r="J587">
            <v>3</v>
          </cell>
          <cell r="K587">
            <v>2</v>
          </cell>
          <cell r="L587">
            <v>18.28</v>
          </cell>
        </row>
        <row r="588">
          <cell r="A588">
            <v>45877</v>
          </cell>
          <cell r="F588">
            <v>134</v>
          </cell>
          <cell r="G588" t="str">
            <v>250 CC Y122 21 OPAK SARI PLS. PLT STANDART</v>
          </cell>
          <cell r="J588">
            <v>3</v>
          </cell>
          <cell r="K588">
            <v>2</v>
          </cell>
          <cell r="L588">
            <v>16.47</v>
          </cell>
        </row>
        <row r="589">
          <cell r="A589">
            <v>45877</v>
          </cell>
          <cell r="F589">
            <v>202</v>
          </cell>
          <cell r="G589" t="str">
            <v>E083 24 MM FLİPTOP 4 OPAK BEYAZ KOLI STANDART</v>
          </cell>
          <cell r="J589">
            <v>8</v>
          </cell>
          <cell r="K589">
            <v>6</v>
          </cell>
          <cell r="L589">
            <v>22.3</v>
          </cell>
        </row>
        <row r="590">
          <cell r="A590">
            <v>45877</v>
          </cell>
          <cell r="F590">
            <v>205</v>
          </cell>
          <cell r="G590" t="str">
            <v>E128 28 MM 8 OPAK BORDO KOLI CAKMA</v>
          </cell>
          <cell r="J590">
            <v>4</v>
          </cell>
          <cell r="K590">
            <v>4</v>
          </cell>
          <cell r="L590">
            <v>21.4</v>
          </cell>
        </row>
        <row r="591">
          <cell r="A591">
            <v>45877</v>
          </cell>
          <cell r="F591">
            <v>207</v>
          </cell>
          <cell r="G591" t="str">
            <v>E121 28 MM KAPAK 10 OPAK GOLD KOLI STANDART</v>
          </cell>
          <cell r="J591">
            <v>12</v>
          </cell>
          <cell r="K591">
            <v>8</v>
          </cell>
          <cell r="L591">
            <v>34.31</v>
          </cell>
        </row>
        <row r="592">
          <cell r="A592">
            <v>45877</v>
          </cell>
          <cell r="F592">
            <v>208</v>
          </cell>
          <cell r="G592" t="str">
            <v>E034 100 MM KULPLU KİLİTLİ 30 OPAK SARI PLT.IC.KOLI STANDART</v>
          </cell>
          <cell r="J592">
            <v>2</v>
          </cell>
          <cell r="K592">
            <v>2</v>
          </cell>
          <cell r="L592">
            <v>36.54</v>
          </cell>
        </row>
        <row r="593">
          <cell r="A593">
            <v>45877</v>
          </cell>
          <cell r="F593">
            <v>209</v>
          </cell>
          <cell r="G593" t="str">
            <v>E023 24 MM KAPAK 8 OPAK SİYAH PLT.IC.KOLI STANDART</v>
          </cell>
          <cell r="J593">
            <v>8</v>
          </cell>
          <cell r="K593">
            <v>6</v>
          </cell>
          <cell r="L593">
            <v>28.2</v>
          </cell>
        </row>
        <row r="594">
          <cell r="A594">
            <v>45877</v>
          </cell>
          <cell r="F594">
            <v>210</v>
          </cell>
          <cell r="G594" t="str">
            <v>E032 100 MM ETİKETLİ FOLYOLU 13 OPAK YEŞİL-BEYAZ PLT.IC.KOLI STANDART</v>
          </cell>
          <cell r="J594">
            <v>4</v>
          </cell>
          <cell r="K594">
            <v>4</v>
          </cell>
          <cell r="L594">
            <v>19.7</v>
          </cell>
        </row>
        <row r="595">
          <cell r="A595">
            <v>45877</v>
          </cell>
          <cell r="F595">
            <v>302</v>
          </cell>
          <cell r="G595" t="str">
            <v>PR017 38 MM 12 GÖZ YİVLİ PREFORM  73 OPAK BEYAZ KOLI STANDART</v>
          </cell>
          <cell r="J595">
            <v>12</v>
          </cell>
          <cell r="K595">
            <v>12</v>
          </cell>
          <cell r="L595">
            <v>41.38</v>
          </cell>
        </row>
        <row r="596">
          <cell r="A596">
            <v>45877</v>
          </cell>
          <cell r="F596">
            <v>503</v>
          </cell>
          <cell r="G596" t="str">
            <v>3000 CC P111 120 OPAK SİYAH POSET STANDART</v>
          </cell>
          <cell r="J596">
            <v>2</v>
          </cell>
          <cell r="K596">
            <v>2</v>
          </cell>
          <cell r="L596">
            <v>13.5</v>
          </cell>
        </row>
        <row r="597">
          <cell r="A597">
            <v>45877</v>
          </cell>
          <cell r="F597">
            <v>505</v>
          </cell>
          <cell r="G597" t="str">
            <v>65 CC I018 8 ŞEFFAF ŞEFFAF KOLI STANDART</v>
          </cell>
          <cell r="J597">
            <v>14</v>
          </cell>
          <cell r="K597">
            <v>12</v>
          </cell>
          <cell r="L597">
            <v>88.8</v>
          </cell>
        </row>
        <row r="598">
          <cell r="A598">
            <v>45880</v>
          </cell>
          <cell r="F598">
            <v>103</v>
          </cell>
          <cell r="G598" t="str">
            <v>700 CC SP009 40 ŞEFFAF SARI PLS. PLT STANDART</v>
          </cell>
          <cell r="J598">
            <v>5</v>
          </cell>
          <cell r="K598">
            <v>5</v>
          </cell>
          <cell r="L598">
            <v>15.07</v>
          </cell>
        </row>
        <row r="599">
          <cell r="A599">
            <v>45880</v>
          </cell>
          <cell r="F599">
            <v>104</v>
          </cell>
          <cell r="G599" t="str">
            <v>400 CC SP040 25 ŞEFFAF ŞEFFAF PLS. PLT K.TAVA STANDART</v>
          </cell>
          <cell r="J599">
            <v>6</v>
          </cell>
          <cell r="K599">
            <v>5</v>
          </cell>
          <cell r="L599">
            <v>13.3</v>
          </cell>
        </row>
        <row r="600">
          <cell r="A600">
            <v>45880</v>
          </cell>
          <cell r="F600">
            <v>163</v>
          </cell>
          <cell r="G600" t="str">
            <v>1000 CC X197 52 ŞEFFAF ŞEFFAF PALET STANDART</v>
          </cell>
          <cell r="J600">
            <v>2</v>
          </cell>
          <cell r="K600">
            <v>2</v>
          </cell>
          <cell r="L600">
            <v>24.32</v>
          </cell>
        </row>
        <row r="601">
          <cell r="A601">
            <v>45880</v>
          </cell>
          <cell r="F601">
            <v>164</v>
          </cell>
          <cell r="G601" t="str">
            <v>1000 CC X380 52 OPAK BEYAZ PALET STANDART</v>
          </cell>
          <cell r="J601">
            <v>2</v>
          </cell>
          <cell r="K601">
            <v>2</v>
          </cell>
          <cell r="L601">
            <v>24</v>
          </cell>
        </row>
        <row r="602">
          <cell r="A602">
            <v>45880</v>
          </cell>
          <cell r="F602">
            <v>181</v>
          </cell>
          <cell r="G602" t="str">
            <v>750 CC Z104 28 ŞEFFAF ŞEFFAF PLS. PLT STANDART</v>
          </cell>
          <cell r="J602">
            <v>4</v>
          </cell>
          <cell r="K602">
            <v>4</v>
          </cell>
          <cell r="L602">
            <v>14.03</v>
          </cell>
        </row>
        <row r="603">
          <cell r="A603">
            <v>45880</v>
          </cell>
          <cell r="F603">
            <v>402</v>
          </cell>
          <cell r="G603" t="str">
            <v>1500 CC S043 74 OPAK BEYAZ PALET STANDART</v>
          </cell>
          <cell r="J603">
            <v>2</v>
          </cell>
          <cell r="K603">
            <v>2</v>
          </cell>
          <cell r="L603">
            <v>10.199999999999999</v>
          </cell>
        </row>
        <row r="604">
          <cell r="A604">
            <v>45880</v>
          </cell>
          <cell r="F604">
            <v>173</v>
          </cell>
          <cell r="G604" t="str">
            <v>700 CC D062 40 ŞEFFAF SARI PLS. PLT STANDART</v>
          </cell>
          <cell r="J604">
            <v>5</v>
          </cell>
          <cell r="K604">
            <v>5</v>
          </cell>
          <cell r="L604">
            <v>16.63</v>
          </cell>
        </row>
        <row r="605">
          <cell r="A605">
            <v>45880</v>
          </cell>
          <cell r="F605">
            <v>174</v>
          </cell>
          <cell r="G605" t="str">
            <v>450 CC D120 35 ŞEFFAF UV PLS. PLT K.TAVA CAKMA</v>
          </cell>
          <cell r="J605">
            <v>5</v>
          </cell>
          <cell r="K605">
            <v>5</v>
          </cell>
          <cell r="L605">
            <v>13.79</v>
          </cell>
        </row>
        <row r="606">
          <cell r="A606">
            <v>45880</v>
          </cell>
          <cell r="F606">
            <v>177</v>
          </cell>
          <cell r="G606" t="str">
            <v>350 CC D026 45 OPAK SİYAH PALET STANDART</v>
          </cell>
          <cell r="J606">
            <v>3</v>
          </cell>
          <cell r="K606">
            <v>3</v>
          </cell>
          <cell r="L606">
            <v>13.77</v>
          </cell>
        </row>
        <row r="607">
          <cell r="A607">
            <v>45880</v>
          </cell>
          <cell r="F607">
            <v>131</v>
          </cell>
          <cell r="G607" t="str">
            <v>200 CC Y253 25 ŞEFFAF ŞEFFAF PALET STANDART</v>
          </cell>
          <cell r="J607">
            <v>3</v>
          </cell>
          <cell r="K607">
            <v>2</v>
          </cell>
          <cell r="L607">
            <v>18.3</v>
          </cell>
        </row>
        <row r="608">
          <cell r="A608">
            <v>45880</v>
          </cell>
          <cell r="F608">
            <v>133</v>
          </cell>
          <cell r="G608" t="str">
            <v>80 CC Y330 19 ŞEFFAF TURUNCU PLT.IC.KOLI STANDART</v>
          </cell>
          <cell r="J608">
            <v>3</v>
          </cell>
          <cell r="K608">
            <v>3</v>
          </cell>
          <cell r="L608">
            <v>16.28</v>
          </cell>
        </row>
        <row r="609">
          <cell r="A609">
            <v>45880</v>
          </cell>
          <cell r="F609">
            <v>134</v>
          </cell>
          <cell r="G609" t="str">
            <v>250 CC Y122 21 OPAK SARI PLS. PLT STANDART</v>
          </cell>
          <cell r="J609">
            <v>3</v>
          </cell>
          <cell r="K609">
            <v>2</v>
          </cell>
          <cell r="L609">
            <v>16.38</v>
          </cell>
        </row>
        <row r="610">
          <cell r="A610">
            <v>45880</v>
          </cell>
          <cell r="F610">
            <v>207</v>
          </cell>
          <cell r="G610" t="str">
            <v>E121 28 MM KAPAK 10 OPAK GOLD KOLI STANDART</v>
          </cell>
          <cell r="J610">
            <v>12</v>
          </cell>
          <cell r="K610">
            <v>8</v>
          </cell>
          <cell r="L610">
            <v>34.299999999999997</v>
          </cell>
        </row>
        <row r="611">
          <cell r="A611">
            <v>45880</v>
          </cell>
          <cell r="F611">
            <v>208</v>
          </cell>
          <cell r="G611" t="str">
            <v>E034 100 MM KULPLU KİLİTLİ 30 OPAK SARI PLT.IC.KOLI STANDART</v>
          </cell>
          <cell r="J611">
            <v>2</v>
          </cell>
          <cell r="K611">
            <v>2</v>
          </cell>
          <cell r="L611">
            <v>36.340000000000003</v>
          </cell>
        </row>
        <row r="612">
          <cell r="A612">
            <v>45880</v>
          </cell>
          <cell r="F612">
            <v>210</v>
          </cell>
          <cell r="G612" t="str">
            <v>E032 100 MM ETİKETLİ FOLYOLU 13 OPAK MAVİ PLT.IC.KOLI STANDART</v>
          </cell>
          <cell r="J612">
            <v>4</v>
          </cell>
          <cell r="K612">
            <v>4</v>
          </cell>
          <cell r="L612">
            <v>19.7</v>
          </cell>
        </row>
        <row r="613">
          <cell r="A613">
            <v>45880</v>
          </cell>
          <cell r="F613">
            <v>501</v>
          </cell>
          <cell r="G613" t="str">
            <v>500 CC P131 38 SEDEF LACİVERT PLS. PLT K.TAVA STANDART</v>
          </cell>
          <cell r="J613">
            <v>6</v>
          </cell>
          <cell r="K613">
            <v>6</v>
          </cell>
          <cell r="L613">
            <v>17.62</v>
          </cell>
        </row>
        <row r="614">
          <cell r="A614">
            <v>45880</v>
          </cell>
          <cell r="F614">
            <v>503</v>
          </cell>
          <cell r="G614" t="str">
            <v>3000 CC P111 120 OPAK SİYAH POSET STANDART</v>
          </cell>
          <cell r="J614">
            <v>2</v>
          </cell>
          <cell r="K614">
            <v>2</v>
          </cell>
          <cell r="L614">
            <v>17</v>
          </cell>
        </row>
        <row r="615">
          <cell r="A615">
            <v>45883</v>
          </cell>
          <cell r="F615">
            <v>103</v>
          </cell>
          <cell r="G615" t="str">
            <v>700 CC SP009 40 ŞEFFAF SARI PLS. PLT STANDART</v>
          </cell>
          <cell r="J615">
            <v>5</v>
          </cell>
          <cell r="K615">
            <v>5</v>
          </cell>
          <cell r="L615">
            <v>15.19</v>
          </cell>
        </row>
        <row r="616">
          <cell r="A616">
            <v>45883</v>
          </cell>
          <cell r="F616">
            <v>162</v>
          </cell>
          <cell r="G616" t="str">
            <v>900 CC X377 45 ŞEFFAF SARI PLS. PLT STANDART</v>
          </cell>
          <cell r="J616">
            <v>2</v>
          </cell>
          <cell r="K616">
            <v>2</v>
          </cell>
          <cell r="L616">
            <v>18</v>
          </cell>
        </row>
        <row r="617">
          <cell r="A617">
            <v>45883</v>
          </cell>
          <cell r="F617">
            <v>163</v>
          </cell>
          <cell r="G617" t="str">
            <v>1000 CC X197 52 ŞEFFAF ŞEFFAF PALET STANDART</v>
          </cell>
          <cell r="J617">
            <v>2</v>
          </cell>
          <cell r="K617">
            <v>2</v>
          </cell>
          <cell r="L617">
            <v>24.3</v>
          </cell>
        </row>
        <row r="618">
          <cell r="A618">
            <v>45883</v>
          </cell>
          <cell r="F618">
            <v>181</v>
          </cell>
          <cell r="G618" t="str">
            <v>750 CC Z104 28 ŞEFFAF ŞEFFAF PLS. PLT STANDART</v>
          </cell>
          <cell r="J618">
            <v>4</v>
          </cell>
          <cell r="K618">
            <v>4</v>
          </cell>
          <cell r="L618">
            <v>14</v>
          </cell>
        </row>
        <row r="619">
          <cell r="A619">
            <v>45883</v>
          </cell>
          <cell r="F619">
            <v>404</v>
          </cell>
          <cell r="G619" t="str">
            <v>300 CC S044 24 ŞEFFAF ŞEFFAF PLS. PLT STANDART</v>
          </cell>
          <cell r="J619">
            <v>2</v>
          </cell>
          <cell r="K619">
            <v>2</v>
          </cell>
          <cell r="L619">
            <v>7.4</v>
          </cell>
        </row>
        <row r="620">
          <cell r="A620">
            <v>45883</v>
          </cell>
          <cell r="F620">
            <v>172</v>
          </cell>
          <cell r="G620" t="str">
            <v>900 CC D066 45 ŞEFFAF SARI PLS. PLT STANDART</v>
          </cell>
          <cell r="J620">
            <v>4</v>
          </cell>
          <cell r="K620">
            <v>4</v>
          </cell>
          <cell r="L620">
            <v>15.89</v>
          </cell>
        </row>
        <row r="621">
          <cell r="A621">
            <v>45883</v>
          </cell>
          <cell r="F621">
            <v>173</v>
          </cell>
          <cell r="G621" t="str">
            <v>700 CC D062 40 ŞEFFAF SARI PLS. PLT STANDART</v>
          </cell>
          <cell r="J621">
            <v>5</v>
          </cell>
          <cell r="K621">
            <v>5</v>
          </cell>
          <cell r="L621">
            <v>16.38</v>
          </cell>
        </row>
        <row r="622">
          <cell r="A622">
            <v>45883</v>
          </cell>
          <cell r="F622">
            <v>175</v>
          </cell>
          <cell r="G622" t="str">
            <v>250 CC D127  28 OPAK BEYAZ PALET CAKMA</v>
          </cell>
          <cell r="J622">
            <v>5</v>
          </cell>
          <cell r="K622">
            <v>5</v>
          </cell>
          <cell r="L622">
            <v>12.5</v>
          </cell>
        </row>
        <row r="623">
          <cell r="A623">
            <v>45883</v>
          </cell>
          <cell r="F623">
            <v>176</v>
          </cell>
          <cell r="G623" t="str">
            <v>900 CC D124 52 SEDEF MOR PALET STANDART</v>
          </cell>
          <cell r="J623">
            <v>5</v>
          </cell>
          <cell r="K623">
            <v>5</v>
          </cell>
          <cell r="L623">
            <v>19.09</v>
          </cell>
        </row>
        <row r="624">
          <cell r="A624">
            <v>45883</v>
          </cell>
          <cell r="F624">
            <v>135</v>
          </cell>
          <cell r="G624" t="str">
            <v>150 CC Y341 25 ŞEFFAF KAHVE KOLI STANDART</v>
          </cell>
          <cell r="J624">
            <v>2</v>
          </cell>
          <cell r="K624">
            <v>2</v>
          </cell>
          <cell r="L624">
            <v>21.38</v>
          </cell>
        </row>
        <row r="625">
          <cell r="A625">
            <v>45883</v>
          </cell>
          <cell r="F625">
            <v>138</v>
          </cell>
          <cell r="G625" t="str">
            <v>310 CC Y344 26 ŞEFFAF ŞEFFAF YÜKSEK PLT K.TAVA STANDART</v>
          </cell>
          <cell r="J625">
            <v>3</v>
          </cell>
          <cell r="K625">
            <v>3</v>
          </cell>
          <cell r="L625">
            <v>11.57</v>
          </cell>
        </row>
        <row r="626">
          <cell r="A626">
            <v>45883</v>
          </cell>
          <cell r="F626">
            <v>201</v>
          </cell>
          <cell r="G626" t="str">
            <v>E018 24 MM TIPA 1 ŞEFFAF ŞEFFAF KOLI STANDART</v>
          </cell>
          <cell r="J626">
            <v>32</v>
          </cell>
          <cell r="K626">
            <v>29</v>
          </cell>
          <cell r="L626">
            <v>24.8</v>
          </cell>
        </row>
        <row r="627">
          <cell r="A627">
            <v>45883</v>
          </cell>
          <cell r="F627">
            <v>204</v>
          </cell>
          <cell r="G627" t="str">
            <v>E125 62 MM BAHARAT FLİPTOP 12 OPAK YEŞİL PLT.IC.KOLI STANDART</v>
          </cell>
          <cell r="J627">
            <v>4</v>
          </cell>
          <cell r="K627">
            <v>3</v>
          </cell>
          <cell r="L627">
            <v>21.2</v>
          </cell>
        </row>
        <row r="628">
          <cell r="A628">
            <v>45883</v>
          </cell>
          <cell r="F628">
            <v>207</v>
          </cell>
          <cell r="G628" t="str">
            <v>E121A 28MM TRIMSIZ KAPAK 10 OPAK KIRMIZI KOLI STANDART</v>
          </cell>
          <cell r="J628">
            <v>12</v>
          </cell>
          <cell r="K628">
            <v>7</v>
          </cell>
          <cell r="L628">
            <v>34.299999999999997</v>
          </cell>
        </row>
        <row r="629">
          <cell r="A629">
            <v>45883</v>
          </cell>
          <cell r="F629">
            <v>210</v>
          </cell>
          <cell r="G629" t="str">
            <v>E032 100 MM ETİKETLİ FOLYOLU 13 OPAK GOLD PLT.IC.KOLI STANDART</v>
          </cell>
          <cell r="J629">
            <v>4</v>
          </cell>
          <cell r="K629">
            <v>4</v>
          </cell>
          <cell r="L629">
            <v>19.7</v>
          </cell>
        </row>
        <row r="630">
          <cell r="A630">
            <v>45883</v>
          </cell>
          <cell r="F630">
            <v>501</v>
          </cell>
          <cell r="G630" t="str">
            <v>500 CC P131 38 SEDEF LACİVERT PLS. PLT K.TAVA STANDART</v>
          </cell>
          <cell r="J630">
            <v>6</v>
          </cell>
          <cell r="K630">
            <v>6</v>
          </cell>
          <cell r="L630">
            <v>17.62</v>
          </cell>
        </row>
        <row r="631">
          <cell r="A631">
            <v>45883</v>
          </cell>
          <cell r="F631">
            <v>505</v>
          </cell>
          <cell r="G631" t="str">
            <v>65 CC I018 8 ŞEFFAF ŞEFFAF KOLI STANDART</v>
          </cell>
          <cell r="J631">
            <v>12</v>
          </cell>
          <cell r="K631">
            <v>12</v>
          </cell>
          <cell r="L631">
            <v>88.8</v>
          </cell>
        </row>
        <row r="632">
          <cell r="A632">
            <v>45884</v>
          </cell>
          <cell r="F632">
            <v>103</v>
          </cell>
          <cell r="G632" t="str">
            <v>700 CC SP009 40 ŞEFFAF SARI PLS. PLT STANDART</v>
          </cell>
          <cell r="J632">
            <v>5</v>
          </cell>
          <cell r="K632">
            <v>5</v>
          </cell>
          <cell r="L632">
            <v>14.88</v>
          </cell>
        </row>
        <row r="633">
          <cell r="A633">
            <v>45884</v>
          </cell>
          <cell r="F633">
            <v>104</v>
          </cell>
          <cell r="G633" t="str">
            <v>500 CC SP052 25 ŞEFFAF ŞEFFAF PALET STANDART</v>
          </cell>
          <cell r="J633">
            <v>6</v>
          </cell>
          <cell r="K633">
            <v>6</v>
          </cell>
          <cell r="L633">
            <v>15.39</v>
          </cell>
        </row>
        <row r="634">
          <cell r="A634">
            <v>45884</v>
          </cell>
          <cell r="F634">
            <v>162</v>
          </cell>
          <cell r="G634" t="str">
            <v>900 CC X377 45 ŞEFFAF SARI PLS. PLT STANDART</v>
          </cell>
          <cell r="J634">
            <v>2</v>
          </cell>
          <cell r="K634">
            <v>2</v>
          </cell>
          <cell r="L634">
            <v>18</v>
          </cell>
        </row>
        <row r="635">
          <cell r="A635">
            <v>45884</v>
          </cell>
          <cell r="F635">
            <v>164</v>
          </cell>
          <cell r="G635" t="str">
            <v>1500 CC X227 52 ŞEFFAF ŞEFFAF PALET STANDART</v>
          </cell>
          <cell r="J635">
            <v>2</v>
          </cell>
          <cell r="K635">
            <v>2</v>
          </cell>
          <cell r="L635">
            <v>24</v>
          </cell>
        </row>
        <row r="636">
          <cell r="A636">
            <v>45884</v>
          </cell>
          <cell r="F636">
            <v>404</v>
          </cell>
          <cell r="G636" t="str">
            <v>300 CC S044 24 ŞEFFAF ŞEFFAF PLS. PLT STANDART</v>
          </cell>
          <cell r="J636">
            <v>2</v>
          </cell>
          <cell r="K636">
            <v>2</v>
          </cell>
          <cell r="L636">
            <v>7.4</v>
          </cell>
        </row>
        <row r="637">
          <cell r="A637">
            <v>45884</v>
          </cell>
          <cell r="F637">
            <v>173</v>
          </cell>
          <cell r="G637" t="str">
            <v>700 CC D062 40 ŞEFFAF SARI PLS. PLT STANDART</v>
          </cell>
          <cell r="J637">
            <v>5</v>
          </cell>
          <cell r="K637">
            <v>5</v>
          </cell>
          <cell r="L637">
            <v>16.309999999999999</v>
          </cell>
        </row>
        <row r="638">
          <cell r="A638">
            <v>45884</v>
          </cell>
          <cell r="F638">
            <v>175</v>
          </cell>
          <cell r="G638" t="str">
            <v>250 CC D127  28 OPAK BEYAZ PALET CAKMA</v>
          </cell>
          <cell r="J638">
            <v>5</v>
          </cell>
          <cell r="K638">
            <v>5</v>
          </cell>
          <cell r="L638">
            <v>12.55</v>
          </cell>
        </row>
        <row r="639">
          <cell r="A639">
            <v>45884</v>
          </cell>
          <cell r="F639">
            <v>176</v>
          </cell>
          <cell r="G639" t="str">
            <v>900 CC D124 52 SEDEF MOR PALET STANDART</v>
          </cell>
          <cell r="J639">
            <v>5</v>
          </cell>
          <cell r="K639">
            <v>5</v>
          </cell>
          <cell r="L639">
            <v>18.2</v>
          </cell>
        </row>
        <row r="640">
          <cell r="A640">
            <v>45884</v>
          </cell>
          <cell r="F640">
            <v>131</v>
          </cell>
          <cell r="G640" t="str">
            <v>400 CC Y006 25 ŞEFFAF YEŞİL PLS. PLT STANDART</v>
          </cell>
          <cell r="J640">
            <v>3</v>
          </cell>
          <cell r="K640">
            <v>2</v>
          </cell>
          <cell r="L640">
            <v>18.09</v>
          </cell>
        </row>
        <row r="641">
          <cell r="A641">
            <v>45884</v>
          </cell>
          <cell r="F641">
            <v>135</v>
          </cell>
          <cell r="G641" t="str">
            <v>150 CC Y341 25 ŞEFFAF KAHVE KOLI STANDART</v>
          </cell>
          <cell r="J641">
            <v>2</v>
          </cell>
          <cell r="K641">
            <v>2</v>
          </cell>
          <cell r="L641">
            <v>21.37</v>
          </cell>
        </row>
        <row r="642">
          <cell r="A642">
            <v>45884</v>
          </cell>
          <cell r="F642">
            <v>138</v>
          </cell>
          <cell r="G642" t="str">
            <v>310 CC Y344 26 ŞEFFAF ŞEFFAF YÜKSEK PLT K.TAVA STANDART</v>
          </cell>
          <cell r="J642">
            <v>3</v>
          </cell>
          <cell r="K642">
            <v>3</v>
          </cell>
          <cell r="L642">
            <v>11.61</v>
          </cell>
        </row>
        <row r="643">
          <cell r="A643">
            <v>45884</v>
          </cell>
          <cell r="F643">
            <v>204</v>
          </cell>
          <cell r="G643" t="str">
            <v>E125 62 MM BAHARAT FLİPTOP 12 OPAK YEŞİL PLT.IC.KOLI STANDART</v>
          </cell>
          <cell r="J643">
            <v>4</v>
          </cell>
          <cell r="K643">
            <v>3</v>
          </cell>
          <cell r="L643">
            <v>21.2</v>
          </cell>
        </row>
        <row r="644">
          <cell r="A644">
            <v>45884</v>
          </cell>
          <cell r="F644">
            <v>205</v>
          </cell>
          <cell r="G644" t="str">
            <v>E128 28 MM 8 OPAK BORDO KOLI CAKMA</v>
          </cell>
          <cell r="J644">
            <v>4</v>
          </cell>
          <cell r="K644">
            <v>3</v>
          </cell>
          <cell r="L644">
            <v>21.4</v>
          </cell>
        </row>
        <row r="645">
          <cell r="A645">
            <v>45884</v>
          </cell>
          <cell r="F645">
            <v>207</v>
          </cell>
          <cell r="G645" t="str">
            <v>E121 28 MM KAPAK 10 OPAK GOLD KOLI STANDART</v>
          </cell>
          <cell r="J645">
            <v>12</v>
          </cell>
          <cell r="K645">
            <v>8</v>
          </cell>
          <cell r="L645">
            <v>34.369999999999997</v>
          </cell>
        </row>
        <row r="646">
          <cell r="A646">
            <v>45884</v>
          </cell>
          <cell r="F646">
            <v>210</v>
          </cell>
          <cell r="G646" t="str">
            <v>E032 100 MM ETİKETLİ FOLYOLU 13 OPAK GOLD PLT.IC.KOLI STANDART</v>
          </cell>
          <cell r="J646">
            <v>4</v>
          </cell>
          <cell r="K646">
            <v>4</v>
          </cell>
          <cell r="L646">
            <v>19.7</v>
          </cell>
        </row>
        <row r="647">
          <cell r="A647">
            <v>45884</v>
          </cell>
          <cell r="F647">
            <v>301</v>
          </cell>
          <cell r="G647" t="str">
            <v>PR001 62 MM 8 GÖZ PREFORM 24 ŞEFFAF ŞEFFAF KOLI STANDART</v>
          </cell>
          <cell r="J647">
            <v>8</v>
          </cell>
          <cell r="K647">
            <v>5</v>
          </cell>
          <cell r="L647">
            <v>29.9</v>
          </cell>
        </row>
        <row r="648">
          <cell r="A648">
            <v>45884</v>
          </cell>
          <cell r="F648">
            <v>303</v>
          </cell>
          <cell r="G648" t="str">
            <v>PR014 110 MM 12 GÖZ YİVLİ PREFORM 91 ŞEFFAF ŞEFFAF KOLI STANDART</v>
          </cell>
          <cell r="J648">
            <v>12</v>
          </cell>
          <cell r="K648">
            <v>7</v>
          </cell>
          <cell r="L648">
            <v>48</v>
          </cell>
        </row>
        <row r="649">
          <cell r="A649">
            <v>45884</v>
          </cell>
          <cell r="F649">
            <v>501</v>
          </cell>
          <cell r="G649" t="str">
            <v>500 CC P131 38 SEDEF LACİVERT PLS. PLT K.TAVA STANDART</v>
          </cell>
          <cell r="J649">
            <v>6</v>
          </cell>
          <cell r="K649">
            <v>6</v>
          </cell>
          <cell r="L649">
            <v>17.600000000000001</v>
          </cell>
        </row>
        <row r="650">
          <cell r="A650">
            <v>45887</v>
          </cell>
          <cell r="F650">
            <v>103</v>
          </cell>
          <cell r="G650" t="str">
            <v>700 CC SP009 40 ŞEFFAF SARI PLS. PLT STANDART</v>
          </cell>
          <cell r="J650">
            <v>5</v>
          </cell>
          <cell r="K650">
            <v>5</v>
          </cell>
          <cell r="L650">
            <v>14.68</v>
          </cell>
        </row>
        <row r="651">
          <cell r="A651">
            <v>45887</v>
          </cell>
          <cell r="F651">
            <v>104</v>
          </cell>
          <cell r="G651" t="str">
            <v>500 CC SP052 25 ŞEFFAF ŞEFFAF PALET STANDART</v>
          </cell>
          <cell r="J651">
            <v>7</v>
          </cell>
          <cell r="K651">
            <v>7</v>
          </cell>
          <cell r="L651">
            <v>15.17</v>
          </cell>
        </row>
        <row r="652">
          <cell r="A652">
            <v>45887</v>
          </cell>
          <cell r="F652">
            <v>164</v>
          </cell>
          <cell r="G652" t="str">
            <v>1500 CC X227 52 ŞEFFAF ŞEFFAF PALET STANDART</v>
          </cell>
          <cell r="J652">
            <v>2</v>
          </cell>
          <cell r="K652">
            <v>2</v>
          </cell>
          <cell r="L652">
            <v>21</v>
          </cell>
        </row>
        <row r="653">
          <cell r="A653">
            <v>45887</v>
          </cell>
          <cell r="F653">
            <v>181</v>
          </cell>
          <cell r="G653" t="str">
            <v>750 CC Z104 28 ŞEFFAF ŞEFFAF PLS. PLT STANDART</v>
          </cell>
          <cell r="J653">
            <v>4</v>
          </cell>
          <cell r="K653">
            <v>4</v>
          </cell>
          <cell r="L653">
            <v>14</v>
          </cell>
        </row>
        <row r="654">
          <cell r="A654">
            <v>45887</v>
          </cell>
          <cell r="F654">
            <v>401</v>
          </cell>
          <cell r="G654" t="str">
            <v>5000 CC S001 90 ŞEFFAF ŞEFFAF POSET STANDART</v>
          </cell>
          <cell r="J654">
            <v>1</v>
          </cell>
          <cell r="K654">
            <v>1</v>
          </cell>
          <cell r="L654">
            <v>12.63</v>
          </cell>
        </row>
        <row r="655">
          <cell r="A655">
            <v>45887</v>
          </cell>
          <cell r="F655">
            <v>171</v>
          </cell>
          <cell r="G655" t="str">
            <v>250 CC D027 25 OPAK BEYAZ PALET STANDART</v>
          </cell>
          <cell r="J655">
            <v>5</v>
          </cell>
          <cell r="K655">
            <v>5</v>
          </cell>
          <cell r="L655">
            <v>19.899999999999999</v>
          </cell>
        </row>
        <row r="656">
          <cell r="A656">
            <v>45887</v>
          </cell>
          <cell r="F656">
            <v>172</v>
          </cell>
          <cell r="G656" t="str">
            <v>1000 CC D125 52 ŞEFFAF ŞEFFAF PALET STANDART</v>
          </cell>
          <cell r="J656">
            <v>4</v>
          </cell>
          <cell r="K656">
            <v>4</v>
          </cell>
          <cell r="L656">
            <v>19.57</v>
          </cell>
        </row>
        <row r="657">
          <cell r="A657">
            <v>45887</v>
          </cell>
          <cell r="F657">
            <v>173</v>
          </cell>
          <cell r="G657" t="str">
            <v>500 CC D060 40 ŞEFFAF ŞEFFAF PLS. PLT K.TAVA CAKMA</v>
          </cell>
          <cell r="J657">
            <v>5</v>
          </cell>
          <cell r="K657">
            <v>5</v>
          </cell>
          <cell r="L657">
            <v>17.21</v>
          </cell>
        </row>
        <row r="658">
          <cell r="A658">
            <v>45887</v>
          </cell>
          <cell r="F658">
            <v>174</v>
          </cell>
          <cell r="G658" t="str">
            <v>750 CC D072 35 ŞEFFAF ŞEFFAF PALET STANDART</v>
          </cell>
          <cell r="J658">
            <v>5</v>
          </cell>
          <cell r="K658">
            <v>5</v>
          </cell>
          <cell r="L658">
            <v>15.27</v>
          </cell>
        </row>
        <row r="659">
          <cell r="A659">
            <v>45887</v>
          </cell>
          <cell r="F659">
            <v>176</v>
          </cell>
          <cell r="G659" t="str">
            <v>900 CC D124 52 SEDEF TURKUAZ PALET STANDART</v>
          </cell>
          <cell r="J659">
            <v>5</v>
          </cell>
          <cell r="K659">
            <v>5</v>
          </cell>
          <cell r="L659">
            <v>18.170000000000002</v>
          </cell>
        </row>
        <row r="660">
          <cell r="A660">
            <v>45887</v>
          </cell>
          <cell r="F660">
            <v>131</v>
          </cell>
          <cell r="G660" t="str">
            <v>400 CC Y006 25 ŞEFFAF YEŞİL PLS. PLT STANDART</v>
          </cell>
          <cell r="J660">
            <v>3</v>
          </cell>
          <cell r="K660">
            <v>2</v>
          </cell>
          <cell r="L660">
            <v>19.23</v>
          </cell>
        </row>
        <row r="661">
          <cell r="A661">
            <v>45887</v>
          </cell>
          <cell r="F661">
            <v>132</v>
          </cell>
          <cell r="G661" t="str">
            <v>200 CC Y099 25 ŞEFFAF YEŞİL PLS. PLT K.TAVA STANDART</v>
          </cell>
          <cell r="J661">
            <v>3</v>
          </cell>
          <cell r="K661">
            <v>3</v>
          </cell>
          <cell r="L661">
            <v>18.22</v>
          </cell>
        </row>
        <row r="662">
          <cell r="A662">
            <v>45887</v>
          </cell>
          <cell r="F662">
            <v>135</v>
          </cell>
          <cell r="G662" t="str">
            <v>150 CC Y341 25 ŞEFFAF KAHVE KOLI STANDART</v>
          </cell>
          <cell r="J662">
            <v>2</v>
          </cell>
          <cell r="K662">
            <v>2</v>
          </cell>
          <cell r="L662">
            <v>21.87</v>
          </cell>
        </row>
        <row r="663">
          <cell r="A663">
            <v>45887</v>
          </cell>
          <cell r="F663">
            <v>138</v>
          </cell>
          <cell r="G663" t="str">
            <v>310 CC Y344 26 ŞEFFAF ŞEFFAF YÜKSEK PLT K.TAVA STANDART</v>
          </cell>
          <cell r="J663">
            <v>3</v>
          </cell>
          <cell r="K663">
            <v>3</v>
          </cell>
          <cell r="L663">
            <v>11.58</v>
          </cell>
        </row>
        <row r="664">
          <cell r="A664">
            <v>45887</v>
          </cell>
          <cell r="F664">
            <v>203</v>
          </cell>
          <cell r="G664" t="str">
            <v>E043 KAPAK 10 OPAK SİYAH PLT.IC.KOLI STANDART</v>
          </cell>
          <cell r="J664">
            <v>4</v>
          </cell>
          <cell r="K664">
            <v>4</v>
          </cell>
          <cell r="L664">
            <v>24.9</v>
          </cell>
        </row>
        <row r="665">
          <cell r="A665">
            <v>45887</v>
          </cell>
          <cell r="F665">
            <v>204</v>
          </cell>
          <cell r="G665" t="str">
            <v>E125 62 MM BAHARAT FLİPTOP 12 OPAK YEŞİL PLT.IC.KOLI STANDART</v>
          </cell>
          <cell r="J665">
            <v>4</v>
          </cell>
          <cell r="K665">
            <v>3</v>
          </cell>
          <cell r="L665">
            <v>21.2</v>
          </cell>
        </row>
        <row r="666">
          <cell r="A666">
            <v>45887</v>
          </cell>
          <cell r="F666">
            <v>205</v>
          </cell>
          <cell r="G666" t="str">
            <v>E128 28 MM 8 OPAK BORDO KOLI CAKMA</v>
          </cell>
          <cell r="J666">
            <v>4</v>
          </cell>
          <cell r="K666">
            <v>3</v>
          </cell>
          <cell r="L666">
            <v>22.6</v>
          </cell>
        </row>
        <row r="667">
          <cell r="A667">
            <v>45887</v>
          </cell>
          <cell r="F667">
            <v>207</v>
          </cell>
          <cell r="G667" t="str">
            <v>E121 28 MM KAPAK 10 OPAK YEŞİL KOLI STANDART</v>
          </cell>
          <cell r="J667">
            <v>12</v>
          </cell>
          <cell r="K667">
            <v>8</v>
          </cell>
          <cell r="L667">
            <v>34.200000000000003</v>
          </cell>
        </row>
        <row r="668">
          <cell r="A668">
            <v>45887</v>
          </cell>
          <cell r="F668">
            <v>208</v>
          </cell>
          <cell r="G668" t="str">
            <v>E069 24 MM KAPAK 8 OPAK YEŞİL KOLI STANDART</v>
          </cell>
          <cell r="J668">
            <v>16</v>
          </cell>
          <cell r="K668">
            <v>9</v>
          </cell>
          <cell r="L668">
            <v>28.9</v>
          </cell>
        </row>
        <row r="669">
          <cell r="A669">
            <v>45887</v>
          </cell>
          <cell r="F669">
            <v>209</v>
          </cell>
          <cell r="G669" t="str">
            <v>E124 28 MM FLİPTOP 13 OPAK MOR PLT.IC.KOLI STANDART</v>
          </cell>
          <cell r="J669">
            <v>12</v>
          </cell>
          <cell r="K669">
            <v>11</v>
          </cell>
          <cell r="L669">
            <v>25.3</v>
          </cell>
        </row>
        <row r="670">
          <cell r="A670">
            <v>45887</v>
          </cell>
          <cell r="F670">
            <v>210</v>
          </cell>
          <cell r="G670" t="str">
            <v>E032 100 MM ETİKETLİ FOLYOLU 13 OPAK SARI PLT.IC.KOLI STANDART</v>
          </cell>
          <cell r="J670">
            <v>4</v>
          </cell>
          <cell r="K670">
            <v>4</v>
          </cell>
          <cell r="L670">
            <v>19.7</v>
          </cell>
        </row>
        <row r="671">
          <cell r="A671">
            <v>45887</v>
          </cell>
          <cell r="F671">
            <v>303</v>
          </cell>
          <cell r="G671" t="str">
            <v>PR014 110 MM 12 GÖZ YİVLİ PREFORM 91 ŞEFFAF ŞEFFAF KOLI STANDART</v>
          </cell>
          <cell r="J671">
            <v>12</v>
          </cell>
          <cell r="K671">
            <v>7</v>
          </cell>
          <cell r="L671">
            <v>46.5</v>
          </cell>
        </row>
        <row r="672">
          <cell r="A672">
            <v>45888</v>
          </cell>
          <cell r="F672">
            <v>102</v>
          </cell>
          <cell r="G672" t="str">
            <v>1500 CC SP026 52 ŞEFFAF ŞEFFAF PALET STANDART</v>
          </cell>
          <cell r="J672">
            <v>5</v>
          </cell>
          <cell r="K672">
            <v>5</v>
          </cell>
          <cell r="L672">
            <v>18.98</v>
          </cell>
        </row>
        <row r="673">
          <cell r="A673">
            <v>45888</v>
          </cell>
          <cell r="F673">
            <v>103</v>
          </cell>
          <cell r="G673" t="str">
            <v>700 CC SP009 40 ŞEFFAF SARI PLS. PLT STANDART</v>
          </cell>
          <cell r="J673">
            <v>5</v>
          </cell>
          <cell r="K673">
            <v>5</v>
          </cell>
          <cell r="L673">
            <v>14.51</v>
          </cell>
        </row>
        <row r="674">
          <cell r="A674">
            <v>45888</v>
          </cell>
          <cell r="F674">
            <v>161</v>
          </cell>
          <cell r="G674" t="str">
            <v>750 CC X319 40 ŞEFFAF ŞEFFAF K.TAVA PALET STANDART</v>
          </cell>
          <cell r="J674">
            <v>2</v>
          </cell>
          <cell r="K674">
            <v>2</v>
          </cell>
          <cell r="L674">
            <v>18.89</v>
          </cell>
        </row>
        <row r="675">
          <cell r="A675">
            <v>45888</v>
          </cell>
          <cell r="F675">
            <v>162</v>
          </cell>
          <cell r="G675" t="str">
            <v>1000 CC X236 45 ŞEFFAF ŞEFFAF PLS. PLT STANDART</v>
          </cell>
          <cell r="J675">
            <v>2</v>
          </cell>
          <cell r="K675">
            <v>2</v>
          </cell>
          <cell r="L675">
            <v>18</v>
          </cell>
        </row>
        <row r="676">
          <cell r="A676">
            <v>45888</v>
          </cell>
          <cell r="F676">
            <v>182</v>
          </cell>
          <cell r="G676" t="str">
            <v>400 CC Z078 26 ŞEFFAF ŞEFFAF PALET STANDART</v>
          </cell>
          <cell r="J676">
            <v>4</v>
          </cell>
          <cell r="K676">
            <v>4</v>
          </cell>
          <cell r="L676">
            <v>14.09</v>
          </cell>
        </row>
        <row r="677">
          <cell r="A677">
            <v>45888</v>
          </cell>
          <cell r="F677">
            <v>401</v>
          </cell>
          <cell r="G677" t="str">
            <v>5000 CC S001 90 ŞEFFAF ŞEFFAF POSET STANDART</v>
          </cell>
          <cell r="J677">
            <v>1</v>
          </cell>
          <cell r="K677">
            <v>1</v>
          </cell>
          <cell r="L677">
            <v>12.34</v>
          </cell>
        </row>
        <row r="678">
          <cell r="A678">
            <v>45888</v>
          </cell>
          <cell r="F678">
            <v>171</v>
          </cell>
          <cell r="G678" t="str">
            <v>250 CC D027 25 OPAK BEYAZ PALET STANDART</v>
          </cell>
          <cell r="J678">
            <v>5</v>
          </cell>
          <cell r="K678">
            <v>5</v>
          </cell>
          <cell r="L678">
            <v>19.579999999999998</v>
          </cell>
        </row>
        <row r="679">
          <cell r="A679">
            <v>45888</v>
          </cell>
          <cell r="F679">
            <v>172</v>
          </cell>
          <cell r="G679" t="str">
            <v>1000 CC D125 52 ŞEFFAF ŞEFFAF PALET STANDART</v>
          </cell>
          <cell r="J679">
            <v>4</v>
          </cell>
          <cell r="K679">
            <v>4</v>
          </cell>
          <cell r="L679">
            <v>19.47</v>
          </cell>
        </row>
        <row r="680">
          <cell r="A680">
            <v>45888</v>
          </cell>
          <cell r="F680">
            <v>173</v>
          </cell>
          <cell r="G680" t="str">
            <v>500 CC D077 40 ŞEFFAF BUZ BEYAZ PALET STANDART</v>
          </cell>
          <cell r="J680">
            <v>5</v>
          </cell>
          <cell r="K680">
            <v>5</v>
          </cell>
          <cell r="L680">
            <v>17.149999999999999</v>
          </cell>
        </row>
        <row r="681">
          <cell r="A681">
            <v>45888</v>
          </cell>
          <cell r="F681">
            <v>177</v>
          </cell>
          <cell r="G681" t="str">
            <v>1000 CC D075 45 ŞEFFAF ŞEFFAF PALET STANDART</v>
          </cell>
          <cell r="J681">
            <v>4</v>
          </cell>
          <cell r="K681">
            <v>4</v>
          </cell>
          <cell r="L681">
            <v>17.420000000000002</v>
          </cell>
        </row>
        <row r="682">
          <cell r="A682">
            <v>45888</v>
          </cell>
          <cell r="F682">
            <v>131</v>
          </cell>
          <cell r="G682" t="str">
            <v>400 CC Y006 25 ŞEFFAF YEŞİL PLS. PLT STANDART</v>
          </cell>
          <cell r="J682">
            <v>3</v>
          </cell>
          <cell r="K682">
            <v>2</v>
          </cell>
          <cell r="L682">
            <v>16.91</v>
          </cell>
        </row>
        <row r="683">
          <cell r="A683">
            <v>45888</v>
          </cell>
          <cell r="F683">
            <v>132</v>
          </cell>
          <cell r="G683" t="str">
            <v>200 CC Y099 25 ŞEFFAF YEŞİL PLS. PLT K.TAVA STANDART</v>
          </cell>
          <cell r="J683">
            <v>3</v>
          </cell>
          <cell r="K683">
            <v>3</v>
          </cell>
          <cell r="L683">
            <v>18.25</v>
          </cell>
        </row>
        <row r="684">
          <cell r="A684">
            <v>45888</v>
          </cell>
          <cell r="F684">
            <v>135</v>
          </cell>
          <cell r="G684" t="str">
            <v>150 CC Y341 25 ŞEFFAF KAHVE KOLI STANDART</v>
          </cell>
          <cell r="J684">
            <v>2</v>
          </cell>
          <cell r="K684">
            <v>2</v>
          </cell>
          <cell r="L684">
            <v>21.57</v>
          </cell>
        </row>
        <row r="685">
          <cell r="A685">
            <v>45888</v>
          </cell>
          <cell r="F685">
            <v>138</v>
          </cell>
          <cell r="G685" t="str">
            <v>310 CC Y344 26 ŞEFFAF ŞEFFAF YÜKSEK PLT K.TAVA STANDART</v>
          </cell>
          <cell r="J685">
            <v>3</v>
          </cell>
          <cell r="K685">
            <v>3</v>
          </cell>
          <cell r="L685">
            <v>11.58</v>
          </cell>
        </row>
        <row r="686">
          <cell r="A686">
            <v>45888</v>
          </cell>
          <cell r="F686">
            <v>204</v>
          </cell>
          <cell r="G686" t="str">
            <v>E125 62 MM BAHARAT FLİPTOP 12 OPAK YEŞİL PLT.IC.KOLI STANDART</v>
          </cell>
          <cell r="J686">
            <v>4</v>
          </cell>
          <cell r="K686">
            <v>3</v>
          </cell>
          <cell r="L686">
            <v>21.2</v>
          </cell>
        </row>
        <row r="687">
          <cell r="A687">
            <v>45888</v>
          </cell>
          <cell r="F687">
            <v>207</v>
          </cell>
          <cell r="G687" t="str">
            <v>E121 28 MM KAPAK 10 OPAK YEŞİL KOLI STANDART</v>
          </cell>
          <cell r="J687">
            <v>12</v>
          </cell>
          <cell r="K687">
            <v>7</v>
          </cell>
          <cell r="L687">
            <v>34.06</v>
          </cell>
        </row>
        <row r="688">
          <cell r="A688">
            <v>45888</v>
          </cell>
          <cell r="F688">
            <v>209</v>
          </cell>
          <cell r="G688" t="str">
            <v>E124 28 MM FLİPTOP 13 OPAK MOR PLT.IC.KOLI STANDART</v>
          </cell>
          <cell r="J688">
            <v>12</v>
          </cell>
          <cell r="K688">
            <v>11</v>
          </cell>
          <cell r="L688">
            <v>27.6</v>
          </cell>
        </row>
        <row r="689">
          <cell r="A689">
            <v>45888</v>
          </cell>
          <cell r="F689">
            <v>210</v>
          </cell>
          <cell r="G689" t="str">
            <v>E032 100 MM ETİKETLİ FOLYOLU 13 OPAK KIRMIZIBEYAZ PLT.IC.KOLI STANDART</v>
          </cell>
          <cell r="J689">
            <v>4</v>
          </cell>
          <cell r="K689">
            <v>4</v>
          </cell>
          <cell r="L689">
            <v>19.7</v>
          </cell>
        </row>
        <row r="690">
          <cell r="A690">
            <v>45888</v>
          </cell>
          <cell r="F690">
            <v>301</v>
          </cell>
          <cell r="G690" t="str">
            <v>PR001 62 MM 8 GÖZ PREFORM 24 ŞEFFAF ŞEFFAF KOLI STANDART</v>
          </cell>
          <cell r="J690">
            <v>8</v>
          </cell>
          <cell r="K690">
            <v>5</v>
          </cell>
          <cell r="L690">
            <v>30.4</v>
          </cell>
        </row>
        <row r="691">
          <cell r="A691">
            <v>45888</v>
          </cell>
          <cell r="F691">
            <v>502</v>
          </cell>
          <cell r="G691" t="str">
            <v>265 CC P130 30 OPAK BEYAZ PLS. PLT STANDART</v>
          </cell>
          <cell r="J691">
            <v>4</v>
          </cell>
          <cell r="K691">
            <v>4</v>
          </cell>
          <cell r="L691">
            <v>17.62</v>
          </cell>
        </row>
        <row r="692">
          <cell r="A692">
            <v>45889</v>
          </cell>
          <cell r="F692">
            <v>102</v>
          </cell>
          <cell r="G692" t="str">
            <v>1500 CC SP026 52 ŞEFFAF ŞEFFAF PLS. PLT STANDART</v>
          </cell>
          <cell r="J692">
            <v>5</v>
          </cell>
          <cell r="K692">
            <v>5</v>
          </cell>
          <cell r="L692">
            <v>19.53</v>
          </cell>
        </row>
        <row r="693">
          <cell r="A693">
            <v>45889</v>
          </cell>
          <cell r="F693">
            <v>103</v>
          </cell>
          <cell r="G693" t="str">
            <v>700 CC SP009 40 ŞEFFAF SARI PLS. PLT STANDART</v>
          </cell>
          <cell r="J693">
            <v>5</v>
          </cell>
          <cell r="K693">
            <v>5</v>
          </cell>
          <cell r="L693">
            <v>14.82</v>
          </cell>
        </row>
        <row r="694">
          <cell r="A694">
            <v>45889</v>
          </cell>
          <cell r="F694">
            <v>161</v>
          </cell>
          <cell r="G694" t="str">
            <v>750 CC X319 40 ŞEFFAF ŞEFFAF K.TAVA PALET STANDART</v>
          </cell>
          <cell r="J694">
            <v>2</v>
          </cell>
          <cell r="K694">
            <v>2</v>
          </cell>
          <cell r="L694">
            <v>18.010000000000002</v>
          </cell>
        </row>
        <row r="695">
          <cell r="A695">
            <v>45889</v>
          </cell>
          <cell r="F695">
            <v>182</v>
          </cell>
          <cell r="G695" t="str">
            <v>500 CC Z004 26 ŞEFFAF ŞEFFAF K.TAVA PALET STANDART</v>
          </cell>
          <cell r="J695">
            <v>4</v>
          </cell>
          <cell r="K695">
            <v>4</v>
          </cell>
          <cell r="L695">
            <v>14</v>
          </cell>
        </row>
        <row r="696">
          <cell r="A696">
            <v>45889</v>
          </cell>
          <cell r="F696">
            <v>404</v>
          </cell>
          <cell r="G696" t="str">
            <v>300 CC S044 24 ŞEFFAF ŞEFFAF PLS. PLT STANDART</v>
          </cell>
          <cell r="J696">
            <v>2</v>
          </cell>
          <cell r="K696">
            <v>2</v>
          </cell>
          <cell r="L696">
            <v>7.4</v>
          </cell>
        </row>
        <row r="697">
          <cell r="A697">
            <v>45889</v>
          </cell>
          <cell r="F697">
            <v>405</v>
          </cell>
          <cell r="G697" t="str">
            <v>1000 CC S013 43 ŞEFFAF ŞEFFAF PLS. PLT STANDART</v>
          </cell>
          <cell r="J697">
            <v>2</v>
          </cell>
          <cell r="K697">
            <v>2</v>
          </cell>
          <cell r="L697">
            <v>8.8000000000000007</v>
          </cell>
        </row>
        <row r="698">
          <cell r="A698">
            <v>45889</v>
          </cell>
          <cell r="F698">
            <v>172</v>
          </cell>
          <cell r="G698" t="str">
            <v>1000 CC D125 52 ŞEFFAF ŞEFFAF PALET STANDART</v>
          </cell>
          <cell r="J698">
            <v>4</v>
          </cell>
          <cell r="K698">
            <v>4</v>
          </cell>
          <cell r="L698">
            <v>19.62</v>
          </cell>
        </row>
        <row r="699">
          <cell r="A699">
            <v>45889</v>
          </cell>
          <cell r="F699">
            <v>173</v>
          </cell>
          <cell r="G699" t="str">
            <v>650 CC D118 40 OPAK BEYAZ PLS. PLT K.TAVA CAKMA</v>
          </cell>
          <cell r="J699">
            <v>5</v>
          </cell>
          <cell r="K699">
            <v>5</v>
          </cell>
          <cell r="L699">
            <v>17.22</v>
          </cell>
        </row>
        <row r="700">
          <cell r="A700">
            <v>45889</v>
          </cell>
          <cell r="F700">
            <v>174</v>
          </cell>
          <cell r="G700" t="str">
            <v>750 CC D106 35 ŞEFFAF ŞEFFAF PLS. PLT K.TAVA STANDART</v>
          </cell>
          <cell r="J700">
            <v>5</v>
          </cell>
          <cell r="K700">
            <v>5</v>
          </cell>
          <cell r="L700">
            <v>14.63</v>
          </cell>
        </row>
        <row r="701">
          <cell r="A701">
            <v>45889</v>
          </cell>
          <cell r="F701">
            <v>176</v>
          </cell>
          <cell r="G701" t="str">
            <v>900 CC D124 52 SEDEF TURKUAZ PALET STANDART</v>
          </cell>
          <cell r="J701">
            <v>5</v>
          </cell>
          <cell r="K701">
            <v>5</v>
          </cell>
          <cell r="L701">
            <v>18.2</v>
          </cell>
        </row>
        <row r="702">
          <cell r="A702">
            <v>45889</v>
          </cell>
          <cell r="F702">
            <v>131</v>
          </cell>
          <cell r="G702" t="str">
            <v>400 CC Y006 25 ŞEFFAF YEŞİL PLS. PLT STANDART</v>
          </cell>
          <cell r="J702">
            <v>3</v>
          </cell>
          <cell r="K702">
            <v>2</v>
          </cell>
          <cell r="L702">
            <v>16.829999999999998</v>
          </cell>
        </row>
        <row r="703">
          <cell r="A703">
            <v>45889</v>
          </cell>
          <cell r="F703">
            <v>132</v>
          </cell>
          <cell r="G703" t="str">
            <v>200 CC Y099 25 ŞEFFAF YEŞİL PLS. PLT K.TAVA STANDART</v>
          </cell>
          <cell r="J703">
            <v>3</v>
          </cell>
          <cell r="K703">
            <v>3</v>
          </cell>
          <cell r="L703">
            <v>18.22</v>
          </cell>
        </row>
        <row r="704">
          <cell r="A704">
            <v>45889</v>
          </cell>
          <cell r="F704">
            <v>203</v>
          </cell>
          <cell r="G704" t="str">
            <v>E043 KAPAK 10 OPAK SİYAH PLT.IC.KOLI STANDART</v>
          </cell>
          <cell r="J704">
            <v>4</v>
          </cell>
          <cell r="K704">
            <v>4</v>
          </cell>
          <cell r="L704">
            <v>24.8</v>
          </cell>
        </row>
        <row r="705">
          <cell r="A705">
            <v>45889</v>
          </cell>
          <cell r="F705">
            <v>205</v>
          </cell>
          <cell r="G705" t="str">
            <v>E128 28 MM 8 OPAK BORDO KOLI CAKMA</v>
          </cell>
          <cell r="J705">
            <v>4</v>
          </cell>
          <cell r="K705">
            <v>3</v>
          </cell>
          <cell r="L705">
            <v>22.5</v>
          </cell>
        </row>
        <row r="706">
          <cell r="A706">
            <v>45889</v>
          </cell>
          <cell r="F706">
            <v>206</v>
          </cell>
          <cell r="G706" t="str">
            <v>E123 28 MM FLİPTOP 13 ŞEFFAF LİLA PLT.IC.KOLI STANDART</v>
          </cell>
          <cell r="J706">
            <v>12</v>
          </cell>
          <cell r="K706">
            <v>11</v>
          </cell>
          <cell r="L706">
            <v>26.8</v>
          </cell>
        </row>
        <row r="707">
          <cell r="A707">
            <v>45889</v>
          </cell>
          <cell r="F707">
            <v>207</v>
          </cell>
          <cell r="G707" t="str">
            <v>E121 28 MM KAPAK 10 OPAK YEŞİL KOLI STANDART</v>
          </cell>
          <cell r="J707">
            <v>12</v>
          </cell>
          <cell r="K707">
            <v>7</v>
          </cell>
          <cell r="L707">
            <v>34.08</v>
          </cell>
        </row>
        <row r="708">
          <cell r="A708">
            <v>45889</v>
          </cell>
          <cell r="F708">
            <v>208</v>
          </cell>
          <cell r="G708" t="str">
            <v>E125 62 MM BAHARAT FLİPTOP 12 OPAK YEŞİL PLT.IC.KOLI STANDART</v>
          </cell>
          <cell r="J708">
            <v>4</v>
          </cell>
          <cell r="K708">
            <v>4</v>
          </cell>
          <cell r="L708">
            <v>20.260000000000002</v>
          </cell>
        </row>
        <row r="709">
          <cell r="A709">
            <v>45889</v>
          </cell>
          <cell r="F709">
            <v>209</v>
          </cell>
          <cell r="G709" t="str">
            <v>E124 28 MM FLİPTOP 13 OPAK ZEYTİN YEŞİLİ PLT.IC.KOLI STANDART</v>
          </cell>
          <cell r="J709">
            <v>12</v>
          </cell>
          <cell r="K709">
            <v>10</v>
          </cell>
          <cell r="L709">
            <v>28</v>
          </cell>
        </row>
        <row r="710">
          <cell r="A710">
            <v>45889</v>
          </cell>
          <cell r="F710">
            <v>301</v>
          </cell>
          <cell r="G710" t="str">
            <v>PR001 62 MM 8 GÖZ PREFORM 24 ŞEFFAF ŞEFFAF KOLI STANDART</v>
          </cell>
          <cell r="J710">
            <v>8</v>
          </cell>
          <cell r="K710">
            <v>5</v>
          </cell>
          <cell r="L710">
            <v>30.3</v>
          </cell>
        </row>
        <row r="711">
          <cell r="A711">
            <v>45889</v>
          </cell>
          <cell r="F711">
            <v>303</v>
          </cell>
          <cell r="G711" t="str">
            <v>PR014 110 MM 12 GÖZ YİVLİ PREFORM 91 ŞEFFAF ŞEFFAF KOLI STANDART</v>
          </cell>
          <cell r="J711">
            <v>12</v>
          </cell>
          <cell r="K711">
            <v>7</v>
          </cell>
          <cell r="L711">
            <v>46.5</v>
          </cell>
        </row>
        <row r="712">
          <cell r="A712">
            <v>45889</v>
          </cell>
          <cell r="F712">
            <v>502</v>
          </cell>
          <cell r="G712" t="str">
            <v>265 CC P130 30 OPAK BEYAZ PLS. PLT STANDART</v>
          </cell>
          <cell r="J712">
            <v>4</v>
          </cell>
          <cell r="K712">
            <v>4</v>
          </cell>
          <cell r="L712">
            <v>17.62</v>
          </cell>
        </row>
        <row r="713">
          <cell r="A713">
            <v>45890</v>
          </cell>
          <cell r="F713">
            <v>102</v>
          </cell>
          <cell r="G713" t="str">
            <v>1500 CC SP026 52 ŞEFFAF ŞEFFAF PLS. PLT STANDART</v>
          </cell>
          <cell r="J713">
            <v>5</v>
          </cell>
          <cell r="K713">
            <v>5</v>
          </cell>
          <cell r="L713">
            <v>19.72</v>
          </cell>
        </row>
        <row r="714">
          <cell r="A714">
            <v>45890</v>
          </cell>
          <cell r="F714">
            <v>103</v>
          </cell>
          <cell r="G714" t="str">
            <v>700 CC SP009 40 ŞEFFAF SARI PLS. PLT STANDART</v>
          </cell>
          <cell r="J714">
            <v>5</v>
          </cell>
          <cell r="K714">
            <v>5</v>
          </cell>
          <cell r="L714">
            <v>14.82</v>
          </cell>
        </row>
        <row r="715">
          <cell r="A715">
            <v>45890</v>
          </cell>
          <cell r="F715">
            <v>161</v>
          </cell>
          <cell r="G715" t="str">
            <v>750 CC X319 40 ŞEFFAF ŞEFFAF K.TAVA PALET STANDART</v>
          </cell>
          <cell r="J715">
            <v>2</v>
          </cell>
          <cell r="K715">
            <v>2</v>
          </cell>
          <cell r="L715">
            <v>18</v>
          </cell>
        </row>
        <row r="716">
          <cell r="A716">
            <v>45890</v>
          </cell>
          <cell r="F716">
            <v>404</v>
          </cell>
          <cell r="G716" t="str">
            <v>300 CC S044 24 ŞEFFAF ŞEFFAF PLS. PLT STANDART</v>
          </cell>
          <cell r="J716">
            <v>2</v>
          </cell>
          <cell r="K716">
            <v>2</v>
          </cell>
          <cell r="L716">
            <v>7.4</v>
          </cell>
        </row>
        <row r="717">
          <cell r="A717">
            <v>45890</v>
          </cell>
          <cell r="F717">
            <v>171</v>
          </cell>
          <cell r="G717" t="str">
            <v>500 CC D058 29 ŞEFFAF ŞEFFAF PALET STANDART</v>
          </cell>
          <cell r="J717">
            <v>7</v>
          </cell>
          <cell r="K717">
            <v>7</v>
          </cell>
          <cell r="L717">
            <v>17.14</v>
          </cell>
        </row>
        <row r="718">
          <cell r="A718">
            <v>45890</v>
          </cell>
          <cell r="F718">
            <v>172</v>
          </cell>
          <cell r="G718" t="str">
            <v>1000 CC D125 52 ŞEFFAF ŞEFFAF PALET STANDART</v>
          </cell>
          <cell r="J718">
            <v>4</v>
          </cell>
          <cell r="K718">
            <v>4</v>
          </cell>
          <cell r="L718">
            <v>19.64</v>
          </cell>
        </row>
        <row r="719">
          <cell r="A719">
            <v>45890</v>
          </cell>
          <cell r="F719">
            <v>173</v>
          </cell>
          <cell r="G719" t="str">
            <v>650 CC D118 40 OPAK BEYAZ PLS. PLT K.TAVA CAKMA</v>
          </cell>
          <cell r="J719">
            <v>5</v>
          </cell>
          <cell r="K719">
            <v>5</v>
          </cell>
          <cell r="L719">
            <v>16.61</v>
          </cell>
        </row>
        <row r="720">
          <cell r="A720">
            <v>45890</v>
          </cell>
          <cell r="F720">
            <v>174</v>
          </cell>
          <cell r="G720" t="str">
            <v>750 CC D082 35 ŞEFFAF ŞEFFAF K.TAVA PALET STANDART</v>
          </cell>
          <cell r="J720">
            <v>5</v>
          </cell>
          <cell r="K720">
            <v>5</v>
          </cell>
          <cell r="L720">
            <v>15.16</v>
          </cell>
        </row>
        <row r="721">
          <cell r="A721">
            <v>45890</v>
          </cell>
          <cell r="F721">
            <v>176</v>
          </cell>
          <cell r="G721" t="str">
            <v>900 CC D124 52 SEDEF GOLD PALET STANDART</v>
          </cell>
          <cell r="J721">
            <v>5</v>
          </cell>
          <cell r="K721">
            <v>5</v>
          </cell>
          <cell r="L721">
            <v>18.239999999999998</v>
          </cell>
        </row>
        <row r="722">
          <cell r="A722">
            <v>45890</v>
          </cell>
          <cell r="F722">
            <v>132</v>
          </cell>
          <cell r="G722" t="str">
            <v>100 CC Y274 25 ŞEFFAF TURUNCU PLT.IC.KOLI STANDART</v>
          </cell>
          <cell r="J722">
            <v>3</v>
          </cell>
          <cell r="K722">
            <v>3</v>
          </cell>
          <cell r="L722">
            <v>19.190000000000001</v>
          </cell>
        </row>
        <row r="723">
          <cell r="A723">
            <v>45890</v>
          </cell>
          <cell r="F723">
            <v>138</v>
          </cell>
          <cell r="G723" t="str">
            <v>310 CC Y344 26 ŞEFFAF ŞEFFAF YÜKSEK PLT K.TAVA STANDART</v>
          </cell>
          <cell r="J723">
            <v>3</v>
          </cell>
          <cell r="K723">
            <v>3</v>
          </cell>
          <cell r="L723">
            <v>11.58</v>
          </cell>
        </row>
        <row r="724">
          <cell r="A724">
            <v>45890</v>
          </cell>
          <cell r="F724">
            <v>203</v>
          </cell>
          <cell r="G724" t="str">
            <v>E043 KAPAK 10 OPAK BEYAZ PLT.IC.KOLI STANDART</v>
          </cell>
          <cell r="J724">
            <v>4</v>
          </cell>
          <cell r="K724">
            <v>4</v>
          </cell>
          <cell r="L724">
            <v>24.7</v>
          </cell>
        </row>
        <row r="725">
          <cell r="A725">
            <v>45890</v>
          </cell>
          <cell r="F725">
            <v>205</v>
          </cell>
          <cell r="G725" t="str">
            <v>E128 28 MM 8 OPAK PEMBE KOLI CAKMA</v>
          </cell>
          <cell r="J725">
            <v>4</v>
          </cell>
          <cell r="K725">
            <v>3</v>
          </cell>
          <cell r="L725">
            <v>22.5</v>
          </cell>
        </row>
        <row r="726">
          <cell r="A726">
            <v>45890</v>
          </cell>
          <cell r="F726">
            <v>206</v>
          </cell>
          <cell r="G726" t="str">
            <v>E123 28 MM FLİPTOP 13 ŞEFFAF LİLA PLT.IC.KOLI STANDART</v>
          </cell>
          <cell r="J726">
            <v>12</v>
          </cell>
          <cell r="K726">
            <v>11</v>
          </cell>
          <cell r="L726">
            <v>26.8</v>
          </cell>
        </row>
        <row r="727">
          <cell r="A727">
            <v>45890</v>
          </cell>
          <cell r="F727">
            <v>207</v>
          </cell>
          <cell r="G727" t="str">
            <v>E121A 28MM TRIMSIZ KAPAK 10 OPAK KIRMIZI KOLI STANDART</v>
          </cell>
          <cell r="J727">
            <v>12</v>
          </cell>
          <cell r="K727">
            <v>7</v>
          </cell>
          <cell r="L727">
            <v>34.1</v>
          </cell>
        </row>
        <row r="728">
          <cell r="A728">
            <v>45890</v>
          </cell>
          <cell r="F728">
            <v>208</v>
          </cell>
          <cell r="G728" t="str">
            <v>E125 62 MM BAHARAT FLİPTOP 12 OPAK YEŞİL PLT.IC.KOLI STANDART</v>
          </cell>
          <cell r="J728">
            <v>4</v>
          </cell>
          <cell r="K728">
            <v>4</v>
          </cell>
          <cell r="L728">
            <v>19.190000000000001</v>
          </cell>
        </row>
        <row r="729">
          <cell r="A729">
            <v>45890</v>
          </cell>
          <cell r="F729">
            <v>209</v>
          </cell>
          <cell r="G729" t="str">
            <v>E124 28 MM FLİPTOP 13 OPAK ZEYTİN YEŞİLİ PLT.IC.KOLI STANDART</v>
          </cell>
          <cell r="J729">
            <v>12</v>
          </cell>
          <cell r="K729">
            <v>10</v>
          </cell>
          <cell r="L729">
            <v>27.8</v>
          </cell>
        </row>
        <row r="730">
          <cell r="A730">
            <v>45890</v>
          </cell>
          <cell r="F730">
            <v>210</v>
          </cell>
          <cell r="G730" t="str">
            <v>E032 100 MM ETİKETLİ FOLYOLU 13 OPAK KIRMIZIBEYAZ PLT.IC.KOLI STANDART</v>
          </cell>
          <cell r="J730">
            <v>4</v>
          </cell>
          <cell r="K730">
            <v>4</v>
          </cell>
          <cell r="L730">
            <v>19.7</v>
          </cell>
        </row>
        <row r="731">
          <cell r="A731">
            <v>45890</v>
          </cell>
          <cell r="F731">
            <v>301</v>
          </cell>
          <cell r="G731" t="str">
            <v>PR001 62 MM 8 GÖZ PREFORM 24 ŞEFFAF ŞEFFAF KOLI STANDART</v>
          </cell>
          <cell r="J731">
            <v>8</v>
          </cell>
          <cell r="K731">
            <v>5</v>
          </cell>
          <cell r="L731">
            <v>30.3</v>
          </cell>
        </row>
        <row r="732">
          <cell r="A732">
            <v>45890</v>
          </cell>
          <cell r="F732">
            <v>303</v>
          </cell>
          <cell r="G732" t="str">
            <v>PR014 110 MM 12 GÖZ YİVLİ PREFORM 91 ŞEFFAF ŞEFFAF KOLI STANDART</v>
          </cell>
          <cell r="J732">
            <v>12</v>
          </cell>
          <cell r="K732">
            <v>7</v>
          </cell>
          <cell r="L732">
            <v>46</v>
          </cell>
        </row>
        <row r="733">
          <cell r="A733">
            <v>45891</v>
          </cell>
          <cell r="F733">
            <v>102</v>
          </cell>
          <cell r="G733" t="str">
            <v>1500 CC SP026 52 ŞEFFAF ŞEFFAF PALET STANDART</v>
          </cell>
          <cell r="J733">
            <v>5</v>
          </cell>
          <cell r="K733">
            <v>5</v>
          </cell>
          <cell r="L733">
            <v>19.64</v>
          </cell>
        </row>
        <row r="734">
          <cell r="A734">
            <v>45891</v>
          </cell>
          <cell r="F734">
            <v>103</v>
          </cell>
          <cell r="G734" t="str">
            <v>700 CC SP009 40 ŞEFFAF SARI PLS. PLT STANDART</v>
          </cell>
          <cell r="J734">
            <v>5</v>
          </cell>
          <cell r="K734">
            <v>5</v>
          </cell>
          <cell r="L734">
            <v>14.61</v>
          </cell>
        </row>
        <row r="735">
          <cell r="A735">
            <v>45891</v>
          </cell>
          <cell r="F735">
            <v>104</v>
          </cell>
          <cell r="G735" t="str">
            <v>150 CC SP020 20 ŞEFFAF ŞEFFAF PLS. PLT K.TAVA STANDART</v>
          </cell>
          <cell r="J735">
            <v>9</v>
          </cell>
          <cell r="K735">
            <v>9</v>
          </cell>
          <cell r="L735">
            <v>12.93</v>
          </cell>
        </row>
        <row r="736">
          <cell r="A736">
            <v>45891</v>
          </cell>
          <cell r="F736">
            <v>164</v>
          </cell>
          <cell r="G736" t="str">
            <v>1000 CC X404 52 ŞEFFAF ŞEFFAF PALET STANDART</v>
          </cell>
          <cell r="J736">
            <v>2</v>
          </cell>
          <cell r="K736">
            <v>2</v>
          </cell>
          <cell r="L736">
            <v>22.5</v>
          </cell>
        </row>
        <row r="737">
          <cell r="A737">
            <v>45891</v>
          </cell>
          <cell r="F737">
            <v>181</v>
          </cell>
          <cell r="G737" t="str">
            <v>400 CC Z079 30 ŞEFFAF ŞEFFAF PALET STANDART</v>
          </cell>
          <cell r="J737">
            <v>4</v>
          </cell>
          <cell r="K737">
            <v>4</v>
          </cell>
          <cell r="L737">
            <v>14.17</v>
          </cell>
        </row>
        <row r="738">
          <cell r="A738">
            <v>45891</v>
          </cell>
          <cell r="F738">
            <v>172</v>
          </cell>
          <cell r="G738" t="str">
            <v>1000 CC D125 52 ŞEFFAF ŞEFFAF PALET STANDART</v>
          </cell>
          <cell r="J738">
            <v>4</v>
          </cell>
          <cell r="K738">
            <v>4</v>
          </cell>
          <cell r="L738">
            <v>19.73</v>
          </cell>
        </row>
        <row r="739">
          <cell r="A739">
            <v>45891</v>
          </cell>
          <cell r="F739">
            <v>173</v>
          </cell>
          <cell r="G739" t="str">
            <v>650 CC D118 40 OPAK BEYAZ PLS. PLT K.TAVA CAKMA</v>
          </cell>
          <cell r="J739">
            <v>5</v>
          </cell>
          <cell r="K739">
            <v>5</v>
          </cell>
          <cell r="L739">
            <v>16.23</v>
          </cell>
        </row>
        <row r="740">
          <cell r="A740">
            <v>45891</v>
          </cell>
          <cell r="F740">
            <v>174</v>
          </cell>
          <cell r="G740" t="str">
            <v>750 CC D082 35 ŞEFFAF ŞEFFAF K.TAVA PALET STANDART</v>
          </cell>
          <cell r="J740">
            <v>5</v>
          </cell>
          <cell r="K740">
            <v>5</v>
          </cell>
          <cell r="L740">
            <v>15</v>
          </cell>
        </row>
        <row r="741">
          <cell r="A741">
            <v>45891</v>
          </cell>
          <cell r="F741">
            <v>175</v>
          </cell>
          <cell r="G741" t="str">
            <v>500 CC D096 28 ŞEFFAF ŞEFFAF PALET STANDART</v>
          </cell>
          <cell r="J741">
            <v>5</v>
          </cell>
          <cell r="K741">
            <v>5</v>
          </cell>
          <cell r="L741">
            <v>12.52</v>
          </cell>
        </row>
        <row r="742">
          <cell r="A742">
            <v>45891</v>
          </cell>
          <cell r="F742">
            <v>176</v>
          </cell>
          <cell r="G742" t="str">
            <v>900 CC D124 52 SEDEF GOLD PALET STANDART</v>
          </cell>
          <cell r="J742">
            <v>5</v>
          </cell>
          <cell r="K742">
            <v>5</v>
          </cell>
          <cell r="L742">
            <v>18.23</v>
          </cell>
        </row>
        <row r="743">
          <cell r="A743">
            <v>45891</v>
          </cell>
          <cell r="F743">
            <v>132</v>
          </cell>
          <cell r="G743" t="str">
            <v>100 CC Y274 25 ŞEFFAF TURUNCU PLT.IC.KOLI STANDART</v>
          </cell>
          <cell r="J743">
            <v>3</v>
          </cell>
          <cell r="K743">
            <v>3</v>
          </cell>
          <cell r="L743">
            <v>17.5</v>
          </cell>
        </row>
        <row r="744">
          <cell r="A744">
            <v>45891</v>
          </cell>
          <cell r="F744">
            <v>135</v>
          </cell>
          <cell r="G744" t="str">
            <v>150 CC Y341 25 ŞEFFAF KAHVE KOLI STANDART</v>
          </cell>
          <cell r="J744">
            <v>2</v>
          </cell>
          <cell r="K744">
            <v>2</v>
          </cell>
          <cell r="L744">
            <v>21.57</v>
          </cell>
        </row>
        <row r="745">
          <cell r="A745">
            <v>45891</v>
          </cell>
          <cell r="F745">
            <v>138</v>
          </cell>
          <cell r="G745" t="str">
            <v>310 CC Y344 26 ŞEFFAF ŞEFFAF YÜKSEK PLT K.TAVA STANDART</v>
          </cell>
          <cell r="J745">
            <v>3</v>
          </cell>
          <cell r="K745">
            <v>3</v>
          </cell>
          <cell r="L745">
            <v>11.53</v>
          </cell>
        </row>
        <row r="746">
          <cell r="A746">
            <v>45891</v>
          </cell>
          <cell r="F746">
            <v>203</v>
          </cell>
          <cell r="G746" t="str">
            <v>E043 KAPAK 10 OPAK BEYAZ PLT.IC.KOLI STANDART</v>
          </cell>
          <cell r="J746">
            <v>4</v>
          </cell>
          <cell r="K746">
            <v>4</v>
          </cell>
          <cell r="L746">
            <v>24.7</v>
          </cell>
        </row>
        <row r="747">
          <cell r="A747">
            <v>45891</v>
          </cell>
          <cell r="F747">
            <v>205</v>
          </cell>
          <cell r="G747" t="str">
            <v>E128 28 MM 8 OPAK PEMBE KOLI CAKMA</v>
          </cell>
          <cell r="J747">
            <v>4</v>
          </cell>
          <cell r="K747">
            <v>3</v>
          </cell>
          <cell r="L747">
            <v>22.6</v>
          </cell>
        </row>
        <row r="748">
          <cell r="A748">
            <v>45891</v>
          </cell>
          <cell r="F748">
            <v>206</v>
          </cell>
          <cell r="G748" t="str">
            <v>E123 28 MM FLİPTOP 13 ŞEFFAF TURUNCU PLT.IC.KOLI STANDART</v>
          </cell>
          <cell r="J748">
            <v>12</v>
          </cell>
          <cell r="K748">
            <v>11</v>
          </cell>
          <cell r="L748">
            <v>26.8</v>
          </cell>
        </row>
        <row r="749">
          <cell r="A749">
            <v>45891</v>
          </cell>
          <cell r="F749">
            <v>207</v>
          </cell>
          <cell r="G749" t="str">
            <v>E121A 28MM TRIMSIZ KAPAK 10 OPAK KIRMIZI KOLI STANDART</v>
          </cell>
          <cell r="J749">
            <v>12</v>
          </cell>
          <cell r="K749">
            <v>7</v>
          </cell>
          <cell r="L749">
            <v>34.1</v>
          </cell>
        </row>
        <row r="750">
          <cell r="A750">
            <v>45891</v>
          </cell>
          <cell r="F750">
            <v>208</v>
          </cell>
          <cell r="G750" t="str">
            <v>E125 62 MM BAHARAT FLİPTOP 12 OPAK SİYAH PLT.IC.KOLI STANDART</v>
          </cell>
          <cell r="J750">
            <v>4</v>
          </cell>
          <cell r="K750">
            <v>4</v>
          </cell>
          <cell r="L750">
            <v>18.88</v>
          </cell>
        </row>
        <row r="751">
          <cell r="A751">
            <v>45891</v>
          </cell>
          <cell r="F751">
            <v>209</v>
          </cell>
          <cell r="G751" t="str">
            <v>E124 28 MM FLİPTOP 13 OPAK SİYAH PLT.IC.KOLI STANDART</v>
          </cell>
          <cell r="J751">
            <v>12</v>
          </cell>
          <cell r="K751">
            <v>10</v>
          </cell>
          <cell r="L751">
            <v>28</v>
          </cell>
        </row>
        <row r="752">
          <cell r="A752">
            <v>45891</v>
          </cell>
          <cell r="F752">
            <v>210</v>
          </cell>
          <cell r="G752" t="str">
            <v>E031A 110 MM ETİKETLİ FOLYOLU 17 OPAK KIRMIZIBEYAZ PLT.IC.KOLI STANDART</v>
          </cell>
          <cell r="J752">
            <v>4</v>
          </cell>
          <cell r="K752">
            <v>4</v>
          </cell>
          <cell r="L752">
            <v>20.9</v>
          </cell>
        </row>
        <row r="753">
          <cell r="A753">
            <v>45891</v>
          </cell>
          <cell r="F753">
            <v>301</v>
          </cell>
          <cell r="G753" t="str">
            <v>PR001 62 MM 8 GÖZ PREFORM 24 ŞEFFAF ŞEFFAF KOLI STANDART</v>
          </cell>
          <cell r="J753">
            <v>8</v>
          </cell>
          <cell r="K753">
            <v>5</v>
          </cell>
          <cell r="L753">
            <v>30.3</v>
          </cell>
        </row>
        <row r="754">
          <cell r="A754">
            <v>45891</v>
          </cell>
          <cell r="F754">
            <v>502</v>
          </cell>
          <cell r="G754" t="str">
            <v>265 CC P130 30 OPAK BEYAZ PLS. PLT STANDART</v>
          </cell>
          <cell r="J754">
            <v>4</v>
          </cell>
          <cell r="K754">
            <v>4</v>
          </cell>
          <cell r="L754">
            <v>17.62</v>
          </cell>
        </row>
        <row r="755">
          <cell r="A755">
            <v>45894</v>
          </cell>
          <cell r="F755">
            <v>103</v>
          </cell>
          <cell r="G755" t="str">
            <v>700 CC SP009 40 ŞEFFAF SARI PLS. PLT STANDART</v>
          </cell>
          <cell r="J755">
            <v>5</v>
          </cell>
          <cell r="K755">
            <v>5</v>
          </cell>
          <cell r="L755">
            <v>14.8</v>
          </cell>
        </row>
        <row r="756">
          <cell r="A756">
            <v>45894</v>
          </cell>
          <cell r="F756">
            <v>164</v>
          </cell>
          <cell r="G756" t="str">
            <v>1000 CC X404 52 ŞEFFAF ŞEFFAF PALET STANDART</v>
          </cell>
          <cell r="J756">
            <v>2</v>
          </cell>
          <cell r="K756">
            <v>2</v>
          </cell>
          <cell r="L756">
            <v>22.64</v>
          </cell>
        </row>
        <row r="757">
          <cell r="A757">
            <v>45894</v>
          </cell>
          <cell r="F757">
            <v>181</v>
          </cell>
          <cell r="G757" t="str">
            <v>400 CC Z079 30 ŞEFFAF ŞEFFAF PALET STANDART</v>
          </cell>
          <cell r="J757">
            <v>4</v>
          </cell>
          <cell r="K757">
            <v>4</v>
          </cell>
          <cell r="L757">
            <v>14.21</v>
          </cell>
        </row>
        <row r="758">
          <cell r="A758">
            <v>45894</v>
          </cell>
          <cell r="F758">
            <v>404</v>
          </cell>
          <cell r="G758" t="str">
            <v>300 CC S044 24 ŞEFFAF ŞEFFAF PLS. PLT STANDART</v>
          </cell>
          <cell r="J758">
            <v>2</v>
          </cell>
          <cell r="K758">
            <v>2</v>
          </cell>
          <cell r="L758">
            <v>7.4</v>
          </cell>
        </row>
        <row r="759">
          <cell r="A759">
            <v>45894</v>
          </cell>
          <cell r="F759">
            <v>405</v>
          </cell>
          <cell r="G759" t="str">
            <v>1000 CC S013 43 ŞEFFAF ŞEFFAF PLS. PLT STANDART</v>
          </cell>
          <cell r="J759">
            <v>2</v>
          </cell>
          <cell r="K759">
            <v>1</v>
          </cell>
          <cell r="L759">
            <v>9.1</v>
          </cell>
        </row>
        <row r="760">
          <cell r="A760">
            <v>45894</v>
          </cell>
          <cell r="F760">
            <v>172</v>
          </cell>
          <cell r="G760" t="str">
            <v>1000 CC D125 52 ŞEFFAF ŞEFFAF PALET STANDART</v>
          </cell>
          <cell r="J760">
            <v>4</v>
          </cell>
          <cell r="K760">
            <v>4</v>
          </cell>
          <cell r="L760">
            <v>19.62</v>
          </cell>
        </row>
        <row r="761">
          <cell r="A761">
            <v>45894</v>
          </cell>
          <cell r="F761">
            <v>173</v>
          </cell>
          <cell r="G761" t="str">
            <v>650 CC D118 40 OPAK BEYAZ PLS. PLT K.TAVA CAKMA</v>
          </cell>
          <cell r="J761">
            <v>5</v>
          </cell>
          <cell r="K761">
            <v>5</v>
          </cell>
          <cell r="L761">
            <v>16.260000000000002</v>
          </cell>
        </row>
        <row r="762">
          <cell r="A762">
            <v>45894</v>
          </cell>
          <cell r="F762">
            <v>176</v>
          </cell>
          <cell r="G762" t="str">
            <v>900 CC D124 52 SEDEF TURKUAZ PALET STANDART</v>
          </cell>
          <cell r="J762">
            <v>5</v>
          </cell>
          <cell r="K762">
            <v>5</v>
          </cell>
          <cell r="L762">
            <v>18.14</v>
          </cell>
        </row>
        <row r="763">
          <cell r="A763">
            <v>45894</v>
          </cell>
          <cell r="F763">
            <v>132</v>
          </cell>
          <cell r="G763" t="str">
            <v>300 CC Y324 29 ŞEFFAF MAVİ PALET STANDART</v>
          </cell>
          <cell r="J763">
            <v>3</v>
          </cell>
          <cell r="K763">
            <v>3</v>
          </cell>
          <cell r="L763">
            <v>21.69</v>
          </cell>
        </row>
        <row r="764">
          <cell r="A764">
            <v>45894</v>
          </cell>
          <cell r="F764">
            <v>135</v>
          </cell>
          <cell r="G764" t="str">
            <v>150 CC Y341 25 ŞEFFAF KAHVE KOLI STANDART</v>
          </cell>
          <cell r="J764">
            <v>2</v>
          </cell>
          <cell r="K764">
            <v>2</v>
          </cell>
          <cell r="L764">
            <v>20.77</v>
          </cell>
        </row>
        <row r="765">
          <cell r="A765">
            <v>45894</v>
          </cell>
          <cell r="F765">
            <v>203</v>
          </cell>
          <cell r="G765" t="str">
            <v>E043 KAPAK 10 OPAK BEYAZ PLT.IC.KOLI STANDART</v>
          </cell>
          <cell r="J765">
            <v>4</v>
          </cell>
          <cell r="K765">
            <v>4</v>
          </cell>
          <cell r="L765">
            <v>26</v>
          </cell>
        </row>
        <row r="766">
          <cell r="A766">
            <v>45894</v>
          </cell>
          <cell r="F766">
            <v>204</v>
          </cell>
          <cell r="G766" t="str">
            <v>E011-E020 24 MM ÇOCUK KİLİTLİ 6 OPAK BEYAZ KOLI STANDART</v>
          </cell>
          <cell r="J766">
            <v>16</v>
          </cell>
          <cell r="K766">
            <v>10</v>
          </cell>
          <cell r="L766">
            <v>26.8</v>
          </cell>
        </row>
        <row r="767">
          <cell r="A767">
            <v>45894</v>
          </cell>
          <cell r="F767">
            <v>205</v>
          </cell>
          <cell r="G767" t="str">
            <v>E128 28 MM 8 OPAK PEMBE KOLI CAKMA</v>
          </cell>
          <cell r="J767">
            <v>4</v>
          </cell>
          <cell r="K767">
            <v>3</v>
          </cell>
          <cell r="L767">
            <v>20.2</v>
          </cell>
        </row>
        <row r="768">
          <cell r="A768">
            <v>45894</v>
          </cell>
          <cell r="F768">
            <v>207</v>
          </cell>
          <cell r="G768" t="str">
            <v>E121A 28MM TRIMSIZ KAPAK 10 OPAK KIRMIZI KOLI STANDART</v>
          </cell>
          <cell r="J768">
            <v>12</v>
          </cell>
          <cell r="K768">
            <v>7</v>
          </cell>
          <cell r="L768">
            <v>34.799999999999997</v>
          </cell>
        </row>
        <row r="769">
          <cell r="A769">
            <v>45894</v>
          </cell>
          <cell r="F769">
            <v>208</v>
          </cell>
          <cell r="G769" t="str">
            <v>E125 62 MM BAHARAT FLİPTOP 12 OPAK YEŞİL PLT.IC.KOLI STANDART</v>
          </cell>
          <cell r="J769">
            <v>4</v>
          </cell>
          <cell r="K769">
            <v>4</v>
          </cell>
          <cell r="L769">
            <v>19.11</v>
          </cell>
        </row>
        <row r="770">
          <cell r="A770">
            <v>45894</v>
          </cell>
          <cell r="F770">
            <v>210</v>
          </cell>
          <cell r="G770" t="str">
            <v>E031A 110 MM ETİKETLİ FOLYOLU 17 OPAK KIRMIZIBEYAZ PLT.IC.KOLI STANDART</v>
          </cell>
          <cell r="J770">
            <v>4</v>
          </cell>
          <cell r="K770">
            <v>4</v>
          </cell>
          <cell r="L770">
            <v>22</v>
          </cell>
        </row>
        <row r="771">
          <cell r="A771">
            <v>45894</v>
          </cell>
          <cell r="F771">
            <v>301</v>
          </cell>
          <cell r="G771" t="str">
            <v>PR001 62 MM 8 GÖZ PREFORM 24 ŞEFFAF ŞEFFAF KOLI STANDART</v>
          </cell>
          <cell r="J771">
            <v>8</v>
          </cell>
          <cell r="K771">
            <v>5</v>
          </cell>
          <cell r="L771">
            <v>30.3</v>
          </cell>
        </row>
        <row r="772">
          <cell r="A772">
            <v>45894</v>
          </cell>
          <cell r="F772">
            <v>502</v>
          </cell>
          <cell r="G772" t="str">
            <v>265 CC P130 30 OPAK BEYAZ PLS. PLT STANDART</v>
          </cell>
          <cell r="J772">
            <v>4</v>
          </cell>
          <cell r="K772">
            <v>4</v>
          </cell>
          <cell r="L772">
            <v>17.62</v>
          </cell>
        </row>
        <row r="773">
          <cell r="A773">
            <v>45895</v>
          </cell>
          <cell r="F773">
            <v>103</v>
          </cell>
          <cell r="G773" t="str">
            <v>700 CC SP009 40 ŞEFFAF SARI PLS. PLT STANDART</v>
          </cell>
          <cell r="J773">
            <v>5</v>
          </cell>
          <cell r="K773">
            <v>5</v>
          </cell>
          <cell r="L773">
            <v>14.84</v>
          </cell>
        </row>
        <row r="774">
          <cell r="A774">
            <v>45895</v>
          </cell>
          <cell r="F774">
            <v>104</v>
          </cell>
          <cell r="G774" t="str">
            <v>150 CC SP020 20 ŞEFFAF ŞEFFAF PLS. PLT K.TAVA STANDART</v>
          </cell>
          <cell r="J774">
            <v>9</v>
          </cell>
          <cell r="K774">
            <v>9</v>
          </cell>
          <cell r="L774">
            <v>12.75</v>
          </cell>
        </row>
        <row r="775">
          <cell r="A775">
            <v>45895</v>
          </cell>
          <cell r="F775">
            <v>161</v>
          </cell>
          <cell r="G775" t="str">
            <v>1000 CC X233 45 ŞEFFAF ŞEFFAF PALET STANDART</v>
          </cell>
          <cell r="J775">
            <v>2</v>
          </cell>
          <cell r="K775">
            <v>2</v>
          </cell>
          <cell r="L775">
            <v>18</v>
          </cell>
        </row>
        <row r="776">
          <cell r="A776">
            <v>45895</v>
          </cell>
          <cell r="F776">
            <v>162</v>
          </cell>
          <cell r="G776" t="str">
            <v>400 CC X282 35 ŞEFFAF ŞEFFAF TAHTA PLT. K.TAVA CAKMA</v>
          </cell>
          <cell r="J776">
            <v>2</v>
          </cell>
          <cell r="K776">
            <v>2</v>
          </cell>
          <cell r="L776">
            <v>19.5</v>
          </cell>
        </row>
        <row r="777">
          <cell r="A777">
            <v>45895</v>
          </cell>
          <cell r="F777">
            <v>164</v>
          </cell>
          <cell r="G777" t="str">
            <v>1000 CC X404 52 ŞEFFAF ŞEFFAF PALET STANDART</v>
          </cell>
          <cell r="J777">
            <v>2</v>
          </cell>
          <cell r="K777">
            <v>2</v>
          </cell>
          <cell r="L777">
            <v>22.8</v>
          </cell>
        </row>
        <row r="778">
          <cell r="A778">
            <v>45895</v>
          </cell>
          <cell r="F778">
            <v>401</v>
          </cell>
          <cell r="G778" t="str">
            <v>1500 CC S011 125 ŞEFFAF ŞEFFAF PLS. PLT STANDART</v>
          </cell>
          <cell r="J778">
            <v>1</v>
          </cell>
          <cell r="K778">
            <v>1</v>
          </cell>
          <cell r="L778">
            <v>12.45</v>
          </cell>
        </row>
        <row r="779">
          <cell r="A779">
            <v>45895</v>
          </cell>
          <cell r="F779">
            <v>404</v>
          </cell>
          <cell r="G779" t="str">
            <v>300 CC S044 24 ŞEFFAF ŞEFFAF PLS. PLT STANDART</v>
          </cell>
          <cell r="J779">
            <v>2</v>
          </cell>
          <cell r="K779">
            <v>2</v>
          </cell>
          <cell r="L779">
            <v>7.4</v>
          </cell>
        </row>
        <row r="780">
          <cell r="A780">
            <v>45895</v>
          </cell>
          <cell r="F780">
            <v>171</v>
          </cell>
          <cell r="G780" t="str">
            <v>160 CC D093 29 ŞEFFAF SARI PALET STANDART</v>
          </cell>
          <cell r="J780">
            <v>7</v>
          </cell>
          <cell r="K780">
            <v>7</v>
          </cell>
          <cell r="L780">
            <v>19.760000000000002</v>
          </cell>
        </row>
        <row r="781">
          <cell r="A781">
            <v>45895</v>
          </cell>
          <cell r="F781">
            <v>172</v>
          </cell>
          <cell r="G781" t="str">
            <v>1000 CC D057 52 OPAK SİYAH PALET STANDART</v>
          </cell>
          <cell r="J781">
            <v>4</v>
          </cell>
          <cell r="K781">
            <v>4</v>
          </cell>
          <cell r="L781">
            <v>16.55</v>
          </cell>
        </row>
        <row r="782">
          <cell r="A782">
            <v>45895</v>
          </cell>
          <cell r="F782">
            <v>173</v>
          </cell>
          <cell r="G782" t="str">
            <v>650 CC D118 40 OPAK BEYAZ PLS. PLT K.TAVA CAKMA</v>
          </cell>
          <cell r="J782">
            <v>5</v>
          </cell>
          <cell r="K782">
            <v>5</v>
          </cell>
          <cell r="L782">
            <v>16.239999999999998</v>
          </cell>
        </row>
        <row r="783">
          <cell r="A783">
            <v>45895</v>
          </cell>
          <cell r="F783">
            <v>176</v>
          </cell>
          <cell r="G783" t="str">
            <v>900 CC D124 52 SEDEF TURKUAZ PALET STANDART</v>
          </cell>
          <cell r="J783">
            <v>5</v>
          </cell>
          <cell r="K783">
            <v>5</v>
          </cell>
          <cell r="L783">
            <v>18.13</v>
          </cell>
        </row>
        <row r="784">
          <cell r="A784">
            <v>45895</v>
          </cell>
          <cell r="F784">
            <v>132</v>
          </cell>
          <cell r="G784" t="str">
            <v>300 CC Y324 29 ŞEFFAF MAVİ PALET STANDART</v>
          </cell>
          <cell r="J784">
            <v>3</v>
          </cell>
          <cell r="K784">
            <v>3</v>
          </cell>
          <cell r="L784">
            <v>22.4</v>
          </cell>
        </row>
        <row r="785">
          <cell r="A785">
            <v>45895</v>
          </cell>
          <cell r="F785">
            <v>135</v>
          </cell>
          <cell r="G785" t="str">
            <v>150 CC Y341 25 ŞEFFAF KAHVE KOLI STANDART</v>
          </cell>
          <cell r="J785">
            <v>2</v>
          </cell>
          <cell r="K785">
            <v>2</v>
          </cell>
          <cell r="L785">
            <v>20.77</v>
          </cell>
        </row>
        <row r="786">
          <cell r="A786">
            <v>45895</v>
          </cell>
          <cell r="F786">
            <v>203</v>
          </cell>
          <cell r="G786" t="str">
            <v>E043 KAPAK 10 OPAK BEYAZ PLT.IC.KOLI STANDART</v>
          </cell>
          <cell r="J786">
            <v>4</v>
          </cell>
          <cell r="K786">
            <v>4</v>
          </cell>
          <cell r="L786">
            <v>26</v>
          </cell>
        </row>
        <row r="787">
          <cell r="A787">
            <v>45895</v>
          </cell>
          <cell r="F787">
            <v>205</v>
          </cell>
          <cell r="G787" t="str">
            <v>E128 28 MM 8 OPAK PEMBE KOLI CAKMA</v>
          </cell>
          <cell r="J787">
            <v>4</v>
          </cell>
          <cell r="K787">
            <v>3</v>
          </cell>
          <cell r="L787">
            <v>20.2</v>
          </cell>
        </row>
        <row r="788">
          <cell r="A788">
            <v>45895</v>
          </cell>
          <cell r="F788">
            <v>207</v>
          </cell>
          <cell r="G788" t="str">
            <v>E121A 28MM TRIMSIZ KAPAK 10 OPAK KIRMIZI KOLI STANDART</v>
          </cell>
          <cell r="J788">
            <v>12</v>
          </cell>
          <cell r="K788">
            <v>7</v>
          </cell>
          <cell r="L788">
            <v>34.07</v>
          </cell>
        </row>
        <row r="789">
          <cell r="A789">
            <v>45895</v>
          </cell>
          <cell r="F789">
            <v>208</v>
          </cell>
          <cell r="G789" t="str">
            <v>E125 62 MM BAHARAT FLİPTOP 12 OPAK YEŞİL PLT.IC.KOLI STANDART</v>
          </cell>
          <cell r="J789">
            <v>4</v>
          </cell>
          <cell r="K789">
            <v>3</v>
          </cell>
          <cell r="L789">
            <v>24.74</v>
          </cell>
        </row>
        <row r="790">
          <cell r="A790">
            <v>45895</v>
          </cell>
          <cell r="F790">
            <v>209</v>
          </cell>
          <cell r="G790" t="str">
            <v>E124 28 MM FLİPTOP 13 OPAK SİYAH PLT.IC.KOLI STANDART</v>
          </cell>
          <cell r="J790">
            <v>12</v>
          </cell>
          <cell r="K790">
            <v>9</v>
          </cell>
          <cell r="L790">
            <v>27.7</v>
          </cell>
        </row>
        <row r="791">
          <cell r="A791">
            <v>45895</v>
          </cell>
          <cell r="F791">
            <v>210</v>
          </cell>
          <cell r="G791" t="str">
            <v>E031A 110 MM ETİKETLİ FOLYOLU 17 OPAK MAVİ PLT.IC.KOLI STANDART</v>
          </cell>
          <cell r="J791">
            <v>4</v>
          </cell>
          <cell r="K791">
            <v>4</v>
          </cell>
          <cell r="L791">
            <v>22</v>
          </cell>
        </row>
        <row r="792">
          <cell r="A792">
            <v>45895</v>
          </cell>
          <cell r="F792">
            <v>301</v>
          </cell>
          <cell r="G792" t="str">
            <v>PR001 62 MM 8 GÖZ PREFORM 24 ŞEFFAF ŞEFFAF KOLI STANDART</v>
          </cell>
          <cell r="J792">
            <v>8</v>
          </cell>
          <cell r="K792">
            <v>5</v>
          </cell>
          <cell r="L792">
            <v>23.5</v>
          </cell>
        </row>
        <row r="793">
          <cell r="A793">
            <v>45895</v>
          </cell>
          <cell r="F793">
            <v>502</v>
          </cell>
          <cell r="G793" t="str">
            <v>265 CC P130 30 OPAK BEYAZ PLS. PLT STANDART</v>
          </cell>
          <cell r="J793">
            <v>4</v>
          </cell>
          <cell r="K793">
            <v>4</v>
          </cell>
          <cell r="L793">
            <v>17.62</v>
          </cell>
        </row>
        <row r="794">
          <cell r="A794">
            <v>45896</v>
          </cell>
          <cell r="F794">
            <v>101</v>
          </cell>
          <cell r="G794" t="str">
            <v>500 CC SP006 30 ŞEFFAF ŞEFFAF PLS. PLT K.TAVA STANDART</v>
          </cell>
          <cell r="J794">
            <v>4</v>
          </cell>
          <cell r="K794">
            <v>4</v>
          </cell>
          <cell r="L794">
            <v>12.82</v>
          </cell>
        </row>
        <row r="795">
          <cell r="A795">
            <v>45896</v>
          </cell>
          <cell r="F795">
            <v>103</v>
          </cell>
          <cell r="G795" t="str">
            <v>700 CC SP009 40 ŞEFFAF SARI PLS. PLT STANDART</v>
          </cell>
          <cell r="J795">
            <v>5</v>
          </cell>
          <cell r="K795">
            <v>5</v>
          </cell>
          <cell r="L795">
            <v>14.8</v>
          </cell>
        </row>
        <row r="796">
          <cell r="A796">
            <v>45896</v>
          </cell>
          <cell r="F796">
            <v>104</v>
          </cell>
          <cell r="G796" t="str">
            <v>150 CC SP020 20 ŞEFFAF ŞEFFAF PLS. PLT K.TAVA STANDART</v>
          </cell>
          <cell r="J796">
            <v>9</v>
          </cell>
          <cell r="K796">
            <v>9</v>
          </cell>
          <cell r="L796">
            <v>12.72</v>
          </cell>
        </row>
        <row r="797">
          <cell r="A797">
            <v>45896</v>
          </cell>
          <cell r="F797">
            <v>162</v>
          </cell>
          <cell r="G797" t="str">
            <v>400 CC X282 35 ŞEFFAF ŞEFFAF TAHTA PLT. K.TAVA CAKMA</v>
          </cell>
          <cell r="J797">
            <v>2</v>
          </cell>
          <cell r="K797">
            <v>2</v>
          </cell>
          <cell r="L797">
            <v>19.5</v>
          </cell>
        </row>
        <row r="798">
          <cell r="A798">
            <v>45896</v>
          </cell>
          <cell r="F798">
            <v>163</v>
          </cell>
          <cell r="G798" t="str">
            <v>750 CC X128 45 ŞEFFAF SARI PALET STANDART</v>
          </cell>
          <cell r="J798">
            <v>2</v>
          </cell>
          <cell r="K798">
            <v>2</v>
          </cell>
          <cell r="L798">
            <v>22.49</v>
          </cell>
        </row>
        <row r="799">
          <cell r="A799">
            <v>45896</v>
          </cell>
          <cell r="F799">
            <v>164</v>
          </cell>
          <cell r="G799" t="str">
            <v>1000 CC X404 52 ŞEFFAF ŞEFFAF PALET STANDART</v>
          </cell>
          <cell r="J799">
            <v>2</v>
          </cell>
          <cell r="K799">
            <v>2</v>
          </cell>
          <cell r="L799">
            <v>22.8</v>
          </cell>
        </row>
        <row r="800">
          <cell r="A800">
            <v>45896</v>
          </cell>
          <cell r="F800">
            <v>181</v>
          </cell>
          <cell r="G800" t="str">
            <v>500 CC PCR Z098A 28 ŞEFFAF ŞEFFAF PALET STANDART</v>
          </cell>
          <cell r="J800">
            <v>4</v>
          </cell>
          <cell r="K800">
            <v>4</v>
          </cell>
          <cell r="L800">
            <v>14.3</v>
          </cell>
        </row>
        <row r="801">
          <cell r="A801">
            <v>45896</v>
          </cell>
          <cell r="F801">
            <v>182</v>
          </cell>
          <cell r="G801" t="str">
            <v>400 CC Z101 26 OPAK BEYAZ PALET STANDART</v>
          </cell>
          <cell r="J801">
            <v>4</v>
          </cell>
          <cell r="K801">
            <v>4</v>
          </cell>
          <cell r="L801">
            <v>14</v>
          </cell>
        </row>
        <row r="802">
          <cell r="A802">
            <v>45896</v>
          </cell>
          <cell r="F802">
            <v>171</v>
          </cell>
          <cell r="G802" t="str">
            <v>160 CC D093 29 ŞEFFAF SARI PALET STANDART</v>
          </cell>
          <cell r="J802">
            <v>7</v>
          </cell>
          <cell r="K802">
            <v>7</v>
          </cell>
          <cell r="L802">
            <v>19.8</v>
          </cell>
        </row>
        <row r="803">
          <cell r="A803">
            <v>45896</v>
          </cell>
          <cell r="F803">
            <v>173</v>
          </cell>
          <cell r="G803" t="str">
            <v>650 CC D118 40 OPAK BEYAZ PLS. PLT K.TAVA CAKMA</v>
          </cell>
          <cell r="J803">
            <v>5</v>
          </cell>
          <cell r="K803">
            <v>5</v>
          </cell>
          <cell r="L803">
            <v>16.27</v>
          </cell>
        </row>
        <row r="804">
          <cell r="A804">
            <v>45896</v>
          </cell>
          <cell r="F804">
            <v>175</v>
          </cell>
          <cell r="G804" t="str">
            <v>400 CC D063 28 ŞEFFAF ŞEFFAF PALET STANDART</v>
          </cell>
          <cell r="J804">
            <v>5</v>
          </cell>
          <cell r="K804">
            <v>5</v>
          </cell>
          <cell r="L804">
            <v>12.76</v>
          </cell>
        </row>
        <row r="805">
          <cell r="A805">
            <v>45896</v>
          </cell>
          <cell r="F805">
            <v>176</v>
          </cell>
          <cell r="G805" t="str">
            <v>900 CC D124 52 SEDEF TURKUAZ PALET STANDART</v>
          </cell>
          <cell r="J805">
            <v>5</v>
          </cell>
          <cell r="K805">
            <v>5</v>
          </cell>
          <cell r="L805">
            <v>18.14</v>
          </cell>
        </row>
        <row r="806">
          <cell r="A806">
            <v>45896</v>
          </cell>
          <cell r="F806">
            <v>131</v>
          </cell>
          <cell r="G806" t="str">
            <v>250 CC Y269 25 ŞEFFAF ŞEFFAF PLT.IC.KOLI STANDART</v>
          </cell>
          <cell r="J806">
            <v>3</v>
          </cell>
          <cell r="K806">
            <v>3</v>
          </cell>
          <cell r="L806">
            <v>17.649999999999999</v>
          </cell>
        </row>
        <row r="807">
          <cell r="A807">
            <v>45896</v>
          </cell>
          <cell r="F807">
            <v>132</v>
          </cell>
          <cell r="G807" t="str">
            <v>400 CC Y206 29 ŞEFFAF ŞEFFAF PALET KISA</v>
          </cell>
          <cell r="J807">
            <v>3</v>
          </cell>
          <cell r="K807">
            <v>3</v>
          </cell>
          <cell r="L807">
            <v>21.73</v>
          </cell>
        </row>
        <row r="808">
          <cell r="A808">
            <v>45896</v>
          </cell>
          <cell r="F808">
            <v>135</v>
          </cell>
          <cell r="G808" t="str">
            <v>110 CC Y343 25 OPAK SARI PLT.IC.KOLI STANDART</v>
          </cell>
          <cell r="J808">
            <v>2</v>
          </cell>
          <cell r="K808">
            <v>2</v>
          </cell>
          <cell r="L808">
            <v>18.18</v>
          </cell>
        </row>
        <row r="809">
          <cell r="A809">
            <v>45896</v>
          </cell>
          <cell r="F809">
            <v>203</v>
          </cell>
          <cell r="G809" t="str">
            <v>E129 6 ŞEFFAF SARI PLT.IC.KOLI STANDART</v>
          </cell>
          <cell r="J809">
            <v>8</v>
          </cell>
          <cell r="K809">
            <v>8</v>
          </cell>
          <cell r="L809">
            <v>17.3</v>
          </cell>
        </row>
        <row r="810">
          <cell r="A810">
            <v>45896</v>
          </cell>
          <cell r="F810">
            <v>205</v>
          </cell>
          <cell r="G810" t="str">
            <v>E128 28 MM 8 OPAK PEMBE KOLI CAKMA</v>
          </cell>
          <cell r="J810">
            <v>4</v>
          </cell>
          <cell r="K810">
            <v>2</v>
          </cell>
          <cell r="L810">
            <v>21.3</v>
          </cell>
        </row>
        <row r="811">
          <cell r="A811">
            <v>45896</v>
          </cell>
          <cell r="F811">
            <v>206</v>
          </cell>
          <cell r="G811" t="str">
            <v>E123 28 MM FLİPTOP 13 ŞEFFAF TURUNCU PLT.IC.KOLI STANDART</v>
          </cell>
          <cell r="J811">
            <v>12</v>
          </cell>
          <cell r="K811">
            <v>11</v>
          </cell>
          <cell r="L811">
            <v>25.3</v>
          </cell>
        </row>
        <row r="812">
          <cell r="A812">
            <v>45896</v>
          </cell>
          <cell r="F812">
            <v>207</v>
          </cell>
          <cell r="G812" t="str">
            <v>E121A 28MM TRIMSIZ KAPAK 10 OPAK KIRMIZI KOLI STANDART</v>
          </cell>
          <cell r="J812">
            <v>12</v>
          </cell>
          <cell r="K812">
            <v>6</v>
          </cell>
          <cell r="L812">
            <v>34.14</v>
          </cell>
        </row>
        <row r="813">
          <cell r="A813">
            <v>45896</v>
          </cell>
          <cell r="F813">
            <v>208</v>
          </cell>
          <cell r="G813" t="str">
            <v>E125 62 MM BAHARAT FLİPTOP 12 OPAK KIRMIZI KOLI STANDART</v>
          </cell>
          <cell r="J813">
            <v>4</v>
          </cell>
          <cell r="K813">
            <v>3</v>
          </cell>
          <cell r="L813">
            <v>24.6</v>
          </cell>
        </row>
        <row r="814">
          <cell r="A814">
            <v>45896</v>
          </cell>
          <cell r="F814">
            <v>210</v>
          </cell>
          <cell r="G814" t="str">
            <v>E031A 110 MM ETİKETLİ FOLYOLU 17 OPAK MAVİ PLT.IC.KOLI STANDART</v>
          </cell>
          <cell r="J814">
            <v>4</v>
          </cell>
          <cell r="K814">
            <v>4</v>
          </cell>
          <cell r="L814">
            <v>22</v>
          </cell>
        </row>
        <row r="815">
          <cell r="A815">
            <v>45896</v>
          </cell>
          <cell r="F815">
            <v>301</v>
          </cell>
          <cell r="G815" t="str">
            <v>PR001 62 MM 8 GÖZ PREFORM 24 ŞEFFAF ŞEFFAF KOLI STANDART</v>
          </cell>
          <cell r="J815">
            <v>8</v>
          </cell>
          <cell r="K815">
            <v>5</v>
          </cell>
          <cell r="L815">
            <v>23.5</v>
          </cell>
        </row>
        <row r="816">
          <cell r="A816">
            <v>45896</v>
          </cell>
          <cell r="F816">
            <v>303</v>
          </cell>
          <cell r="G816" t="str">
            <v>PR011 110 MM 8 GÖZ YİVLİ PREFORM 125 ŞEFFAF ŞEFFAF KOLI STANDART</v>
          </cell>
          <cell r="J816">
            <v>8</v>
          </cell>
          <cell r="K816">
            <v>7</v>
          </cell>
          <cell r="L816">
            <v>54.7</v>
          </cell>
        </row>
        <row r="817">
          <cell r="A817">
            <v>45896</v>
          </cell>
          <cell r="F817">
            <v>501</v>
          </cell>
          <cell r="G817" t="str">
            <v>500 CC P131 38 SEDEF KEMİK RENGİ PLS. PLT K.TAVA STANDART</v>
          </cell>
          <cell r="J817">
            <v>6</v>
          </cell>
          <cell r="K817">
            <v>6</v>
          </cell>
          <cell r="L817">
            <v>17.62</v>
          </cell>
        </row>
        <row r="818">
          <cell r="A818">
            <v>45896</v>
          </cell>
          <cell r="F818">
            <v>502</v>
          </cell>
          <cell r="G818" t="str">
            <v>265 CC P130 30 OPAK BEYAZ PLS. PLT STANDART</v>
          </cell>
          <cell r="J818">
            <v>4</v>
          </cell>
          <cell r="K818">
            <v>4</v>
          </cell>
          <cell r="L818">
            <v>17.62</v>
          </cell>
        </row>
        <row r="819">
          <cell r="A819">
            <v>45897</v>
          </cell>
          <cell r="F819">
            <v>101</v>
          </cell>
          <cell r="G819" t="str">
            <v>500 CC SP006 30 ŞEFFAF ŞEFFAF PLS. PLT K.TAVA STANDART</v>
          </cell>
          <cell r="J819">
            <v>4</v>
          </cell>
          <cell r="K819">
            <v>4</v>
          </cell>
          <cell r="L819">
            <v>13.85</v>
          </cell>
        </row>
        <row r="820">
          <cell r="A820">
            <v>45897</v>
          </cell>
          <cell r="F820">
            <v>103</v>
          </cell>
          <cell r="G820" t="str">
            <v>700 CC SP009 40 ŞEFFAF SARI PLS. PLT STANDART</v>
          </cell>
          <cell r="J820">
            <v>5</v>
          </cell>
          <cell r="K820">
            <v>5</v>
          </cell>
          <cell r="L820">
            <v>14.8</v>
          </cell>
        </row>
        <row r="821">
          <cell r="A821">
            <v>45897</v>
          </cell>
          <cell r="F821">
            <v>104</v>
          </cell>
          <cell r="G821" t="str">
            <v>150 CC SP020 20 ŞEFFAF ŞEFFAF PLS. PLT K.TAVA STANDART</v>
          </cell>
          <cell r="J821">
            <v>9</v>
          </cell>
          <cell r="K821">
            <v>9</v>
          </cell>
          <cell r="L821">
            <v>12.73</v>
          </cell>
        </row>
        <row r="822">
          <cell r="A822">
            <v>45897</v>
          </cell>
          <cell r="F822">
            <v>162</v>
          </cell>
          <cell r="G822" t="str">
            <v>400 CC X282 35 ŞEFFAF ŞEFFAF TAHTA PLT. K.TAVA CAKMA</v>
          </cell>
          <cell r="J822">
            <v>2</v>
          </cell>
          <cell r="K822">
            <v>2</v>
          </cell>
          <cell r="L822">
            <v>19.5</v>
          </cell>
        </row>
        <row r="823">
          <cell r="A823">
            <v>45897</v>
          </cell>
          <cell r="F823">
            <v>163</v>
          </cell>
          <cell r="G823" t="str">
            <v>750 CC X128 45 ŞEFFAF SARI PALET STANDART</v>
          </cell>
          <cell r="J823">
            <v>2</v>
          </cell>
          <cell r="K823">
            <v>2</v>
          </cell>
          <cell r="L823">
            <v>22.5</v>
          </cell>
        </row>
        <row r="824">
          <cell r="A824">
            <v>45897</v>
          </cell>
          <cell r="F824">
            <v>164</v>
          </cell>
          <cell r="G824" t="str">
            <v>1000 CC X404 52 ŞEFFAF ŞEFFAF PALET STANDART</v>
          </cell>
          <cell r="J824">
            <v>2</v>
          </cell>
          <cell r="K824">
            <v>2</v>
          </cell>
          <cell r="L824">
            <v>22.8</v>
          </cell>
        </row>
        <row r="825">
          <cell r="A825">
            <v>45897</v>
          </cell>
          <cell r="F825">
            <v>181</v>
          </cell>
          <cell r="G825" t="str">
            <v>500 CC PCR Z098A 28 ŞEFFAF ŞEFFAF PALET STANDART</v>
          </cell>
          <cell r="J825">
            <v>4</v>
          </cell>
          <cell r="K825">
            <v>4</v>
          </cell>
          <cell r="L825">
            <v>14.95</v>
          </cell>
        </row>
        <row r="826">
          <cell r="A826">
            <v>45897</v>
          </cell>
          <cell r="F826">
            <v>401</v>
          </cell>
          <cell r="G826" t="str">
            <v>1500 CC S011 125 ŞEFFAF ŞEFFAF PLS. PLT STANDART</v>
          </cell>
          <cell r="J826">
            <v>1</v>
          </cell>
          <cell r="K826">
            <v>1</v>
          </cell>
          <cell r="L826">
            <v>11.86</v>
          </cell>
        </row>
        <row r="827">
          <cell r="A827">
            <v>45897</v>
          </cell>
          <cell r="F827">
            <v>405</v>
          </cell>
          <cell r="G827" t="str">
            <v>1200 CC S023 91 OPAK SİYAH PALET STANDART</v>
          </cell>
          <cell r="J827">
            <v>2</v>
          </cell>
          <cell r="K827">
            <v>2</v>
          </cell>
          <cell r="L827">
            <v>8.1</v>
          </cell>
        </row>
        <row r="828">
          <cell r="A828">
            <v>45897</v>
          </cell>
          <cell r="F828">
            <v>172</v>
          </cell>
          <cell r="G828" t="str">
            <v>1000 CC D075 45 ŞEFFAF ŞEFFAF PALET STANDART</v>
          </cell>
          <cell r="J828">
            <v>4</v>
          </cell>
          <cell r="K828">
            <v>4</v>
          </cell>
          <cell r="L828">
            <v>14.84</v>
          </cell>
        </row>
        <row r="829">
          <cell r="A829">
            <v>45897</v>
          </cell>
          <cell r="F829">
            <v>175</v>
          </cell>
          <cell r="G829" t="str">
            <v>400 CC D063 28 ŞEFFAF ŞEFFAF PALET STANDART</v>
          </cell>
          <cell r="J829">
            <v>5</v>
          </cell>
          <cell r="K829">
            <v>5</v>
          </cell>
          <cell r="L829">
            <v>12.77</v>
          </cell>
        </row>
        <row r="830">
          <cell r="A830">
            <v>45897</v>
          </cell>
          <cell r="F830">
            <v>176</v>
          </cell>
          <cell r="G830" t="str">
            <v>900 CC D124 52 SEDEF TURKUAZ PALET STANDART</v>
          </cell>
          <cell r="J830">
            <v>5</v>
          </cell>
          <cell r="K830">
            <v>5</v>
          </cell>
          <cell r="L830">
            <v>18.14</v>
          </cell>
        </row>
        <row r="831">
          <cell r="A831">
            <v>45897</v>
          </cell>
          <cell r="F831">
            <v>132</v>
          </cell>
          <cell r="G831" t="str">
            <v>400 CC Y206 29 ŞEFFAF ŞEFFAF PALET KISA</v>
          </cell>
          <cell r="J831">
            <v>3</v>
          </cell>
          <cell r="K831">
            <v>3</v>
          </cell>
          <cell r="L831">
            <v>21.5</v>
          </cell>
        </row>
        <row r="832">
          <cell r="A832">
            <v>45897</v>
          </cell>
          <cell r="F832">
            <v>135</v>
          </cell>
          <cell r="G832" t="str">
            <v>110 CC Y343 25 OPAK SARI PLT.IC.KOLI STANDART</v>
          </cell>
          <cell r="J832">
            <v>2</v>
          </cell>
          <cell r="K832">
            <v>2</v>
          </cell>
          <cell r="L832">
            <v>18.170000000000002</v>
          </cell>
        </row>
        <row r="833">
          <cell r="A833">
            <v>45897</v>
          </cell>
          <cell r="F833">
            <v>206</v>
          </cell>
          <cell r="G833" t="str">
            <v>E123 28 MM FLİPTOP 13 ŞEFFAF TURUNCU PLT.IC.KOLI STANDART</v>
          </cell>
          <cell r="J833">
            <v>12</v>
          </cell>
          <cell r="K833">
            <v>11</v>
          </cell>
          <cell r="L833">
            <v>23.8</v>
          </cell>
        </row>
        <row r="834">
          <cell r="A834">
            <v>45897</v>
          </cell>
          <cell r="F834">
            <v>207</v>
          </cell>
          <cell r="G834" t="str">
            <v>E121A 28MM TRIMSIZ KAPAK 10 OPAK KIRMIZI KOLI STANDART</v>
          </cell>
          <cell r="J834">
            <v>12</v>
          </cell>
          <cell r="K834">
            <v>6</v>
          </cell>
          <cell r="L834">
            <v>34.090000000000003</v>
          </cell>
        </row>
        <row r="835">
          <cell r="A835">
            <v>45897</v>
          </cell>
          <cell r="F835">
            <v>208</v>
          </cell>
          <cell r="G835" t="str">
            <v>E125 62 MM BAHARAT FLİPTOP 12 OPAK KIRMIZI KOLI STANDART</v>
          </cell>
          <cell r="J835">
            <v>4</v>
          </cell>
          <cell r="K835">
            <v>3</v>
          </cell>
          <cell r="L835">
            <v>24.44</v>
          </cell>
        </row>
        <row r="836">
          <cell r="A836">
            <v>45897</v>
          </cell>
          <cell r="F836">
            <v>303</v>
          </cell>
          <cell r="G836" t="str">
            <v>PR011 110 MM 8 GÖZ YİVLİ PREFORM 125 ŞEFFAF ŞEFFAF KOLI STANDART</v>
          </cell>
          <cell r="J836">
            <v>8</v>
          </cell>
          <cell r="K836">
            <v>7</v>
          </cell>
          <cell r="L836">
            <v>54.7</v>
          </cell>
        </row>
        <row r="837">
          <cell r="A837">
            <v>45897</v>
          </cell>
          <cell r="F837">
            <v>501</v>
          </cell>
          <cell r="G837" t="str">
            <v>500 CC P131 38 SEDEF KEMİK RENGİ PLS. PLT K.TAVA STANDART</v>
          </cell>
          <cell r="J837">
            <v>6</v>
          </cell>
          <cell r="K837">
            <v>6</v>
          </cell>
          <cell r="L837">
            <v>17.62</v>
          </cell>
        </row>
        <row r="838">
          <cell r="A838">
            <v>45897</v>
          </cell>
          <cell r="F838">
            <v>102</v>
          </cell>
          <cell r="G838" t="str">
            <v>1000 CC  SP051 52 ŞEFFAF ŞEFFAF PALET STANDART</v>
          </cell>
          <cell r="J838">
            <v>5</v>
          </cell>
          <cell r="K838">
            <v>5</v>
          </cell>
          <cell r="L838">
            <v>19.5</v>
          </cell>
        </row>
        <row r="839">
          <cell r="A839">
            <v>45898</v>
          </cell>
          <cell r="F839">
            <v>101</v>
          </cell>
          <cell r="G839" t="str">
            <v>500 CC SP006 30 ŞEFFAF ŞEFFAF PLS. PLT K.TAVA STANDART</v>
          </cell>
          <cell r="J839">
            <v>4</v>
          </cell>
          <cell r="K839">
            <v>4</v>
          </cell>
          <cell r="L839">
            <v>13.15</v>
          </cell>
        </row>
        <row r="840">
          <cell r="A840">
            <v>45898</v>
          </cell>
          <cell r="F840">
            <v>103</v>
          </cell>
          <cell r="G840" t="str">
            <v>700 CC SP009 40 ŞEFFAF SARI PLS. PLT STANDART</v>
          </cell>
          <cell r="J840">
            <v>5</v>
          </cell>
          <cell r="K840">
            <v>5</v>
          </cell>
          <cell r="L840">
            <v>14.81</v>
          </cell>
        </row>
        <row r="841">
          <cell r="A841">
            <v>45898</v>
          </cell>
          <cell r="F841">
            <v>161</v>
          </cell>
          <cell r="G841" t="str">
            <v>1000 CC X233 45 ŞEFFAF ŞEFFAF PALET STANDART</v>
          </cell>
          <cell r="J841">
            <v>2</v>
          </cell>
          <cell r="K841">
            <v>2</v>
          </cell>
          <cell r="L841">
            <v>18</v>
          </cell>
        </row>
        <row r="842">
          <cell r="A842">
            <v>45898</v>
          </cell>
          <cell r="F842">
            <v>162</v>
          </cell>
          <cell r="G842" t="str">
            <v>400 CC X282 35 ŞEFFAF ŞEFFAF TAHTA PLT. K.TAVA CAKMA</v>
          </cell>
          <cell r="J842">
            <v>2</v>
          </cell>
          <cell r="K842">
            <v>2</v>
          </cell>
          <cell r="L842">
            <v>19.5</v>
          </cell>
        </row>
        <row r="843">
          <cell r="A843">
            <v>45898</v>
          </cell>
          <cell r="F843">
            <v>163</v>
          </cell>
          <cell r="G843" t="str">
            <v>750 CC X128 45 ŞEFFAF SARI PALET STANDART</v>
          </cell>
          <cell r="J843">
            <v>2</v>
          </cell>
          <cell r="K843">
            <v>2</v>
          </cell>
          <cell r="L843">
            <v>22.5</v>
          </cell>
        </row>
        <row r="844">
          <cell r="A844">
            <v>45898</v>
          </cell>
          <cell r="F844">
            <v>182</v>
          </cell>
          <cell r="G844" t="str">
            <v>300 CC Z056 26 ŞEFFAF KAHVE PALET STANDART</v>
          </cell>
          <cell r="J844">
            <v>4</v>
          </cell>
          <cell r="K844">
            <v>4</v>
          </cell>
          <cell r="L844">
            <v>14</v>
          </cell>
        </row>
        <row r="845">
          <cell r="A845">
            <v>45898</v>
          </cell>
          <cell r="F845">
            <v>401</v>
          </cell>
          <cell r="G845" t="str">
            <v>1500 CC S011 125 ŞEFFAF ŞEFFAF PLS. PLT STANDART</v>
          </cell>
          <cell r="J845">
            <v>1</v>
          </cell>
          <cell r="K845">
            <v>1</v>
          </cell>
          <cell r="L845">
            <v>12.53</v>
          </cell>
        </row>
        <row r="846">
          <cell r="A846">
            <v>45898</v>
          </cell>
          <cell r="F846">
            <v>405</v>
          </cell>
          <cell r="G846" t="str">
            <v>1200 CC S023A 91 OPAK SİYAH YÜKSEK PALET STANDART</v>
          </cell>
          <cell r="J846">
            <v>2</v>
          </cell>
          <cell r="K846">
            <v>2</v>
          </cell>
          <cell r="L846">
            <v>8.1999999999999993</v>
          </cell>
        </row>
        <row r="847">
          <cell r="A847">
            <v>45898</v>
          </cell>
          <cell r="F847">
            <v>172</v>
          </cell>
          <cell r="G847" t="str">
            <v>1000 CC D075 45 ŞEFFAF ŞEFFAF PALET STANDART</v>
          </cell>
          <cell r="J847">
            <v>4</v>
          </cell>
          <cell r="K847">
            <v>4</v>
          </cell>
          <cell r="L847">
            <v>14.76</v>
          </cell>
        </row>
        <row r="848">
          <cell r="A848">
            <v>45898</v>
          </cell>
          <cell r="F848">
            <v>173</v>
          </cell>
          <cell r="G848" t="str">
            <v>950 CC D059 40 OPAK BEYAZ TAHTA PLT. K.TAVA STANDART</v>
          </cell>
          <cell r="J848">
            <v>5</v>
          </cell>
          <cell r="K848">
            <v>5</v>
          </cell>
          <cell r="L848">
            <v>13.87</v>
          </cell>
        </row>
        <row r="849">
          <cell r="A849">
            <v>45898</v>
          </cell>
          <cell r="F849">
            <v>175</v>
          </cell>
          <cell r="G849" t="str">
            <v>400 CC D063 28 ŞEFFAF ŞEFFAF PALET STANDART</v>
          </cell>
          <cell r="J849">
            <v>5</v>
          </cell>
          <cell r="K849">
            <v>5</v>
          </cell>
          <cell r="L849">
            <v>12.71</v>
          </cell>
        </row>
        <row r="850">
          <cell r="A850">
            <v>45898</v>
          </cell>
          <cell r="F850">
            <v>176</v>
          </cell>
          <cell r="G850" t="str">
            <v>900 CC D124 52 SEDEF GOLD PALET STANDART</v>
          </cell>
          <cell r="J850">
            <v>5</v>
          </cell>
          <cell r="K850">
            <v>5</v>
          </cell>
          <cell r="L850">
            <v>18.12</v>
          </cell>
        </row>
        <row r="851">
          <cell r="A851">
            <v>45898</v>
          </cell>
          <cell r="F851">
            <v>131</v>
          </cell>
          <cell r="G851" t="str">
            <v>250 CC Y141 25 ŞEFFAF YAĞYEŞİL PALET STANDART</v>
          </cell>
          <cell r="J851">
            <v>3</v>
          </cell>
          <cell r="K851">
            <v>3</v>
          </cell>
          <cell r="L851">
            <v>18.62</v>
          </cell>
        </row>
        <row r="852">
          <cell r="A852">
            <v>45898</v>
          </cell>
          <cell r="F852">
            <v>132</v>
          </cell>
          <cell r="G852" t="str">
            <v>400 CC Y206 29 ŞEFFAF ŞEFFAF PALET KISA</v>
          </cell>
          <cell r="J852">
            <v>3</v>
          </cell>
          <cell r="K852">
            <v>3</v>
          </cell>
          <cell r="L852">
            <v>21.5</v>
          </cell>
        </row>
        <row r="853">
          <cell r="A853">
            <v>45898</v>
          </cell>
          <cell r="F853">
            <v>135</v>
          </cell>
          <cell r="G853" t="str">
            <v>110 CC Y343 25 OPAK SARI PLT.IC.KOLI STANDART</v>
          </cell>
          <cell r="J853">
            <v>2</v>
          </cell>
          <cell r="K853">
            <v>2</v>
          </cell>
          <cell r="L853">
            <v>18.18</v>
          </cell>
        </row>
        <row r="854">
          <cell r="A854">
            <v>45898</v>
          </cell>
          <cell r="F854">
            <v>202</v>
          </cell>
          <cell r="G854" t="str">
            <v>E083 24 MM FLİPTOP 4 OPAK BEYAZ KOLI STANDART</v>
          </cell>
          <cell r="J854">
            <v>8</v>
          </cell>
          <cell r="K854">
            <v>6</v>
          </cell>
          <cell r="L854">
            <v>24.1</v>
          </cell>
        </row>
        <row r="855">
          <cell r="A855">
            <v>45898</v>
          </cell>
          <cell r="F855">
            <v>203</v>
          </cell>
          <cell r="G855" t="str">
            <v>E129 6 ŞEFFAF SARI PLT.IC.KOLI STANDART</v>
          </cell>
          <cell r="J855">
            <v>8</v>
          </cell>
          <cell r="K855">
            <v>8</v>
          </cell>
          <cell r="L855">
            <v>17.100000000000001</v>
          </cell>
        </row>
        <row r="856">
          <cell r="A856">
            <v>45898</v>
          </cell>
          <cell r="F856">
            <v>204</v>
          </cell>
          <cell r="G856" t="str">
            <v>E011-E020 24 MM ÇOCUK KİLİTLİ 6 OPAK BEYAZ KOLI STANDART</v>
          </cell>
          <cell r="J856">
            <v>16</v>
          </cell>
          <cell r="K856">
            <v>10</v>
          </cell>
          <cell r="L856">
            <v>28.8</v>
          </cell>
        </row>
        <row r="857">
          <cell r="A857">
            <v>45898</v>
          </cell>
          <cell r="F857">
            <v>206</v>
          </cell>
          <cell r="G857" t="str">
            <v>E123 28 MM FLİPTOP 13 ŞEFFAF YEŞİL PLT.IC.KOLI STANDART</v>
          </cell>
          <cell r="J857">
            <v>12</v>
          </cell>
          <cell r="K857">
            <v>11</v>
          </cell>
          <cell r="L857">
            <v>23.8</v>
          </cell>
        </row>
        <row r="858">
          <cell r="A858">
            <v>45898</v>
          </cell>
          <cell r="F858">
            <v>207</v>
          </cell>
          <cell r="G858" t="str">
            <v>E121A 28MM TRIMSIZ KAPAK 10 OPAK KIRMIZI KOLI STANDART</v>
          </cell>
          <cell r="J858">
            <v>12</v>
          </cell>
          <cell r="K858">
            <v>6</v>
          </cell>
          <cell r="L858">
            <v>34.01</v>
          </cell>
        </row>
        <row r="859">
          <cell r="A859">
            <v>45898</v>
          </cell>
          <cell r="F859">
            <v>208</v>
          </cell>
          <cell r="G859" t="str">
            <v>E125 62 MM BAHARAT FLİPTOP 12 OPAK KIRMIZI KOLI STANDART</v>
          </cell>
          <cell r="J859">
            <v>4</v>
          </cell>
          <cell r="K859">
            <v>3</v>
          </cell>
          <cell r="L859">
            <v>24.59</v>
          </cell>
        </row>
        <row r="860">
          <cell r="A860">
            <v>45898</v>
          </cell>
          <cell r="F860">
            <v>210</v>
          </cell>
          <cell r="G860" t="str">
            <v>E031A 110 MM ETİKETLİ FOLYOLU 17 OPAK YEŞİL-BEYAZ PLT.IC.KOLI STANDART</v>
          </cell>
          <cell r="J860">
            <v>4</v>
          </cell>
          <cell r="K860">
            <v>4</v>
          </cell>
          <cell r="L860">
            <v>21.5</v>
          </cell>
        </row>
        <row r="861">
          <cell r="A861">
            <v>45898</v>
          </cell>
          <cell r="F861">
            <v>301</v>
          </cell>
          <cell r="G861" t="str">
            <v>PR001 62 MM 8 GÖZ PREFORM 24 ŞEFFAF ŞEFFAF KOLI STANDART</v>
          </cell>
          <cell r="J861">
            <v>8</v>
          </cell>
          <cell r="K861">
            <v>5</v>
          </cell>
          <cell r="L861">
            <v>26.7</v>
          </cell>
        </row>
        <row r="862">
          <cell r="A862">
            <v>45898</v>
          </cell>
          <cell r="F862">
            <v>303</v>
          </cell>
          <cell r="G862" t="str">
            <v>PR011 110 MM 8 GÖZ YİVLİ PREFORM 125 ŞEFFAF ŞEFFAF KOLI STANDART</v>
          </cell>
          <cell r="J862">
            <v>8</v>
          </cell>
          <cell r="K862">
            <v>7</v>
          </cell>
          <cell r="L862">
            <v>54.7</v>
          </cell>
        </row>
        <row r="863">
          <cell r="A863">
            <v>45898</v>
          </cell>
          <cell r="F863">
            <v>501</v>
          </cell>
          <cell r="G863" t="str">
            <v>500 CC P131 38 SEDEF KEMİK RENGİ PLS. PLT K.TAVA STANDART</v>
          </cell>
          <cell r="J863">
            <v>6</v>
          </cell>
          <cell r="K863">
            <v>6</v>
          </cell>
          <cell r="L863">
            <v>17.62</v>
          </cell>
        </row>
        <row r="864">
          <cell r="A864">
            <v>45898</v>
          </cell>
          <cell r="F864">
            <v>102</v>
          </cell>
          <cell r="G864" t="str">
            <v>1000 CC  SP051 52 ŞEFFAF ŞEFFAF PALET STANDART</v>
          </cell>
          <cell r="J864">
            <v>5</v>
          </cell>
          <cell r="K864">
            <v>5</v>
          </cell>
          <cell r="L864">
            <v>19.02</v>
          </cell>
        </row>
        <row r="865">
          <cell r="A865">
            <v>45901</v>
          </cell>
          <cell r="F865">
            <v>103</v>
          </cell>
          <cell r="G865" t="str">
            <v>700 CC SP009 40 ŞEFFAF SARI PLS. PLT STANDART</v>
          </cell>
          <cell r="J865">
            <v>5</v>
          </cell>
          <cell r="K865">
            <v>5</v>
          </cell>
          <cell r="L865">
            <v>14.95</v>
          </cell>
        </row>
        <row r="866">
          <cell r="A866">
            <v>45901</v>
          </cell>
          <cell r="F866">
            <v>104</v>
          </cell>
          <cell r="G866" t="str">
            <v>200 CC SP028 25 ŞEFFAF ŞEFFAF PALET STANDART</v>
          </cell>
          <cell r="J866">
            <v>9</v>
          </cell>
          <cell r="K866">
            <v>8</v>
          </cell>
          <cell r="L866">
            <v>15</v>
          </cell>
        </row>
        <row r="867">
          <cell r="A867">
            <v>45901</v>
          </cell>
          <cell r="F867">
            <v>161</v>
          </cell>
          <cell r="G867" t="str">
            <v>1000 CC X233 45 ŞEFFAF ŞEFFAF PALET STANDART</v>
          </cell>
          <cell r="J867">
            <v>2</v>
          </cell>
          <cell r="K867">
            <v>2</v>
          </cell>
          <cell r="L867">
            <v>18.149999999999999</v>
          </cell>
        </row>
        <row r="868">
          <cell r="A868">
            <v>45901</v>
          </cell>
          <cell r="F868">
            <v>164</v>
          </cell>
          <cell r="G868" t="str">
            <v>1000 CC X404 52 ŞEFFAF ŞEFFAF PALET STANDART</v>
          </cell>
          <cell r="J868">
            <v>2</v>
          </cell>
          <cell r="K868">
            <v>2</v>
          </cell>
          <cell r="L868">
            <v>22.8</v>
          </cell>
        </row>
        <row r="869">
          <cell r="A869">
            <v>45901</v>
          </cell>
          <cell r="F869">
            <v>181</v>
          </cell>
          <cell r="G869" t="str">
            <v>500 CC PCR Z098A 28 ŞEFFAF ŞEFFAF PALET STANDART</v>
          </cell>
          <cell r="J869">
            <v>4</v>
          </cell>
          <cell r="K869">
            <v>4</v>
          </cell>
          <cell r="L869">
            <v>15</v>
          </cell>
        </row>
        <row r="870">
          <cell r="A870">
            <v>45901</v>
          </cell>
          <cell r="F870">
            <v>182</v>
          </cell>
          <cell r="G870" t="str">
            <v>400 CC Z018 26 ŞEFFAF ŞEFFAF PLS. PLT K.TAVA STANDART</v>
          </cell>
          <cell r="J870">
            <v>4</v>
          </cell>
          <cell r="K870">
            <v>4</v>
          </cell>
          <cell r="L870">
            <v>14</v>
          </cell>
        </row>
        <row r="871">
          <cell r="A871">
            <v>45901</v>
          </cell>
          <cell r="F871">
            <v>401</v>
          </cell>
          <cell r="G871" t="str">
            <v>1500 CC S011 125 ŞEFFAF ŞEFFAF PLS. PLT STANDART</v>
          </cell>
          <cell r="J871">
            <v>1</v>
          </cell>
          <cell r="K871">
            <v>1</v>
          </cell>
          <cell r="L871">
            <v>12.49</v>
          </cell>
        </row>
        <row r="872">
          <cell r="A872">
            <v>45901</v>
          </cell>
          <cell r="F872">
            <v>404</v>
          </cell>
          <cell r="G872" t="str">
            <v>300 CC S044 24 ŞEFFAF ŞEFFAF PLS. PLT STANDART</v>
          </cell>
          <cell r="J872">
            <v>2</v>
          </cell>
          <cell r="K872">
            <v>2</v>
          </cell>
          <cell r="L872">
            <v>7.4</v>
          </cell>
        </row>
        <row r="873">
          <cell r="A873">
            <v>45901</v>
          </cell>
          <cell r="F873">
            <v>171</v>
          </cell>
          <cell r="G873" t="str">
            <v>400 CC D032 29 ŞEFFAF YEŞİL PLS. PLT K.TAVA STANDART ( S )</v>
          </cell>
          <cell r="J873">
            <v>4</v>
          </cell>
          <cell r="K873">
            <v>4</v>
          </cell>
          <cell r="L873">
            <v>18.48</v>
          </cell>
        </row>
        <row r="874">
          <cell r="A874">
            <v>45901</v>
          </cell>
          <cell r="F874">
            <v>172</v>
          </cell>
          <cell r="G874" t="str">
            <v>1000 CC D125 52 ŞEFFAF ŞEFFAF PALET STANDART</v>
          </cell>
          <cell r="J874">
            <v>4</v>
          </cell>
          <cell r="K874">
            <v>4</v>
          </cell>
          <cell r="L874">
            <v>16.34</v>
          </cell>
        </row>
        <row r="875">
          <cell r="A875">
            <v>45901</v>
          </cell>
          <cell r="F875">
            <v>174</v>
          </cell>
          <cell r="G875" t="str">
            <v>1000 CC D123 95 ŞEFFAF ŞEFFAF PLS. PLT STANDART</v>
          </cell>
          <cell r="J875">
            <v>3</v>
          </cell>
          <cell r="K875">
            <v>3</v>
          </cell>
          <cell r="L875">
            <v>18</v>
          </cell>
        </row>
        <row r="876">
          <cell r="A876">
            <v>45901</v>
          </cell>
          <cell r="F876">
            <v>176</v>
          </cell>
          <cell r="G876" t="str">
            <v>900 CC D124 52 SEDEF GOLD PALET STANDART</v>
          </cell>
          <cell r="J876">
            <v>5</v>
          </cell>
          <cell r="K876">
            <v>5</v>
          </cell>
          <cell r="L876">
            <v>17.88</v>
          </cell>
        </row>
        <row r="877">
          <cell r="A877">
            <v>45901</v>
          </cell>
          <cell r="F877">
            <v>131</v>
          </cell>
          <cell r="G877" t="str">
            <v>250 CC Y141 25 ŞEFFAF YAĞYEŞİL PALET STANDART</v>
          </cell>
          <cell r="J877">
            <v>3</v>
          </cell>
          <cell r="K877">
            <v>3</v>
          </cell>
          <cell r="L877">
            <v>18.62</v>
          </cell>
        </row>
        <row r="878">
          <cell r="A878">
            <v>45901</v>
          </cell>
          <cell r="F878">
            <v>132</v>
          </cell>
          <cell r="G878" t="str">
            <v>400 CC Y206 29 ŞEFFAF ŞEFFAF PALET KISA</v>
          </cell>
          <cell r="J878">
            <v>3</v>
          </cell>
          <cell r="K878">
            <v>3</v>
          </cell>
          <cell r="L878">
            <v>21.59</v>
          </cell>
        </row>
        <row r="879">
          <cell r="A879">
            <v>45901</v>
          </cell>
          <cell r="F879">
            <v>201</v>
          </cell>
          <cell r="G879" t="str">
            <v>E092 CAM TIPA 1 ŞEFFAF ŞEFFAF PLT.IC.KOLI STANDART</v>
          </cell>
          <cell r="J879">
            <v>24</v>
          </cell>
          <cell r="K879">
            <v>20</v>
          </cell>
          <cell r="L879">
            <v>24.6</v>
          </cell>
        </row>
        <row r="880">
          <cell r="A880">
            <v>45901</v>
          </cell>
          <cell r="F880">
            <v>202</v>
          </cell>
          <cell r="G880" t="str">
            <v>E037 38 MM TIPA 2 OPAK SİYAH PLT.IC.KOLI STANDART</v>
          </cell>
          <cell r="J880">
            <v>8</v>
          </cell>
          <cell r="K880">
            <v>8</v>
          </cell>
          <cell r="L880">
            <v>25.5</v>
          </cell>
        </row>
        <row r="881">
          <cell r="A881">
            <v>45901</v>
          </cell>
          <cell r="F881">
            <v>203</v>
          </cell>
          <cell r="G881" t="str">
            <v>E129 6 ŞEFFAF SARI PLT.IC.KOLI STANDART</v>
          </cell>
          <cell r="J881">
            <v>8</v>
          </cell>
          <cell r="K881">
            <v>8</v>
          </cell>
          <cell r="L881">
            <v>17.2</v>
          </cell>
        </row>
        <row r="882">
          <cell r="A882">
            <v>45901</v>
          </cell>
          <cell r="F882">
            <v>204</v>
          </cell>
          <cell r="G882" t="str">
            <v>E004 38 MM 5 OPAK SİYAH PLT.IC.KOLI STANDART</v>
          </cell>
          <cell r="J882">
            <v>8</v>
          </cell>
          <cell r="K882">
            <v>8</v>
          </cell>
          <cell r="L882">
            <v>21.4</v>
          </cell>
        </row>
        <row r="883">
          <cell r="A883">
            <v>45901</v>
          </cell>
          <cell r="F883">
            <v>206</v>
          </cell>
          <cell r="G883" t="str">
            <v>E123 28 MM FLİPTOP 13 ŞEFFAF YEŞİL PLT.IC.KOLI STANDART</v>
          </cell>
          <cell r="J883">
            <v>12</v>
          </cell>
          <cell r="K883">
            <v>11</v>
          </cell>
          <cell r="L883">
            <v>26.8</v>
          </cell>
        </row>
        <row r="884">
          <cell r="A884">
            <v>45901</v>
          </cell>
          <cell r="F884">
            <v>207</v>
          </cell>
          <cell r="G884" t="str">
            <v>E121A 28MM TRIMSIZ KAPAK 10 OPAK KIRMIZI KOLI STANDART</v>
          </cell>
          <cell r="J884">
            <v>12</v>
          </cell>
          <cell r="K884">
            <v>7</v>
          </cell>
          <cell r="L884">
            <v>34.130000000000003</v>
          </cell>
        </row>
        <row r="885">
          <cell r="A885">
            <v>45901</v>
          </cell>
          <cell r="F885">
            <v>208</v>
          </cell>
          <cell r="G885" t="str">
            <v>E125 62 MM BAHARAT FLİPTOP 12 OPAK KIRMIZI KOLI STANDART</v>
          </cell>
          <cell r="J885">
            <v>4</v>
          </cell>
          <cell r="K885">
            <v>3</v>
          </cell>
          <cell r="L885">
            <v>24.1</v>
          </cell>
        </row>
        <row r="886">
          <cell r="A886">
            <v>45901</v>
          </cell>
          <cell r="F886">
            <v>209</v>
          </cell>
          <cell r="G886" t="str">
            <v>E124 28 MM FLİPTOP 13 SEDEF AÇIK YEŞİL PLT.IC.KOLI STANDART</v>
          </cell>
          <cell r="J886">
            <v>12</v>
          </cell>
          <cell r="K886">
            <v>9</v>
          </cell>
          <cell r="L886">
            <v>25.7</v>
          </cell>
        </row>
        <row r="887">
          <cell r="A887">
            <v>45901</v>
          </cell>
          <cell r="F887">
            <v>210</v>
          </cell>
          <cell r="G887" t="str">
            <v>E031A 110 MM ETİKETLİ FOLYOLU 17 OPAK YEŞİL PLT.IC.KOLI STANDART</v>
          </cell>
          <cell r="J887">
            <v>4</v>
          </cell>
          <cell r="K887">
            <v>4</v>
          </cell>
          <cell r="L887">
            <v>22</v>
          </cell>
        </row>
        <row r="888">
          <cell r="A888">
            <v>45901</v>
          </cell>
          <cell r="F888">
            <v>501</v>
          </cell>
          <cell r="G888" t="str">
            <v>500 CC P131 38 SEDEF KEMİK RENGİ PLS. PLT K.TAVA STANDART</v>
          </cell>
          <cell r="J888">
            <v>6</v>
          </cell>
          <cell r="K888">
            <v>6</v>
          </cell>
          <cell r="L888">
            <v>17.62</v>
          </cell>
        </row>
        <row r="889">
          <cell r="A889">
            <v>45901</v>
          </cell>
          <cell r="F889">
            <v>502</v>
          </cell>
          <cell r="G889" t="str">
            <v>265 CC P130 30 OPAK BEYAZ PLS. PLT STANDART</v>
          </cell>
          <cell r="J889">
            <v>4</v>
          </cell>
          <cell r="K889">
            <v>4</v>
          </cell>
          <cell r="L889">
            <v>17.62</v>
          </cell>
        </row>
        <row r="890">
          <cell r="A890">
            <v>45902</v>
          </cell>
          <cell r="F890">
            <v>102</v>
          </cell>
          <cell r="G890" t="str">
            <v>1500 CC SP026 52 ŞEFFAF ŞEFFAF PALET STANDART</v>
          </cell>
          <cell r="J890">
            <v>5</v>
          </cell>
          <cell r="K890">
            <v>5</v>
          </cell>
          <cell r="L890">
            <v>18.79</v>
          </cell>
        </row>
        <row r="891">
          <cell r="A891">
            <v>45902</v>
          </cell>
          <cell r="F891">
            <v>103</v>
          </cell>
          <cell r="G891" t="str">
            <v>700 CC SP009 40 ŞEFFAF SARI PLS. PLT STANDART</v>
          </cell>
          <cell r="J891">
            <v>5</v>
          </cell>
          <cell r="K891">
            <v>5</v>
          </cell>
          <cell r="L891">
            <v>14.97</v>
          </cell>
        </row>
        <row r="892">
          <cell r="A892">
            <v>45902</v>
          </cell>
          <cell r="F892">
            <v>162</v>
          </cell>
          <cell r="G892" t="str">
            <v>1000 CC X201 40 ŞEFFAF ŞEFFAF PLS. PLT K.TAVA STANDART</v>
          </cell>
          <cell r="J892">
            <v>2</v>
          </cell>
          <cell r="K892">
            <v>2</v>
          </cell>
          <cell r="L892">
            <v>18</v>
          </cell>
        </row>
        <row r="893">
          <cell r="A893">
            <v>45902</v>
          </cell>
          <cell r="F893">
            <v>164</v>
          </cell>
          <cell r="G893" t="str">
            <v>1000 CC X404 52 ŞEFFAF ŞEFFAF PALET STANDART</v>
          </cell>
          <cell r="J893">
            <v>2</v>
          </cell>
          <cell r="K893">
            <v>2</v>
          </cell>
          <cell r="L893">
            <v>23.09</v>
          </cell>
        </row>
        <row r="894">
          <cell r="A894">
            <v>45902</v>
          </cell>
          <cell r="F894">
            <v>182</v>
          </cell>
          <cell r="G894" t="str">
            <v>400 CC Z018 26 ŞEFFAF ŞEFFAF PLS. PLT K.TAVA STANDART</v>
          </cell>
          <cell r="J894">
            <v>4</v>
          </cell>
          <cell r="K894">
            <v>4</v>
          </cell>
          <cell r="L894">
            <v>14</v>
          </cell>
        </row>
        <row r="895">
          <cell r="A895">
            <v>45902</v>
          </cell>
          <cell r="F895">
            <v>404</v>
          </cell>
          <cell r="G895" t="str">
            <v>300 CC S044 24 ŞEFFAF ŞEFFAF PLS. PLT STANDART</v>
          </cell>
          <cell r="J895">
            <v>2</v>
          </cell>
          <cell r="K895">
            <v>2</v>
          </cell>
          <cell r="L895">
            <v>7.3</v>
          </cell>
        </row>
        <row r="896">
          <cell r="A896">
            <v>45902</v>
          </cell>
          <cell r="F896">
            <v>405</v>
          </cell>
          <cell r="G896" t="str">
            <v>1200 CC S023A 91 OPAK SİYAH YÜKSEK PALET STANDART</v>
          </cell>
          <cell r="J896">
            <v>2</v>
          </cell>
          <cell r="K896">
            <v>2</v>
          </cell>
          <cell r="L896">
            <v>8.1</v>
          </cell>
        </row>
        <row r="897">
          <cell r="A897">
            <v>45902</v>
          </cell>
          <cell r="F897">
            <v>172</v>
          </cell>
          <cell r="G897" t="str">
            <v>1000 CC D125 52 ŞEFFAF ŞEFFAF PALET STANDART</v>
          </cell>
          <cell r="J897">
            <v>4</v>
          </cell>
          <cell r="K897">
            <v>4</v>
          </cell>
          <cell r="L897">
            <v>16.510000000000002</v>
          </cell>
        </row>
        <row r="898">
          <cell r="A898">
            <v>45902</v>
          </cell>
          <cell r="F898">
            <v>173</v>
          </cell>
          <cell r="G898" t="str">
            <v>700 CC D062 40 ŞEFFAF SARI PLS. PLT STANDART</v>
          </cell>
          <cell r="J898">
            <v>5</v>
          </cell>
          <cell r="K898">
            <v>5</v>
          </cell>
          <cell r="L898">
            <v>16.39</v>
          </cell>
        </row>
        <row r="899">
          <cell r="A899">
            <v>45902</v>
          </cell>
          <cell r="F899">
            <v>174</v>
          </cell>
          <cell r="G899" t="str">
            <v>1000 CC D123 95 ŞEFFAF ŞEFFAF PLS. PLT STANDART</v>
          </cell>
          <cell r="J899">
            <v>3</v>
          </cell>
          <cell r="K899">
            <v>3</v>
          </cell>
          <cell r="L899">
            <v>17.98</v>
          </cell>
        </row>
        <row r="900">
          <cell r="A900">
            <v>45902</v>
          </cell>
          <cell r="F900">
            <v>175</v>
          </cell>
          <cell r="G900" t="str">
            <v>500 CC D068 28 ŞEFFAF ŞEFFAF PALET STANDART</v>
          </cell>
          <cell r="J900">
            <v>5</v>
          </cell>
          <cell r="K900">
            <v>5</v>
          </cell>
          <cell r="L900">
            <v>12.87</v>
          </cell>
        </row>
        <row r="901">
          <cell r="A901">
            <v>45902</v>
          </cell>
          <cell r="F901">
            <v>176</v>
          </cell>
          <cell r="G901" t="str">
            <v>900 CC D124 52 SEDEF GOLD PALET STANDART</v>
          </cell>
          <cell r="J901">
            <v>5</v>
          </cell>
          <cell r="K901">
            <v>5</v>
          </cell>
          <cell r="L901">
            <v>17.829999999999998</v>
          </cell>
        </row>
        <row r="902">
          <cell r="A902">
            <v>45902</v>
          </cell>
          <cell r="F902">
            <v>177</v>
          </cell>
          <cell r="G902" t="str">
            <v>400 CC D099 45 ŞEFFAF ŞEFFAF PALET STANDART</v>
          </cell>
          <cell r="J902">
            <v>4</v>
          </cell>
          <cell r="K902">
            <v>4</v>
          </cell>
          <cell r="L902">
            <v>16.739999999999998</v>
          </cell>
        </row>
        <row r="903">
          <cell r="A903">
            <v>45902</v>
          </cell>
          <cell r="F903">
            <v>132</v>
          </cell>
          <cell r="G903" t="str">
            <v>400 CC Y206 29 ŞEFFAF ŞEFFAF PALET KISA</v>
          </cell>
          <cell r="J903">
            <v>3</v>
          </cell>
          <cell r="K903">
            <v>3</v>
          </cell>
          <cell r="L903">
            <v>21.35</v>
          </cell>
        </row>
        <row r="904">
          <cell r="A904">
            <v>45902</v>
          </cell>
          <cell r="F904">
            <v>135</v>
          </cell>
          <cell r="G904" t="str">
            <v>110 CC Y343 25 OPAK SARI PLT.IC.KOLI STANDART</v>
          </cell>
          <cell r="J904">
            <v>2</v>
          </cell>
          <cell r="K904">
            <v>2</v>
          </cell>
          <cell r="L904">
            <v>18.07</v>
          </cell>
        </row>
        <row r="905">
          <cell r="A905">
            <v>45902</v>
          </cell>
          <cell r="F905">
            <v>201</v>
          </cell>
          <cell r="G905" t="str">
            <v>E092 CAM TIPA 1 ŞEFFAF ŞEFFAF PLT.IC.KOLI STANDART</v>
          </cell>
          <cell r="J905">
            <v>24</v>
          </cell>
          <cell r="K905">
            <v>20</v>
          </cell>
          <cell r="L905">
            <v>25</v>
          </cell>
        </row>
        <row r="906">
          <cell r="A906">
            <v>45902</v>
          </cell>
          <cell r="F906">
            <v>202</v>
          </cell>
          <cell r="G906" t="str">
            <v>E037 38 MM TIPA 2 OPAK SİYAH PLT.IC.KOLI STANDART</v>
          </cell>
          <cell r="J906">
            <v>8</v>
          </cell>
          <cell r="K906">
            <v>7</v>
          </cell>
          <cell r="L906">
            <v>25.6</v>
          </cell>
        </row>
        <row r="907">
          <cell r="A907">
            <v>45902</v>
          </cell>
          <cell r="F907">
            <v>203</v>
          </cell>
          <cell r="G907" t="str">
            <v>E129 6 ŞEFFAF SARI PLT.IC.KOLI STANDART</v>
          </cell>
          <cell r="J907">
            <v>8</v>
          </cell>
          <cell r="K907">
            <v>8</v>
          </cell>
          <cell r="L907">
            <v>17.100000000000001</v>
          </cell>
        </row>
        <row r="908">
          <cell r="A908">
            <v>45902</v>
          </cell>
          <cell r="F908">
            <v>204</v>
          </cell>
          <cell r="G908" t="str">
            <v>E004 38 MM 5 OPAK SİYAH PLT.IC.KOLI STANDART</v>
          </cell>
          <cell r="J908">
            <v>8</v>
          </cell>
          <cell r="K908">
            <v>8</v>
          </cell>
          <cell r="L908">
            <v>21.6</v>
          </cell>
        </row>
        <row r="909">
          <cell r="A909">
            <v>45902</v>
          </cell>
          <cell r="F909">
            <v>205</v>
          </cell>
          <cell r="G909" t="str">
            <v>E128 28 MM 8 OPAK TURUNCU KOLI CAKMA</v>
          </cell>
          <cell r="J909">
            <v>4</v>
          </cell>
          <cell r="K909">
            <v>4</v>
          </cell>
          <cell r="L909">
            <v>22.3</v>
          </cell>
        </row>
        <row r="910">
          <cell r="A910">
            <v>45902</v>
          </cell>
          <cell r="F910">
            <v>206</v>
          </cell>
          <cell r="G910" t="str">
            <v>E123 28 MM FLİPTOP 13 ŞEFFAF YEŞİL PLT.IC.KOLI STANDART</v>
          </cell>
          <cell r="J910">
            <v>12</v>
          </cell>
          <cell r="K910">
            <v>11</v>
          </cell>
          <cell r="L910">
            <v>28</v>
          </cell>
        </row>
        <row r="911">
          <cell r="A911">
            <v>45902</v>
          </cell>
          <cell r="F911">
            <v>207</v>
          </cell>
          <cell r="G911" t="str">
            <v>E121A 28MM TRIMSIZ KAPAK 10 OPAK KIRMIZI KOLI STANDART</v>
          </cell>
          <cell r="J911">
            <v>12</v>
          </cell>
          <cell r="K911">
            <v>7</v>
          </cell>
          <cell r="L911">
            <v>34.17</v>
          </cell>
        </row>
        <row r="912">
          <cell r="A912">
            <v>45902</v>
          </cell>
          <cell r="F912">
            <v>208</v>
          </cell>
          <cell r="G912" t="str">
            <v>E125 62 MM BAHARAT FLİPTOP 12 OPAK KIRMIZI KOLI STANDART</v>
          </cell>
          <cell r="J912">
            <v>4</v>
          </cell>
          <cell r="K912">
            <v>3</v>
          </cell>
          <cell r="L912">
            <v>24.12</v>
          </cell>
        </row>
        <row r="913">
          <cell r="A913">
            <v>45902</v>
          </cell>
          <cell r="F913">
            <v>209</v>
          </cell>
          <cell r="G913" t="str">
            <v>E124 28 MM FLİPTOP 13 SEDEF AÇIK YEŞİL PLT.IC.KOLI STANDART</v>
          </cell>
          <cell r="J913">
            <v>12</v>
          </cell>
          <cell r="K913">
            <v>8</v>
          </cell>
          <cell r="L913">
            <v>25.6</v>
          </cell>
        </row>
        <row r="914">
          <cell r="A914">
            <v>45902</v>
          </cell>
          <cell r="F914">
            <v>501</v>
          </cell>
          <cell r="G914" t="str">
            <v>500 CC P131 38 SEDEF KEMİK RENGİ PLS. PLT K.TAVA STANDART</v>
          </cell>
          <cell r="J914">
            <v>6</v>
          </cell>
          <cell r="K914">
            <v>6</v>
          </cell>
          <cell r="L914">
            <v>17.62</v>
          </cell>
        </row>
        <row r="915">
          <cell r="A915">
            <v>45902</v>
          </cell>
          <cell r="F915">
            <v>502</v>
          </cell>
          <cell r="G915" t="str">
            <v>265 CC P130 30 OPAK BEYAZ PLS. PLT STANDART</v>
          </cell>
          <cell r="J915">
            <v>4</v>
          </cell>
          <cell r="K915">
            <v>4</v>
          </cell>
          <cell r="L915">
            <v>17.62</v>
          </cell>
        </row>
        <row r="916">
          <cell r="A916">
            <v>45903</v>
          </cell>
          <cell r="F916">
            <v>102</v>
          </cell>
          <cell r="G916" t="str">
            <v>1500 CC SP026 52 ŞEFFAF ŞEFFAF PALET STANDART</v>
          </cell>
          <cell r="J916">
            <v>5</v>
          </cell>
          <cell r="K916">
            <v>5</v>
          </cell>
          <cell r="L916">
            <v>19.38</v>
          </cell>
        </row>
        <row r="917">
          <cell r="A917">
            <v>45903</v>
          </cell>
          <cell r="F917">
            <v>103</v>
          </cell>
          <cell r="G917" t="str">
            <v>700 CC SP009 40 ŞEFFAF SARI PLS. PLT STANDART</v>
          </cell>
          <cell r="J917">
            <v>5</v>
          </cell>
          <cell r="K917">
            <v>5</v>
          </cell>
          <cell r="L917">
            <v>15.12</v>
          </cell>
        </row>
        <row r="918">
          <cell r="A918">
            <v>45903</v>
          </cell>
          <cell r="F918">
            <v>161</v>
          </cell>
          <cell r="G918" t="str">
            <v>1000 CC X288 45 ŞEFFAF ŞEFFAF PLS. PLT STANDART</v>
          </cell>
          <cell r="J918">
            <v>2</v>
          </cell>
          <cell r="K918">
            <v>2</v>
          </cell>
          <cell r="L918">
            <v>21</v>
          </cell>
        </row>
        <row r="919">
          <cell r="A919">
            <v>45903</v>
          </cell>
          <cell r="F919">
            <v>162</v>
          </cell>
          <cell r="G919" t="str">
            <v>1000 CC X201 40 ŞEFFAF ŞEFFAF PLS. PLT K.TAVA STANDART</v>
          </cell>
          <cell r="J919">
            <v>2</v>
          </cell>
          <cell r="K919">
            <v>2</v>
          </cell>
          <cell r="L919">
            <v>18</v>
          </cell>
        </row>
        <row r="920">
          <cell r="A920">
            <v>45903</v>
          </cell>
          <cell r="F920">
            <v>164</v>
          </cell>
          <cell r="G920" t="str">
            <v>1000 CC X404 52 ŞEFFAF ŞEFFAF PALET STANDART</v>
          </cell>
          <cell r="J920">
            <v>2</v>
          </cell>
          <cell r="K920">
            <v>2</v>
          </cell>
          <cell r="L920">
            <v>23.09</v>
          </cell>
        </row>
        <row r="921">
          <cell r="A921">
            <v>45903</v>
          </cell>
          <cell r="F921">
            <v>181</v>
          </cell>
          <cell r="G921" t="str">
            <v>414 CC Z097 30 ŞEFFAF ŞEFFAF PALET CAKMA</v>
          </cell>
          <cell r="J921">
            <v>4</v>
          </cell>
          <cell r="K921">
            <v>4</v>
          </cell>
          <cell r="L921">
            <v>15</v>
          </cell>
        </row>
        <row r="922">
          <cell r="A922">
            <v>45903</v>
          </cell>
          <cell r="F922">
            <v>401</v>
          </cell>
          <cell r="G922" t="str">
            <v>700 CC S006 90 ŞEFFAF ŞEFFAF PLS. PLT STANDART</v>
          </cell>
          <cell r="J922">
            <v>1</v>
          </cell>
          <cell r="K922">
            <v>1</v>
          </cell>
          <cell r="L922">
            <v>10.43</v>
          </cell>
        </row>
        <row r="923">
          <cell r="A923">
            <v>45903</v>
          </cell>
          <cell r="F923">
            <v>404</v>
          </cell>
          <cell r="G923" t="str">
            <v>300 CC S044 24 ŞEFFAF ŞEFFAF PLS. PLT STANDART</v>
          </cell>
          <cell r="J923">
            <v>2</v>
          </cell>
          <cell r="K923">
            <v>2</v>
          </cell>
          <cell r="L923">
            <v>7.4</v>
          </cell>
        </row>
        <row r="924">
          <cell r="A924">
            <v>45903</v>
          </cell>
          <cell r="F924">
            <v>172</v>
          </cell>
          <cell r="G924" t="str">
            <v>1000 CC D125 52 ŞEFFAF ŞEFFAF PALET STANDART</v>
          </cell>
          <cell r="J924">
            <v>4</v>
          </cell>
          <cell r="K924">
            <v>4</v>
          </cell>
          <cell r="L924">
            <v>16.39</v>
          </cell>
        </row>
        <row r="925">
          <cell r="A925">
            <v>45903</v>
          </cell>
          <cell r="F925">
            <v>173</v>
          </cell>
          <cell r="G925" t="str">
            <v>700 CC D062 40 ŞEFFAF SARI PLS. PLT STANDART</v>
          </cell>
          <cell r="J925">
            <v>5</v>
          </cell>
          <cell r="K925">
            <v>5</v>
          </cell>
          <cell r="L925">
            <v>15.87</v>
          </cell>
        </row>
        <row r="926">
          <cell r="A926">
            <v>45903</v>
          </cell>
          <cell r="F926">
            <v>175</v>
          </cell>
          <cell r="G926" t="str">
            <v>500 CC D068 28 ŞEFFAF ŞEFFAF PALET STANDART</v>
          </cell>
          <cell r="J926">
            <v>5</v>
          </cell>
          <cell r="K926">
            <v>5</v>
          </cell>
          <cell r="L926">
            <v>12.95</v>
          </cell>
        </row>
        <row r="927">
          <cell r="A927">
            <v>45903</v>
          </cell>
          <cell r="F927">
            <v>176</v>
          </cell>
          <cell r="G927" t="str">
            <v>900 CC D124 52 SEDEF MOR PALET STANDART</v>
          </cell>
          <cell r="J927">
            <v>5</v>
          </cell>
          <cell r="K927">
            <v>5</v>
          </cell>
          <cell r="L927">
            <v>17.829999999999998</v>
          </cell>
        </row>
        <row r="928">
          <cell r="A928">
            <v>45903</v>
          </cell>
          <cell r="F928">
            <v>132</v>
          </cell>
          <cell r="G928" t="str">
            <v>400 CC Y206 29 ŞEFFAF ŞEFFAF PALET KISA</v>
          </cell>
          <cell r="J928">
            <v>3</v>
          </cell>
          <cell r="K928">
            <v>3</v>
          </cell>
          <cell r="L928">
            <v>21.01</v>
          </cell>
        </row>
        <row r="929">
          <cell r="A929">
            <v>45903</v>
          </cell>
          <cell r="F929">
            <v>135</v>
          </cell>
          <cell r="G929" t="str">
            <v>110 CC Y343 25 OPAK SARI PLT.IC.KOLI STANDART</v>
          </cell>
          <cell r="J929">
            <v>2</v>
          </cell>
          <cell r="K929">
            <v>2</v>
          </cell>
          <cell r="L929">
            <v>18.170000000000002</v>
          </cell>
        </row>
        <row r="930">
          <cell r="A930">
            <v>45903</v>
          </cell>
          <cell r="F930">
            <v>138</v>
          </cell>
          <cell r="G930" t="str">
            <v>310 CC Y344 26 ŞEFFAF ŞEFFAF YÜKSEK PLT K.TAVA STANDART</v>
          </cell>
          <cell r="J930">
            <v>3</v>
          </cell>
          <cell r="K930">
            <v>3</v>
          </cell>
          <cell r="L930">
            <v>11.61</v>
          </cell>
        </row>
        <row r="931">
          <cell r="A931">
            <v>45903</v>
          </cell>
          <cell r="F931">
            <v>202</v>
          </cell>
          <cell r="G931" t="str">
            <v>E037 38 MM TIPA 2 OPAK SİYAH PLT.IC.KOLI STANDART</v>
          </cell>
          <cell r="J931">
            <v>8</v>
          </cell>
          <cell r="K931">
            <v>8</v>
          </cell>
          <cell r="L931">
            <v>25.6</v>
          </cell>
        </row>
        <row r="932">
          <cell r="A932">
            <v>45903</v>
          </cell>
          <cell r="F932">
            <v>203</v>
          </cell>
          <cell r="G932" t="str">
            <v>E129 6 ŞEFFAF SARI PLT.IC.KOLI STANDART</v>
          </cell>
          <cell r="J932">
            <v>8</v>
          </cell>
          <cell r="K932">
            <v>8</v>
          </cell>
          <cell r="L932">
            <v>17</v>
          </cell>
        </row>
        <row r="933">
          <cell r="A933">
            <v>45903</v>
          </cell>
          <cell r="F933">
            <v>204</v>
          </cell>
          <cell r="G933" t="str">
            <v>E004 38 MM 5 OPAK SİYAH PLT.IC.KOLI STANDART</v>
          </cell>
          <cell r="J933">
            <v>8</v>
          </cell>
          <cell r="K933">
            <v>8</v>
          </cell>
          <cell r="L933">
            <v>21.4</v>
          </cell>
        </row>
        <row r="934">
          <cell r="A934">
            <v>45903</v>
          </cell>
          <cell r="F934">
            <v>205</v>
          </cell>
          <cell r="G934" t="str">
            <v>E128 28 MM 8 OPAK TURUNCU KOLI CAKMA</v>
          </cell>
          <cell r="J934">
            <v>4</v>
          </cell>
          <cell r="K934">
            <v>2</v>
          </cell>
          <cell r="L934">
            <v>24.1</v>
          </cell>
        </row>
        <row r="935">
          <cell r="A935">
            <v>45903</v>
          </cell>
          <cell r="F935">
            <v>206</v>
          </cell>
          <cell r="G935" t="str">
            <v>E123 28 MM FLİPTOP 13 ŞEFFAF YEŞİL PLT.IC.KOLI STANDART</v>
          </cell>
          <cell r="J935">
            <v>12</v>
          </cell>
          <cell r="K935">
            <v>10</v>
          </cell>
          <cell r="L935">
            <v>26.8</v>
          </cell>
        </row>
        <row r="936">
          <cell r="A936">
            <v>45903</v>
          </cell>
          <cell r="F936">
            <v>207</v>
          </cell>
          <cell r="G936" t="str">
            <v>E121A 28MM TRIMSIZ KAPAK 10 OPAK KIRMIZI KOLI STANDART</v>
          </cell>
          <cell r="J936">
            <v>12</v>
          </cell>
          <cell r="K936">
            <v>7</v>
          </cell>
          <cell r="L936">
            <v>34.15</v>
          </cell>
        </row>
        <row r="937">
          <cell r="A937">
            <v>45903</v>
          </cell>
          <cell r="F937">
            <v>208</v>
          </cell>
          <cell r="G937" t="str">
            <v>E125 62 MM BAHARAT FLİPTOP 12 OPAK KIRMIZI KOLI STANDART</v>
          </cell>
          <cell r="J937">
            <v>4</v>
          </cell>
          <cell r="K937">
            <v>3</v>
          </cell>
          <cell r="L937">
            <v>24.11</v>
          </cell>
        </row>
        <row r="938">
          <cell r="A938">
            <v>45903</v>
          </cell>
          <cell r="F938">
            <v>209</v>
          </cell>
          <cell r="G938" t="str">
            <v>E124 28 MM FLİPTOP 13 OPAK BORDO PLT.IC.KOLI STANDART</v>
          </cell>
          <cell r="J938">
            <v>12</v>
          </cell>
          <cell r="K938">
            <v>9</v>
          </cell>
          <cell r="L938">
            <v>27.5</v>
          </cell>
        </row>
        <row r="939">
          <cell r="A939">
            <v>45904</v>
          </cell>
          <cell r="F939">
            <v>102</v>
          </cell>
          <cell r="G939" t="str">
            <v>1500 CC SP026 52 ŞEFFAF ŞEFFAF PALET STANDART</v>
          </cell>
          <cell r="J939">
            <v>5</v>
          </cell>
          <cell r="K939">
            <v>5</v>
          </cell>
          <cell r="L939">
            <v>19.46</v>
          </cell>
        </row>
        <row r="940">
          <cell r="A940">
            <v>45904</v>
          </cell>
          <cell r="F940">
            <v>103</v>
          </cell>
          <cell r="G940" t="str">
            <v>700 CC SP009 40 OPAK SARI PLS. PLT STANDART</v>
          </cell>
          <cell r="J940">
            <v>5</v>
          </cell>
          <cell r="K940">
            <v>5</v>
          </cell>
          <cell r="L940">
            <v>14.8</v>
          </cell>
        </row>
        <row r="941">
          <cell r="A941">
            <v>45904</v>
          </cell>
          <cell r="F941">
            <v>164</v>
          </cell>
          <cell r="G941" t="str">
            <v>1000 CC X404 52 ŞEFFAF ŞEFFAF PALET STANDART</v>
          </cell>
          <cell r="J941">
            <v>2</v>
          </cell>
          <cell r="K941">
            <v>2</v>
          </cell>
          <cell r="L941">
            <v>23.09</v>
          </cell>
        </row>
        <row r="942">
          <cell r="A942">
            <v>45904</v>
          </cell>
          <cell r="F942">
            <v>182</v>
          </cell>
          <cell r="G942" t="str">
            <v>400 CC Z090 26 ŞEFFAF YEŞİL PLS. PLT K.TAVA STANDART</v>
          </cell>
          <cell r="J942">
            <v>4</v>
          </cell>
          <cell r="K942">
            <v>4</v>
          </cell>
          <cell r="L942">
            <v>14.4</v>
          </cell>
        </row>
        <row r="943">
          <cell r="A943">
            <v>45904</v>
          </cell>
          <cell r="F943">
            <v>401</v>
          </cell>
          <cell r="G943" t="str">
            <v>700 CC S006 90 ŞEFFAF ŞEFFAF PLS. PLT STANDART</v>
          </cell>
          <cell r="J943">
            <v>1</v>
          </cell>
          <cell r="K943">
            <v>1</v>
          </cell>
          <cell r="L943">
            <v>9.92</v>
          </cell>
        </row>
        <row r="944">
          <cell r="A944">
            <v>45904</v>
          </cell>
          <cell r="F944">
            <v>404</v>
          </cell>
          <cell r="G944" t="str">
            <v>300 CC S044 24 ŞEFFAF ŞEFFAF PLS. PLT STANDART</v>
          </cell>
          <cell r="J944">
            <v>2</v>
          </cell>
          <cell r="K944">
            <v>2</v>
          </cell>
          <cell r="L944">
            <v>7.3</v>
          </cell>
        </row>
        <row r="945">
          <cell r="A945">
            <v>45904</v>
          </cell>
          <cell r="F945">
            <v>405</v>
          </cell>
          <cell r="G945" t="str">
            <v>1200 CC S023A 91 OPAK SİYAH YÜKSEK PALET STANDART</v>
          </cell>
          <cell r="J945">
            <v>2</v>
          </cell>
          <cell r="K945">
            <v>2</v>
          </cell>
          <cell r="L945">
            <v>8.1</v>
          </cell>
        </row>
        <row r="946">
          <cell r="A946">
            <v>45904</v>
          </cell>
          <cell r="F946">
            <v>171</v>
          </cell>
          <cell r="G946" t="str">
            <v>350 CC D026 45 OPAK LACİVERT PALET STANDART</v>
          </cell>
          <cell r="J946">
            <v>3</v>
          </cell>
          <cell r="K946">
            <v>3</v>
          </cell>
          <cell r="L946">
            <v>15.61</v>
          </cell>
        </row>
        <row r="947">
          <cell r="A947">
            <v>45904</v>
          </cell>
          <cell r="F947">
            <v>172</v>
          </cell>
          <cell r="G947" t="str">
            <v>1000 CC D125 52 ŞEFFAF ŞEFFAF PALET STANDART</v>
          </cell>
          <cell r="J947">
            <v>4</v>
          </cell>
          <cell r="K947">
            <v>4</v>
          </cell>
          <cell r="L947">
            <v>16.38</v>
          </cell>
        </row>
        <row r="948">
          <cell r="A948">
            <v>45904</v>
          </cell>
          <cell r="F948">
            <v>173</v>
          </cell>
          <cell r="G948" t="str">
            <v>700 CC D062 40 ŞEFFAF SARI PLS. PLT STANDART</v>
          </cell>
          <cell r="J948">
            <v>5</v>
          </cell>
          <cell r="K948">
            <v>5</v>
          </cell>
          <cell r="L948">
            <v>15.78</v>
          </cell>
        </row>
        <row r="949">
          <cell r="A949">
            <v>45904</v>
          </cell>
          <cell r="F949">
            <v>174</v>
          </cell>
          <cell r="G949" t="str">
            <v>1000 CC D123 95 ŞEFFAF ŞEFFAF PLS. PLT STANDART</v>
          </cell>
          <cell r="J949">
            <v>3</v>
          </cell>
          <cell r="K949">
            <v>3</v>
          </cell>
          <cell r="L949">
            <v>17.96</v>
          </cell>
        </row>
        <row r="950">
          <cell r="A950">
            <v>45904</v>
          </cell>
          <cell r="F950">
            <v>131</v>
          </cell>
          <cell r="G950" t="str">
            <v>150 CC Y003 25 ŞEFFAF ŞEFFAF PLS. PLT STANDART</v>
          </cell>
          <cell r="J950">
            <v>3</v>
          </cell>
          <cell r="K950">
            <v>3</v>
          </cell>
          <cell r="L950">
            <v>18.420000000000002</v>
          </cell>
        </row>
        <row r="951">
          <cell r="A951">
            <v>45904</v>
          </cell>
          <cell r="F951">
            <v>132</v>
          </cell>
          <cell r="G951" t="str">
            <v>400 CC Y206 29 ŞEFFAF ŞEFFAF PALET KISA</v>
          </cell>
          <cell r="J951">
            <v>3</v>
          </cell>
          <cell r="K951">
            <v>3</v>
          </cell>
          <cell r="L951">
            <v>21.35</v>
          </cell>
        </row>
        <row r="952">
          <cell r="A952">
            <v>45904</v>
          </cell>
          <cell r="F952">
            <v>138</v>
          </cell>
          <cell r="G952" t="str">
            <v>310 CC Y344 26 ŞEFFAF ŞEFFAF YÜKSEK PLT K.TAVA STANDART</v>
          </cell>
          <cell r="J952">
            <v>3</v>
          </cell>
          <cell r="K952">
            <v>3</v>
          </cell>
          <cell r="L952">
            <v>11.52</v>
          </cell>
        </row>
        <row r="953">
          <cell r="A953">
            <v>45904</v>
          </cell>
          <cell r="F953">
            <v>202</v>
          </cell>
          <cell r="G953" t="str">
            <v>E037 38 MM TIPA 2 OPAK SİYAH PLT.IC.KOLI STANDART</v>
          </cell>
          <cell r="J953">
            <v>8</v>
          </cell>
          <cell r="K953">
            <v>8</v>
          </cell>
          <cell r="L953">
            <v>25.4</v>
          </cell>
        </row>
        <row r="954">
          <cell r="A954">
            <v>45904</v>
          </cell>
          <cell r="F954">
            <v>203</v>
          </cell>
          <cell r="G954" t="str">
            <v>E129 6 ŞEFFAF SARI PLT.IC.KOLI STANDART</v>
          </cell>
          <cell r="J954">
            <v>8</v>
          </cell>
          <cell r="K954">
            <v>8</v>
          </cell>
          <cell r="L954">
            <v>22.6</v>
          </cell>
        </row>
        <row r="955">
          <cell r="A955">
            <v>45904</v>
          </cell>
          <cell r="F955">
            <v>204</v>
          </cell>
          <cell r="G955" t="str">
            <v>E004 38 MM 5 OPAK SİYAH PLT.IC.KOLI STANDART</v>
          </cell>
          <cell r="J955">
            <v>8</v>
          </cell>
          <cell r="K955">
            <v>8</v>
          </cell>
          <cell r="L955">
            <v>21.4</v>
          </cell>
        </row>
        <row r="956">
          <cell r="A956">
            <v>45904</v>
          </cell>
          <cell r="F956">
            <v>205</v>
          </cell>
          <cell r="G956" t="str">
            <v>E128 28 MM 8 OPAK TURUNCU KOLI CAKMA</v>
          </cell>
          <cell r="J956">
            <v>4</v>
          </cell>
          <cell r="K956">
            <v>3</v>
          </cell>
          <cell r="L956">
            <v>21.5</v>
          </cell>
        </row>
        <row r="957">
          <cell r="A957">
            <v>45904</v>
          </cell>
          <cell r="F957">
            <v>206</v>
          </cell>
          <cell r="G957" t="str">
            <v>E123 28 MM FLİPTOP 13 ŞEFFAF YEŞİL PLT.IC.KOLI STANDART</v>
          </cell>
          <cell r="J957">
            <v>12</v>
          </cell>
          <cell r="K957">
            <v>10</v>
          </cell>
          <cell r="L957">
            <v>26.8</v>
          </cell>
        </row>
        <row r="958">
          <cell r="A958">
            <v>45904</v>
          </cell>
          <cell r="F958">
            <v>207</v>
          </cell>
          <cell r="G958" t="str">
            <v>E121A 28MM TRIMSIZ KAPAK 10 OPAK KIRMIZI KOLI STANDART</v>
          </cell>
          <cell r="J958">
            <v>12</v>
          </cell>
          <cell r="K958">
            <v>7</v>
          </cell>
          <cell r="L958">
            <v>34.15</v>
          </cell>
        </row>
        <row r="959">
          <cell r="A959">
            <v>45904</v>
          </cell>
          <cell r="F959">
            <v>208</v>
          </cell>
          <cell r="G959" t="str">
            <v>E125 62 MM BAHARAT FLİPTOP 12 OPAK KIRMIZI KOLI STANDART</v>
          </cell>
          <cell r="J959">
            <v>4</v>
          </cell>
          <cell r="K959">
            <v>3</v>
          </cell>
          <cell r="L959">
            <v>23.79</v>
          </cell>
        </row>
        <row r="960">
          <cell r="A960">
            <v>45904</v>
          </cell>
          <cell r="F960">
            <v>209</v>
          </cell>
          <cell r="G960" t="str">
            <v>E124 28 MM FLİPTOP 13 OPAK BORDO PLT.IC.KOLI STANDART</v>
          </cell>
          <cell r="J960">
            <v>12</v>
          </cell>
          <cell r="K960">
            <v>9</v>
          </cell>
          <cell r="L960">
            <v>27.5</v>
          </cell>
        </row>
        <row r="961">
          <cell r="A961">
            <v>45904</v>
          </cell>
          <cell r="F961">
            <v>501</v>
          </cell>
          <cell r="G961" t="str">
            <v>500 CC P131 38 SEDEF KEMİK RENGİ PLS. PLT K.TAVA STANDART</v>
          </cell>
          <cell r="J961">
            <v>6</v>
          </cell>
          <cell r="K961">
            <v>6</v>
          </cell>
          <cell r="L961">
            <v>17.62</v>
          </cell>
        </row>
        <row r="962">
          <cell r="A962">
            <v>45904</v>
          </cell>
          <cell r="F962">
            <v>502</v>
          </cell>
          <cell r="G962" t="str">
            <v>265 CC P130 30 OPAK BEYAZ PLS. PLT STANDART</v>
          </cell>
          <cell r="J962">
            <v>4</v>
          </cell>
          <cell r="K962">
            <v>4</v>
          </cell>
          <cell r="L962">
            <v>17.62</v>
          </cell>
        </row>
        <row r="963">
          <cell r="A963">
            <v>45905</v>
          </cell>
          <cell r="F963">
            <v>101</v>
          </cell>
          <cell r="G963" t="str">
            <v>500 CC SP002 30 ŞEFFAF MOR PALET STANDART</v>
          </cell>
          <cell r="J963">
            <v>4</v>
          </cell>
          <cell r="K963">
            <v>4</v>
          </cell>
          <cell r="L963">
            <v>14.15</v>
          </cell>
        </row>
        <row r="964">
          <cell r="A964">
            <v>45905</v>
          </cell>
          <cell r="F964">
            <v>103</v>
          </cell>
          <cell r="G964" t="str">
            <v>700 CC SP009 40 OPAK SARI PLS. PLT STANDART</v>
          </cell>
          <cell r="J964">
            <v>5</v>
          </cell>
          <cell r="K964">
            <v>5</v>
          </cell>
          <cell r="L964">
            <v>14.58</v>
          </cell>
        </row>
        <row r="965">
          <cell r="A965">
            <v>45905</v>
          </cell>
          <cell r="F965">
            <v>104</v>
          </cell>
          <cell r="G965" t="str">
            <v>200 CC SP028 25 ŞEFFAF ŞEFFAF PALET STANDART</v>
          </cell>
          <cell r="J965">
            <v>9</v>
          </cell>
          <cell r="K965">
            <v>6</v>
          </cell>
          <cell r="L965">
            <v>15.26</v>
          </cell>
        </row>
        <row r="966">
          <cell r="A966">
            <v>45905</v>
          </cell>
          <cell r="F966">
            <v>162</v>
          </cell>
          <cell r="G966" t="str">
            <v>739 CC X300 40 ŞEFFAF ŞEFFAF PALET STANDART</v>
          </cell>
          <cell r="J966">
            <v>2</v>
          </cell>
          <cell r="K966">
            <v>2</v>
          </cell>
          <cell r="L966">
            <v>18</v>
          </cell>
        </row>
        <row r="967">
          <cell r="A967">
            <v>45905</v>
          </cell>
          <cell r="F967">
            <v>164</v>
          </cell>
          <cell r="G967" t="str">
            <v>1000 CC X404 52 ŞEFFAF ŞEFFAF PALET STANDART</v>
          </cell>
          <cell r="J967">
            <v>2</v>
          </cell>
          <cell r="K967">
            <v>2</v>
          </cell>
          <cell r="L967">
            <v>23.1</v>
          </cell>
        </row>
        <row r="968">
          <cell r="A968">
            <v>45905</v>
          </cell>
          <cell r="F968">
            <v>404</v>
          </cell>
          <cell r="G968" t="str">
            <v>300 CC S044 24 ŞEFFAF ŞEFFAF PLS. PLT STANDART</v>
          </cell>
          <cell r="J968">
            <v>2</v>
          </cell>
          <cell r="K968">
            <v>2</v>
          </cell>
          <cell r="L968">
            <v>7.3</v>
          </cell>
        </row>
        <row r="969">
          <cell r="A969">
            <v>45905</v>
          </cell>
          <cell r="F969">
            <v>405</v>
          </cell>
          <cell r="G969" t="str">
            <v>1200 CC S023A 91 OPAK SİYAH YÜKSEK PALET STANDART</v>
          </cell>
          <cell r="J969">
            <v>2</v>
          </cell>
          <cell r="K969">
            <v>2</v>
          </cell>
          <cell r="L969">
            <v>8.1</v>
          </cell>
        </row>
        <row r="970">
          <cell r="A970">
            <v>45905</v>
          </cell>
          <cell r="F970">
            <v>172</v>
          </cell>
          <cell r="G970" t="str">
            <v>1000 CC D075 45 ŞEFFAF ŞEFFAF PALET STANDART</v>
          </cell>
          <cell r="J970">
            <v>4</v>
          </cell>
          <cell r="K970">
            <v>4</v>
          </cell>
          <cell r="L970">
            <v>15.17</v>
          </cell>
        </row>
        <row r="971">
          <cell r="A971">
            <v>45905</v>
          </cell>
          <cell r="F971">
            <v>173</v>
          </cell>
          <cell r="G971" t="str">
            <v>700 CC D062 40 ŞEFFAF SARI PLS. PLT STANDART</v>
          </cell>
          <cell r="J971">
            <v>5</v>
          </cell>
          <cell r="K971">
            <v>5</v>
          </cell>
          <cell r="L971">
            <v>15.81</v>
          </cell>
        </row>
        <row r="972">
          <cell r="A972">
            <v>45905</v>
          </cell>
          <cell r="F972">
            <v>174</v>
          </cell>
          <cell r="G972" t="str">
            <v>1000 CC D123 95 ŞEFFAF ŞEFFAF PLS. PLT STANDART</v>
          </cell>
          <cell r="J972">
            <v>3</v>
          </cell>
          <cell r="K972">
            <v>3</v>
          </cell>
          <cell r="L972">
            <v>17.97</v>
          </cell>
        </row>
        <row r="973">
          <cell r="A973">
            <v>45905</v>
          </cell>
          <cell r="F973">
            <v>175</v>
          </cell>
          <cell r="G973" t="str">
            <v>500 CC D096 28 ŞEFFAF ŞEFFAF PALET STANDART</v>
          </cell>
          <cell r="J973">
            <v>5</v>
          </cell>
          <cell r="K973">
            <v>5</v>
          </cell>
          <cell r="L973">
            <v>13</v>
          </cell>
        </row>
        <row r="974">
          <cell r="A974">
            <v>45905</v>
          </cell>
          <cell r="F974">
            <v>131</v>
          </cell>
          <cell r="G974" t="str">
            <v>150 CC Y003 25 ŞEFFAF ŞEFFAF PLS. PLT STANDART</v>
          </cell>
          <cell r="J974">
            <v>3</v>
          </cell>
          <cell r="K974">
            <v>3</v>
          </cell>
          <cell r="L974">
            <v>18.73</v>
          </cell>
        </row>
        <row r="975">
          <cell r="A975">
            <v>45905</v>
          </cell>
          <cell r="F975">
            <v>132</v>
          </cell>
          <cell r="G975" t="str">
            <v>400 CC Y206 29 ŞEFFAF ŞEFFAF PALET KISA</v>
          </cell>
          <cell r="J975">
            <v>3</v>
          </cell>
          <cell r="K975">
            <v>3</v>
          </cell>
          <cell r="L975">
            <v>21.29</v>
          </cell>
        </row>
        <row r="976">
          <cell r="A976">
            <v>45905</v>
          </cell>
          <cell r="F976">
            <v>134</v>
          </cell>
          <cell r="G976" t="str">
            <v>100 CC Y256 16 OPAK BEYAZ KOLI STANDART</v>
          </cell>
          <cell r="J976">
            <v>3</v>
          </cell>
          <cell r="K976">
            <v>3</v>
          </cell>
          <cell r="L976">
            <v>15.57</v>
          </cell>
        </row>
        <row r="977">
          <cell r="A977">
            <v>45905</v>
          </cell>
          <cell r="F977">
            <v>138</v>
          </cell>
          <cell r="G977" t="str">
            <v>310 CC Y344 26 ŞEFFAF ŞEFFAF YÜKSEK PLT K.TAVA STANDART</v>
          </cell>
          <cell r="J977">
            <v>3</v>
          </cell>
          <cell r="K977">
            <v>3</v>
          </cell>
          <cell r="L977">
            <v>11.53</v>
          </cell>
        </row>
        <row r="978">
          <cell r="A978">
            <v>45905</v>
          </cell>
          <cell r="F978">
            <v>202</v>
          </cell>
          <cell r="G978" t="str">
            <v>E037 38 MM TIPA 2 OPAK SİYAH PLT.IC.KOLI STANDART</v>
          </cell>
          <cell r="J978">
            <v>8</v>
          </cell>
          <cell r="K978">
            <v>8</v>
          </cell>
          <cell r="L978">
            <v>21.8</v>
          </cell>
        </row>
        <row r="979">
          <cell r="A979">
            <v>45905</v>
          </cell>
          <cell r="F979">
            <v>203</v>
          </cell>
          <cell r="G979" t="str">
            <v>E129 6 ŞEFFAF SARI PLT.IC.KOLI STANDART</v>
          </cell>
          <cell r="J979">
            <v>8</v>
          </cell>
          <cell r="K979">
            <v>8</v>
          </cell>
          <cell r="L979">
            <v>18.899999999999999</v>
          </cell>
        </row>
        <row r="980">
          <cell r="A980">
            <v>45905</v>
          </cell>
          <cell r="F980">
            <v>204</v>
          </cell>
          <cell r="G980" t="str">
            <v>E004 38 MM 5 OPAK SİYAH PLT.IC.KOLI STANDART</v>
          </cell>
          <cell r="J980">
            <v>8</v>
          </cell>
          <cell r="K980">
            <v>8</v>
          </cell>
          <cell r="L980">
            <v>21.4</v>
          </cell>
        </row>
        <row r="981">
          <cell r="A981">
            <v>45905</v>
          </cell>
          <cell r="F981">
            <v>205</v>
          </cell>
          <cell r="G981" t="str">
            <v>E128 28 MM 8 OPAK TURUNCU KOLI CAKMA</v>
          </cell>
          <cell r="J981">
            <v>4</v>
          </cell>
          <cell r="K981">
            <v>3</v>
          </cell>
          <cell r="L981">
            <v>21.8</v>
          </cell>
        </row>
        <row r="982">
          <cell r="A982">
            <v>45905</v>
          </cell>
          <cell r="F982">
            <v>207</v>
          </cell>
          <cell r="G982" t="str">
            <v>E121A 28MM TRIMSIZ KAPAK 10 OPAK KIRMIZI KOLI STANDART</v>
          </cell>
          <cell r="J982">
            <v>12</v>
          </cell>
          <cell r="K982">
            <v>9</v>
          </cell>
          <cell r="L982">
            <v>34.28</v>
          </cell>
        </row>
        <row r="983">
          <cell r="A983">
            <v>45905</v>
          </cell>
          <cell r="F983">
            <v>208</v>
          </cell>
          <cell r="G983" t="str">
            <v>E125 62 MM BAHARAT FLİPTOP 12 OPAK KIRMIZI KOLI STANDART</v>
          </cell>
          <cell r="J983">
            <v>4</v>
          </cell>
          <cell r="K983">
            <v>3</v>
          </cell>
          <cell r="L983">
            <v>26.75</v>
          </cell>
        </row>
        <row r="984">
          <cell r="A984">
            <v>45905</v>
          </cell>
          <cell r="F984">
            <v>209</v>
          </cell>
          <cell r="G984" t="str">
            <v>E124 28 MM FLİPTOP 13 OPAK BORDO PLT.IC.KOLI STANDART</v>
          </cell>
          <cell r="J984">
            <v>12</v>
          </cell>
          <cell r="K984">
            <v>9</v>
          </cell>
          <cell r="L984">
            <v>29.8</v>
          </cell>
        </row>
        <row r="985">
          <cell r="A985">
            <v>45905</v>
          </cell>
          <cell r="F985">
            <v>211</v>
          </cell>
          <cell r="G985" t="str">
            <v>E039 24 MM PİM 1 ŞEFFAF ŞEFFAF PLT.IC.KOLI STANDART</v>
          </cell>
          <cell r="J985">
            <v>24</v>
          </cell>
          <cell r="K985">
            <v>17</v>
          </cell>
          <cell r="L985">
            <v>18.399999999999999</v>
          </cell>
        </row>
        <row r="986">
          <cell r="A986">
            <v>45905</v>
          </cell>
          <cell r="F986">
            <v>501</v>
          </cell>
          <cell r="G986" t="str">
            <v>500 CC P131 38 SEDEF KEMİK RENGİ PLS. PLT K.TAVA STANDART</v>
          </cell>
          <cell r="J986">
            <v>6</v>
          </cell>
          <cell r="K986">
            <v>6</v>
          </cell>
          <cell r="L986">
            <v>17.62</v>
          </cell>
        </row>
        <row r="987">
          <cell r="A987">
            <v>45905</v>
          </cell>
          <cell r="F987">
            <v>502</v>
          </cell>
          <cell r="G987" t="str">
            <v>265 CC P130 30 OPAK BEYAZ PLS. PLT STANDART</v>
          </cell>
          <cell r="J987">
            <v>4</v>
          </cell>
          <cell r="K987">
            <v>4</v>
          </cell>
          <cell r="L987">
            <v>17.62</v>
          </cell>
        </row>
        <row r="988">
          <cell r="A988">
            <v>45915</v>
          </cell>
          <cell r="F988">
            <v>162</v>
          </cell>
          <cell r="G988" t="str">
            <v>1000 CC X233 52 ŞEFFAF ŞEFFAF PALET STANDART</v>
          </cell>
          <cell r="J988">
            <v>2</v>
          </cell>
          <cell r="K988">
            <v>2</v>
          </cell>
          <cell r="L988">
            <v>24</v>
          </cell>
        </row>
        <row r="989">
          <cell r="A989">
            <v>45915</v>
          </cell>
          <cell r="F989">
            <v>164</v>
          </cell>
          <cell r="G989" t="str">
            <v>1000 CC X404 52 ŞEFFAF ŞEFFAF PALET STANDART</v>
          </cell>
          <cell r="J989">
            <v>2</v>
          </cell>
          <cell r="K989">
            <v>2</v>
          </cell>
          <cell r="L989">
            <v>23.1</v>
          </cell>
        </row>
        <row r="990">
          <cell r="A990">
            <v>45915</v>
          </cell>
          <cell r="F990">
            <v>172</v>
          </cell>
          <cell r="G990" t="str">
            <v>1000 CC D125 52 ŞEFFAF ŞEFFAF PALET STANDART</v>
          </cell>
          <cell r="J990">
            <v>4</v>
          </cell>
          <cell r="K990">
            <v>4</v>
          </cell>
          <cell r="L990">
            <v>18.07</v>
          </cell>
        </row>
        <row r="991">
          <cell r="A991">
            <v>45915</v>
          </cell>
          <cell r="F991">
            <v>173</v>
          </cell>
          <cell r="G991" t="str">
            <v>700 CC D062 40 ŞEFFAF SARI PLS. PLT STANDART</v>
          </cell>
          <cell r="J991">
            <v>5</v>
          </cell>
          <cell r="K991">
            <v>5</v>
          </cell>
          <cell r="L991">
            <v>15.82</v>
          </cell>
        </row>
        <row r="992">
          <cell r="A992">
            <v>45915</v>
          </cell>
          <cell r="F992">
            <v>174</v>
          </cell>
          <cell r="G992" t="str">
            <v>700 CC D128 80 ŞEFFAF ŞEFFAF PLS. PLT STANDART</v>
          </cell>
          <cell r="J992">
            <v>3</v>
          </cell>
          <cell r="K992">
            <v>3</v>
          </cell>
          <cell r="L992">
            <v>18.920000000000002</v>
          </cell>
        </row>
        <row r="993">
          <cell r="A993">
            <v>45915</v>
          </cell>
          <cell r="F993">
            <v>177</v>
          </cell>
          <cell r="G993" t="str">
            <v>900 CC D066 45 ŞEFFAF SARI PLS. PLT STANDART</v>
          </cell>
          <cell r="J993">
            <v>4</v>
          </cell>
          <cell r="K993">
            <v>4</v>
          </cell>
          <cell r="L993">
            <v>16.11</v>
          </cell>
        </row>
        <row r="994">
          <cell r="A994">
            <v>45916</v>
          </cell>
          <cell r="F994">
            <v>101</v>
          </cell>
          <cell r="G994" t="str">
            <v>400 CC SP053 29 ŞEFFAF SARI PLS. PLT STANDART</v>
          </cell>
          <cell r="J994">
            <v>4</v>
          </cell>
          <cell r="K994">
            <v>4</v>
          </cell>
          <cell r="L994">
            <v>13.34</v>
          </cell>
        </row>
        <row r="995">
          <cell r="A995">
            <v>45916</v>
          </cell>
          <cell r="F995">
            <v>104</v>
          </cell>
          <cell r="G995" t="str">
            <v>100 CC SP055 20 ŞEFFAF ŞEFFAF YÜKSEK PALET STANDART</v>
          </cell>
          <cell r="J995">
            <v>9</v>
          </cell>
          <cell r="K995">
            <v>9</v>
          </cell>
          <cell r="L995">
            <v>13.81</v>
          </cell>
        </row>
        <row r="996">
          <cell r="A996">
            <v>45916</v>
          </cell>
          <cell r="F996">
            <v>161</v>
          </cell>
          <cell r="G996" t="str">
            <v>1000 CC X184 45 ŞEFFAF ŞEFFAF PALET STANDART</v>
          </cell>
          <cell r="J996">
            <v>2</v>
          </cell>
          <cell r="K996">
            <v>2</v>
          </cell>
          <cell r="L996">
            <v>18.190000000000001</v>
          </cell>
        </row>
        <row r="997">
          <cell r="A997">
            <v>45916</v>
          </cell>
          <cell r="F997">
            <v>162</v>
          </cell>
          <cell r="G997" t="str">
            <v>1000 CC X233 52 ŞEFFAF ŞEFFAF PALET STANDART</v>
          </cell>
          <cell r="J997">
            <v>2</v>
          </cell>
          <cell r="K997">
            <v>2</v>
          </cell>
          <cell r="L997">
            <v>24</v>
          </cell>
        </row>
        <row r="998">
          <cell r="A998">
            <v>45916</v>
          </cell>
          <cell r="F998">
            <v>163</v>
          </cell>
          <cell r="G998" t="str">
            <v>500 CC X121 35 ŞEFFAF ŞEFFAF PALET STANDART</v>
          </cell>
          <cell r="J998">
            <v>2</v>
          </cell>
          <cell r="K998">
            <v>2</v>
          </cell>
          <cell r="L998">
            <v>21</v>
          </cell>
        </row>
        <row r="999">
          <cell r="A999">
            <v>45916</v>
          </cell>
          <cell r="F999">
            <v>164</v>
          </cell>
          <cell r="G999" t="str">
            <v>1000 CC X404 52 ŞEFFAF ŞEFFAF PALET STANDART</v>
          </cell>
          <cell r="J999">
            <v>2</v>
          </cell>
          <cell r="K999">
            <v>2</v>
          </cell>
          <cell r="L999">
            <v>23.1</v>
          </cell>
        </row>
        <row r="1000">
          <cell r="A1000">
            <v>45916</v>
          </cell>
          <cell r="F1000">
            <v>182</v>
          </cell>
          <cell r="G1000" t="str">
            <v>450 CC Z103 26 ŞEFFAF MAVİ PALET STANDART</v>
          </cell>
          <cell r="J1000">
            <v>4</v>
          </cell>
          <cell r="K1000">
            <v>4</v>
          </cell>
          <cell r="L1000">
            <v>14.24</v>
          </cell>
        </row>
        <row r="1001">
          <cell r="A1001">
            <v>45916</v>
          </cell>
          <cell r="F1001">
            <v>404</v>
          </cell>
          <cell r="G1001" t="str">
            <v>300 CC S053 24 ŞEFFAF ŞEFFAF PLS. PLT STANDART</v>
          </cell>
          <cell r="J1001">
            <v>2</v>
          </cell>
          <cell r="K1001">
            <v>2</v>
          </cell>
          <cell r="L1001">
            <v>7.3</v>
          </cell>
        </row>
        <row r="1002">
          <cell r="A1002">
            <v>45916</v>
          </cell>
          <cell r="F1002">
            <v>405</v>
          </cell>
          <cell r="G1002" t="str">
            <v>1200 CC S009 91 OPAK SİYAH PALET STANDART</v>
          </cell>
          <cell r="J1002">
            <v>2</v>
          </cell>
          <cell r="K1002">
            <v>2</v>
          </cell>
          <cell r="L1002">
            <v>8.1</v>
          </cell>
        </row>
        <row r="1003">
          <cell r="A1003">
            <v>45916</v>
          </cell>
          <cell r="F1003">
            <v>172</v>
          </cell>
          <cell r="G1003" t="str">
            <v>1000 CC D075 45 ŞEFFAF ŞEFFAF PALET STANDART</v>
          </cell>
          <cell r="J1003">
            <v>4</v>
          </cell>
          <cell r="K1003">
            <v>4</v>
          </cell>
          <cell r="L1003">
            <v>18.09</v>
          </cell>
        </row>
        <row r="1004">
          <cell r="A1004">
            <v>45916</v>
          </cell>
          <cell r="F1004">
            <v>173</v>
          </cell>
          <cell r="G1004" t="str">
            <v>700 CC D062 40 ŞEFFAF SARI PLS. PLT STANDART</v>
          </cell>
          <cell r="J1004">
            <v>5</v>
          </cell>
          <cell r="K1004">
            <v>5</v>
          </cell>
          <cell r="L1004">
            <v>15.85</v>
          </cell>
        </row>
        <row r="1005">
          <cell r="A1005">
            <v>45916</v>
          </cell>
          <cell r="F1005">
            <v>174</v>
          </cell>
          <cell r="G1005" t="str">
            <v>700 CC D128 80 ŞEFFAF ŞEFFAF PLS. PLT STANDART</v>
          </cell>
          <cell r="J1005">
            <v>3</v>
          </cell>
          <cell r="K1005">
            <v>3</v>
          </cell>
          <cell r="L1005">
            <v>18.91</v>
          </cell>
        </row>
        <row r="1006">
          <cell r="A1006">
            <v>45916</v>
          </cell>
          <cell r="F1006">
            <v>175</v>
          </cell>
          <cell r="G1006" t="str">
            <v>500 CC D089 28 ŞEFFAF SİYAH PALET STANDART</v>
          </cell>
          <cell r="J1006">
            <v>5</v>
          </cell>
          <cell r="K1006">
            <v>5</v>
          </cell>
          <cell r="L1006">
            <v>14.73</v>
          </cell>
        </row>
        <row r="1007">
          <cell r="A1007">
            <v>45916</v>
          </cell>
          <cell r="F1007">
            <v>131</v>
          </cell>
          <cell r="G1007" t="str">
            <v>250 CC Y141 25 ŞEFFAF YAĞYEŞİL PALET STANDART</v>
          </cell>
          <cell r="J1007">
            <v>3</v>
          </cell>
          <cell r="K1007">
            <v>3</v>
          </cell>
          <cell r="L1007">
            <v>18.329999999999998</v>
          </cell>
        </row>
        <row r="1008">
          <cell r="A1008">
            <v>45916</v>
          </cell>
          <cell r="F1008">
            <v>132</v>
          </cell>
          <cell r="G1008" t="str">
            <v>400 CC Y206 29 ŞEFFAF ŞEFFAF PALET KISA</v>
          </cell>
          <cell r="J1008">
            <v>3</v>
          </cell>
          <cell r="K1008">
            <v>3</v>
          </cell>
          <cell r="L1008">
            <v>22.14</v>
          </cell>
        </row>
        <row r="1009">
          <cell r="A1009">
            <v>45916</v>
          </cell>
          <cell r="F1009">
            <v>134</v>
          </cell>
          <cell r="G1009" t="str">
            <v>200 CC Y078 25 OPAK BEYAZ PALET KISA</v>
          </cell>
          <cell r="J1009">
            <v>3</v>
          </cell>
          <cell r="K1009">
            <v>3</v>
          </cell>
          <cell r="L1009">
            <v>15.56</v>
          </cell>
        </row>
        <row r="1010">
          <cell r="A1010">
            <v>45916</v>
          </cell>
          <cell r="F1010">
            <v>138</v>
          </cell>
          <cell r="G1010" t="str">
            <v>370 CC Y348 26 ŞEFFAF ŞEFFAF YÜKSEK PALET STANDART</v>
          </cell>
          <cell r="J1010">
            <v>3</v>
          </cell>
          <cell r="K1010">
            <v>3</v>
          </cell>
          <cell r="L1010">
            <v>7.76</v>
          </cell>
        </row>
        <row r="1011">
          <cell r="A1011">
            <v>45916</v>
          </cell>
          <cell r="F1011">
            <v>209</v>
          </cell>
          <cell r="G1011" t="str">
            <v>E125 62 MM BAHARAT FLİPTOP 12 OPAK YEŞİL PLT.IC.KOLI STANDART</v>
          </cell>
          <cell r="J1011">
            <v>4</v>
          </cell>
          <cell r="K1011">
            <v>3</v>
          </cell>
          <cell r="L1011">
            <v>25.6</v>
          </cell>
        </row>
        <row r="1012">
          <cell r="A1012">
            <v>45917</v>
          </cell>
          <cell r="F1012">
            <v>102</v>
          </cell>
          <cell r="G1012" t="str">
            <v>400 CC SP012 25 ŞEFFAF ŞEFFAF PALET STANDART</v>
          </cell>
          <cell r="J1012">
            <v>6</v>
          </cell>
          <cell r="K1012">
            <v>6</v>
          </cell>
          <cell r="L1012">
            <v>14.24</v>
          </cell>
        </row>
        <row r="1013">
          <cell r="A1013">
            <v>45917</v>
          </cell>
          <cell r="F1013">
            <v>162</v>
          </cell>
          <cell r="G1013" t="str">
            <v>1000 CC X233 52 ŞEFFAF ŞEFFAF PALET STANDART</v>
          </cell>
          <cell r="J1013">
            <v>2</v>
          </cell>
          <cell r="K1013">
            <v>2</v>
          </cell>
          <cell r="L1013">
            <v>24</v>
          </cell>
        </row>
        <row r="1014">
          <cell r="A1014">
            <v>45917</v>
          </cell>
          <cell r="F1014">
            <v>163</v>
          </cell>
          <cell r="G1014" t="str">
            <v>750 CC X214 35 ŞEFFAF ŞEFFAF PALET STANDART</v>
          </cell>
          <cell r="J1014">
            <v>2</v>
          </cell>
          <cell r="K1014">
            <v>2</v>
          </cell>
          <cell r="L1014">
            <v>19.27</v>
          </cell>
        </row>
        <row r="1015">
          <cell r="A1015">
            <v>45917</v>
          </cell>
          <cell r="F1015">
            <v>164</v>
          </cell>
          <cell r="G1015" t="str">
            <v>1000 CC PCR X347A 52 OPAK BEYAZ K.TAVA PALET STANDART</v>
          </cell>
          <cell r="J1015">
            <v>2</v>
          </cell>
          <cell r="K1015">
            <v>2</v>
          </cell>
          <cell r="L1015">
            <v>23.09</v>
          </cell>
        </row>
        <row r="1016">
          <cell r="A1016">
            <v>45917</v>
          </cell>
          <cell r="F1016">
            <v>401</v>
          </cell>
          <cell r="G1016" t="str">
            <v>700 CC S008 90 ŞEFFAF ŞEFFAF PLS. PLT STANDART</v>
          </cell>
          <cell r="J1016">
            <v>1</v>
          </cell>
          <cell r="K1016">
            <v>1</v>
          </cell>
          <cell r="L1016">
            <v>11.34</v>
          </cell>
        </row>
        <row r="1017">
          <cell r="A1017">
            <v>45917</v>
          </cell>
          <cell r="F1017">
            <v>404</v>
          </cell>
          <cell r="G1017" t="str">
            <v>300 CC S053 24 ŞEFFAF ŞEFFAF PLS. PLT STANDART</v>
          </cell>
          <cell r="J1017">
            <v>2</v>
          </cell>
          <cell r="K1017">
            <v>2</v>
          </cell>
          <cell r="L1017">
            <v>7.4</v>
          </cell>
        </row>
        <row r="1018">
          <cell r="A1018">
            <v>45917</v>
          </cell>
          <cell r="F1018">
            <v>405</v>
          </cell>
          <cell r="G1018" t="str">
            <v>1200 CC S023 91 OPAK SİYAH PALET STANDART</v>
          </cell>
          <cell r="J1018">
            <v>2</v>
          </cell>
          <cell r="K1018">
            <v>2</v>
          </cell>
          <cell r="L1018">
            <v>8</v>
          </cell>
        </row>
        <row r="1019">
          <cell r="A1019">
            <v>45917</v>
          </cell>
          <cell r="F1019">
            <v>171</v>
          </cell>
          <cell r="G1019" t="str">
            <v>500 CC D088 45 ŞEFFAF ŞEFFAF PLS. PLT STANDART</v>
          </cell>
          <cell r="J1019">
            <v>3</v>
          </cell>
          <cell r="K1019">
            <v>3</v>
          </cell>
          <cell r="L1019">
            <v>14.95</v>
          </cell>
        </row>
        <row r="1020">
          <cell r="A1020">
            <v>45917</v>
          </cell>
          <cell r="F1020">
            <v>172</v>
          </cell>
          <cell r="G1020" t="str">
            <v>1000 CC D075 45 ŞEFFAF ŞEFFAF PALET STANDART</v>
          </cell>
          <cell r="J1020">
            <v>4</v>
          </cell>
          <cell r="K1020">
            <v>4</v>
          </cell>
          <cell r="L1020">
            <v>14.13</v>
          </cell>
        </row>
        <row r="1021">
          <cell r="A1021">
            <v>45917</v>
          </cell>
          <cell r="F1021">
            <v>173</v>
          </cell>
          <cell r="G1021" t="str">
            <v>700 CC D062 40 ŞEFFAF SARI PLS. PLT STANDART</v>
          </cell>
          <cell r="J1021">
            <v>5</v>
          </cell>
          <cell r="K1021">
            <v>5</v>
          </cell>
          <cell r="L1021">
            <v>15.87</v>
          </cell>
        </row>
        <row r="1022">
          <cell r="A1022">
            <v>45917</v>
          </cell>
          <cell r="F1022">
            <v>175</v>
          </cell>
          <cell r="G1022" t="str">
            <v>500 CC D089 28 ŞEFFAF SİYAH PALET STANDART</v>
          </cell>
          <cell r="J1022">
            <v>5</v>
          </cell>
          <cell r="K1022">
            <v>5</v>
          </cell>
          <cell r="L1022">
            <v>14.73</v>
          </cell>
        </row>
        <row r="1023">
          <cell r="A1023">
            <v>45917</v>
          </cell>
          <cell r="F1023">
            <v>132</v>
          </cell>
          <cell r="G1023" t="str">
            <v>400 CC Y206 29 ŞEFFAF ŞEFFAF PALET KISA</v>
          </cell>
          <cell r="J1023">
            <v>3</v>
          </cell>
          <cell r="K1023">
            <v>3</v>
          </cell>
          <cell r="L1023">
            <v>21.43</v>
          </cell>
        </row>
        <row r="1024">
          <cell r="A1024">
            <v>45917</v>
          </cell>
          <cell r="F1024">
            <v>134</v>
          </cell>
          <cell r="G1024" t="str">
            <v>200 CC Y078 25 OPAK BEYAZ PALET KISA</v>
          </cell>
          <cell r="J1024">
            <v>3</v>
          </cell>
          <cell r="K1024">
            <v>3</v>
          </cell>
          <cell r="L1024">
            <v>15.27</v>
          </cell>
        </row>
        <row r="1025">
          <cell r="A1025">
            <v>45917</v>
          </cell>
          <cell r="F1025">
            <v>135</v>
          </cell>
          <cell r="G1025" t="str">
            <v>150 CC Y341 25 ŞEFFAF KAHVE KOLI STANDART</v>
          </cell>
          <cell r="J1025">
            <v>2</v>
          </cell>
          <cell r="K1025">
            <v>2</v>
          </cell>
          <cell r="L1025">
            <v>19.87</v>
          </cell>
        </row>
        <row r="1026">
          <cell r="A1026">
            <v>45917</v>
          </cell>
          <cell r="F1026">
            <v>138</v>
          </cell>
          <cell r="G1026" t="str">
            <v>370 CC Y348 26 ŞEFFAF ŞEFFAF YÜKSEK PALET STANDART</v>
          </cell>
          <cell r="J1026">
            <v>3</v>
          </cell>
          <cell r="K1026">
            <v>3</v>
          </cell>
          <cell r="L1026">
            <v>13.7</v>
          </cell>
        </row>
        <row r="1027">
          <cell r="A1027">
            <v>45917</v>
          </cell>
          <cell r="F1027">
            <v>201</v>
          </cell>
          <cell r="G1027" t="str">
            <v>E056 28 MM TIPA 1 ŞEFFAF ŞEFFAF PLT.IC.KOLI STANDART</v>
          </cell>
          <cell r="J1027">
            <v>24</v>
          </cell>
          <cell r="K1027">
            <v>18</v>
          </cell>
          <cell r="L1027">
            <v>30.2</v>
          </cell>
        </row>
        <row r="1028">
          <cell r="A1028">
            <v>45917</v>
          </cell>
          <cell r="F1028">
            <v>204</v>
          </cell>
          <cell r="G1028" t="str">
            <v>E026 68 MM 8 OPAK SİYAH KOLI STANDART</v>
          </cell>
          <cell r="J1028">
            <v>4</v>
          </cell>
          <cell r="K1028">
            <v>4</v>
          </cell>
          <cell r="L1028">
            <v>31.6</v>
          </cell>
        </row>
        <row r="1029">
          <cell r="A1029">
            <v>45917</v>
          </cell>
          <cell r="F1029">
            <v>206</v>
          </cell>
          <cell r="G1029" t="str">
            <v>E030 140 CC 14 OPAK SİYAH KOLI STANDART</v>
          </cell>
          <cell r="J1029">
            <v>4</v>
          </cell>
          <cell r="K1029">
            <v>4</v>
          </cell>
          <cell r="L1029">
            <v>20</v>
          </cell>
        </row>
        <row r="1030">
          <cell r="A1030">
            <v>45917</v>
          </cell>
          <cell r="F1030">
            <v>208</v>
          </cell>
          <cell r="G1030" t="str">
            <v>E069 24 MM KAPAK 8 OPAK YEŞİL KOLI STANDART</v>
          </cell>
          <cell r="J1030">
            <v>16</v>
          </cell>
          <cell r="K1030">
            <v>11</v>
          </cell>
          <cell r="L1030">
            <v>39</v>
          </cell>
        </row>
        <row r="1031">
          <cell r="A1031">
            <v>45917</v>
          </cell>
          <cell r="F1031">
            <v>209</v>
          </cell>
          <cell r="G1031" t="str">
            <v>E125 62 MM BAHARAT FLİPTOP 12 OPAK YEŞİL PLT.IC.KOLI STANDART</v>
          </cell>
          <cell r="J1031">
            <v>4</v>
          </cell>
          <cell r="K1031">
            <v>3</v>
          </cell>
          <cell r="L1031">
            <v>26.9</v>
          </cell>
        </row>
        <row r="1032">
          <cell r="A1032">
            <v>45917</v>
          </cell>
          <cell r="F1032">
            <v>210</v>
          </cell>
          <cell r="G1032" t="str">
            <v>E032 100 MM ETİKETLİ FOLYOLU 13 OPAK MAVİ PLT.IC.KOLI STANDART</v>
          </cell>
          <cell r="J1032">
            <v>4</v>
          </cell>
          <cell r="K1032">
            <v>4</v>
          </cell>
          <cell r="L1032">
            <v>19.7</v>
          </cell>
        </row>
        <row r="1033">
          <cell r="A1033">
            <v>45917</v>
          </cell>
          <cell r="F1033">
            <v>212</v>
          </cell>
          <cell r="G1033" t="str">
            <v>E123 28 MM FLİPTOP 13 ŞEFFAF SARI PLT.IC.KOLI STANDART</v>
          </cell>
          <cell r="J1033">
            <v>12</v>
          </cell>
          <cell r="K1033">
            <v>12</v>
          </cell>
          <cell r="L1033">
            <v>33.86</v>
          </cell>
        </row>
        <row r="1034">
          <cell r="A1034">
            <v>45918</v>
          </cell>
          <cell r="F1034">
            <v>102</v>
          </cell>
          <cell r="G1034" t="str">
            <v>400 CC SP012 25 ŞEFFAF ŞEFFAF PALET STANDART</v>
          </cell>
          <cell r="J1034">
            <v>6</v>
          </cell>
          <cell r="K1034">
            <v>6</v>
          </cell>
          <cell r="L1034">
            <v>13.7</v>
          </cell>
        </row>
        <row r="1035">
          <cell r="A1035">
            <v>45918</v>
          </cell>
          <cell r="F1035">
            <v>162</v>
          </cell>
          <cell r="G1035" t="str">
            <v>750 CC X392 52 OPAK SİYAH PALET STANDART</v>
          </cell>
          <cell r="J1035">
            <v>2</v>
          </cell>
          <cell r="K1035">
            <v>2</v>
          </cell>
          <cell r="L1035">
            <v>24</v>
          </cell>
        </row>
        <row r="1036">
          <cell r="A1036">
            <v>45918</v>
          </cell>
          <cell r="F1036">
            <v>163</v>
          </cell>
          <cell r="G1036" t="str">
            <v>750 CC X214 35 ŞEFFAF ŞEFFAF PALET STANDART</v>
          </cell>
          <cell r="J1036">
            <v>2</v>
          </cell>
          <cell r="K1036">
            <v>2</v>
          </cell>
          <cell r="L1036">
            <v>21</v>
          </cell>
        </row>
        <row r="1037">
          <cell r="A1037">
            <v>45918</v>
          </cell>
          <cell r="F1037">
            <v>164</v>
          </cell>
          <cell r="G1037" t="str">
            <v>1000 CC PCR X347A 52 OPAK BEYAZ K.TAVA PALET STANDART</v>
          </cell>
          <cell r="J1037">
            <v>2</v>
          </cell>
          <cell r="K1037">
            <v>2</v>
          </cell>
          <cell r="L1037">
            <v>22.5</v>
          </cell>
        </row>
        <row r="1038">
          <cell r="A1038">
            <v>45918</v>
          </cell>
          <cell r="F1038">
            <v>182</v>
          </cell>
          <cell r="G1038" t="str">
            <v>400 CC Z101 26 ŞEFFAF ŞEFFAF PALET STANDART</v>
          </cell>
          <cell r="J1038">
            <v>4</v>
          </cell>
          <cell r="K1038">
            <v>4</v>
          </cell>
          <cell r="L1038">
            <v>14.24</v>
          </cell>
        </row>
        <row r="1039">
          <cell r="A1039">
            <v>45918</v>
          </cell>
          <cell r="F1039">
            <v>402</v>
          </cell>
          <cell r="G1039" t="str">
            <v>1500 CC S043 74 OPAK BEYAZ PALET STANDART</v>
          </cell>
          <cell r="J1039">
            <v>2</v>
          </cell>
          <cell r="K1039">
            <v>2</v>
          </cell>
          <cell r="L1039">
            <v>9.1999999999999993</v>
          </cell>
        </row>
        <row r="1040">
          <cell r="A1040">
            <v>45918</v>
          </cell>
          <cell r="F1040">
            <v>404</v>
          </cell>
          <cell r="G1040" t="str">
            <v>300 CC S053 24 ŞEFFAF ŞEFFAF PLS. PLT STANDART</v>
          </cell>
          <cell r="J1040">
            <v>2</v>
          </cell>
          <cell r="K1040">
            <v>2</v>
          </cell>
          <cell r="L1040">
            <v>7.3</v>
          </cell>
        </row>
        <row r="1041">
          <cell r="A1041">
            <v>45918</v>
          </cell>
          <cell r="F1041">
            <v>405</v>
          </cell>
          <cell r="G1041" t="str">
            <v>1200 CC S023 91 OPAK SİYAH PALET STANDART</v>
          </cell>
          <cell r="J1041">
            <v>2</v>
          </cell>
          <cell r="K1041">
            <v>2</v>
          </cell>
          <cell r="L1041">
            <v>8</v>
          </cell>
        </row>
        <row r="1042">
          <cell r="A1042">
            <v>45918</v>
          </cell>
          <cell r="F1042">
            <v>171</v>
          </cell>
          <cell r="G1042" t="str">
            <v>500 CC D088 45 ŞEFFAF ŞEFFAF PLS. PLT STANDART</v>
          </cell>
          <cell r="J1042">
            <v>3</v>
          </cell>
          <cell r="K1042">
            <v>2</v>
          </cell>
          <cell r="L1042">
            <v>14.76</v>
          </cell>
        </row>
        <row r="1043">
          <cell r="A1043">
            <v>45918</v>
          </cell>
          <cell r="F1043">
            <v>172</v>
          </cell>
          <cell r="G1043" t="str">
            <v>1000 CC D075 45 ŞEFFAF ŞEFFAF PALET STANDART</v>
          </cell>
          <cell r="J1043">
            <v>4</v>
          </cell>
          <cell r="K1043">
            <v>4</v>
          </cell>
          <cell r="L1043">
            <v>14.18</v>
          </cell>
        </row>
        <row r="1044">
          <cell r="A1044">
            <v>45918</v>
          </cell>
          <cell r="F1044">
            <v>174</v>
          </cell>
          <cell r="G1044" t="str">
            <v>700 CC D128 80 ŞEFFAF ŞEFFAF PLS. PLT STANDART</v>
          </cell>
          <cell r="J1044">
            <v>3</v>
          </cell>
          <cell r="K1044">
            <v>3</v>
          </cell>
          <cell r="L1044">
            <v>18.920000000000002</v>
          </cell>
        </row>
        <row r="1045">
          <cell r="A1045">
            <v>45918</v>
          </cell>
          <cell r="F1045">
            <v>176</v>
          </cell>
          <cell r="G1045" t="str">
            <v>900 CC D124 52 SEDEF MOR PALET STANDART</v>
          </cell>
          <cell r="J1045">
            <v>5</v>
          </cell>
          <cell r="K1045">
            <v>5</v>
          </cell>
          <cell r="L1045">
            <v>19.02</v>
          </cell>
        </row>
        <row r="1046">
          <cell r="A1046">
            <v>45918</v>
          </cell>
          <cell r="F1046">
            <v>177</v>
          </cell>
          <cell r="G1046" t="str">
            <v>900 CC D066 45 ŞEFFAF SARI PLS. PLT STANDART</v>
          </cell>
          <cell r="J1046">
            <v>4</v>
          </cell>
          <cell r="K1046">
            <v>4</v>
          </cell>
          <cell r="L1046">
            <v>15.13</v>
          </cell>
        </row>
        <row r="1047">
          <cell r="A1047">
            <v>45918</v>
          </cell>
          <cell r="F1047">
            <v>131</v>
          </cell>
          <cell r="G1047" t="str">
            <v>100 CC Y274 25 ŞEFFAF TURUNCU PLT.IC.KOLI STANDART</v>
          </cell>
          <cell r="J1047">
            <v>3</v>
          </cell>
          <cell r="K1047">
            <v>3</v>
          </cell>
          <cell r="L1047">
            <v>17.600000000000001</v>
          </cell>
        </row>
        <row r="1048">
          <cell r="A1048">
            <v>45918</v>
          </cell>
          <cell r="F1048">
            <v>132</v>
          </cell>
          <cell r="G1048" t="str">
            <v>400 CC Y206 29 ŞEFFAF ŞEFFAF PALET KISA</v>
          </cell>
          <cell r="J1048">
            <v>3</v>
          </cell>
          <cell r="K1048">
            <v>3</v>
          </cell>
          <cell r="L1048">
            <v>21.47</v>
          </cell>
        </row>
        <row r="1049">
          <cell r="A1049">
            <v>45918</v>
          </cell>
          <cell r="F1049">
            <v>134</v>
          </cell>
          <cell r="G1049" t="str">
            <v>200 CC Y078 25 OPAK BEYAZ PALET KISA</v>
          </cell>
          <cell r="J1049">
            <v>3</v>
          </cell>
          <cell r="K1049">
            <v>3</v>
          </cell>
          <cell r="L1049">
            <v>15.43</v>
          </cell>
        </row>
        <row r="1050">
          <cell r="A1050">
            <v>45918</v>
          </cell>
          <cell r="F1050">
            <v>135</v>
          </cell>
          <cell r="G1050" t="str">
            <v>150 CC Y341 25 ŞEFFAF KAHVE KOLI STANDART</v>
          </cell>
          <cell r="J1050">
            <v>2</v>
          </cell>
          <cell r="K1050">
            <v>2</v>
          </cell>
          <cell r="L1050">
            <v>19.87</v>
          </cell>
        </row>
        <row r="1051">
          <cell r="A1051">
            <v>45918</v>
          </cell>
          <cell r="F1051">
            <v>138</v>
          </cell>
          <cell r="G1051" t="str">
            <v>370 CC Y348 26 ŞEFFAF ŞEFFAF YÜKSEK PALET STANDART</v>
          </cell>
          <cell r="J1051">
            <v>3</v>
          </cell>
          <cell r="K1051">
            <v>3</v>
          </cell>
          <cell r="L1051">
            <v>13.73</v>
          </cell>
        </row>
        <row r="1052">
          <cell r="A1052">
            <v>45918</v>
          </cell>
          <cell r="F1052">
            <v>201</v>
          </cell>
          <cell r="G1052" t="str">
            <v>E056 28 MM TIPA 1 ŞEFFAF ŞEFFAF PLT.IC.KOLI STANDART</v>
          </cell>
          <cell r="J1052">
            <v>24</v>
          </cell>
          <cell r="K1052">
            <v>18</v>
          </cell>
          <cell r="L1052">
            <v>30.4</v>
          </cell>
        </row>
        <row r="1053">
          <cell r="A1053">
            <v>45918</v>
          </cell>
          <cell r="F1053">
            <v>212</v>
          </cell>
          <cell r="G1053" t="str">
            <v>E123 28 MM FLİPTOP 13 ŞEFFAF SARI PLT.IC.KOLI STANDART</v>
          </cell>
          <cell r="J1053">
            <v>12</v>
          </cell>
          <cell r="K1053">
            <v>12</v>
          </cell>
          <cell r="L1053">
            <v>30.4</v>
          </cell>
        </row>
        <row r="1054">
          <cell r="A1054">
            <v>45918</v>
          </cell>
          <cell r="F1054">
            <v>205</v>
          </cell>
          <cell r="G1054" t="str">
            <v>E049 24 MM KAPAK 3 OPAK YEŞİL PLT.IC.KOLI STANDART</v>
          </cell>
          <cell r="J1054">
            <v>12</v>
          </cell>
          <cell r="K1054">
            <v>10</v>
          </cell>
          <cell r="L1054">
            <v>23.9</v>
          </cell>
        </row>
        <row r="1055">
          <cell r="A1055">
            <v>45918</v>
          </cell>
          <cell r="F1055">
            <v>206</v>
          </cell>
          <cell r="G1055" t="str">
            <v>E030 140 CC 14 OPAK SİYAH KOLI STANDART</v>
          </cell>
          <cell r="J1055">
            <v>4</v>
          </cell>
          <cell r="K1055">
            <v>4</v>
          </cell>
          <cell r="L1055">
            <v>20.100000000000001</v>
          </cell>
        </row>
        <row r="1056">
          <cell r="A1056">
            <v>45918</v>
          </cell>
          <cell r="F1056">
            <v>208</v>
          </cell>
          <cell r="G1056" t="str">
            <v>E063 110 MM 32 OPAK SARI KOLI STANDART</v>
          </cell>
          <cell r="J1056">
            <v>4</v>
          </cell>
          <cell r="K1056">
            <v>2</v>
          </cell>
          <cell r="L1056">
            <v>23.77</v>
          </cell>
        </row>
        <row r="1057">
          <cell r="A1057">
            <v>45918</v>
          </cell>
          <cell r="F1057">
            <v>209</v>
          </cell>
          <cell r="G1057" t="str">
            <v>E125 62 MM BAHARAT FLİPTOP 12 OPAK YEŞİL PLT.IC.KOLI STANDART</v>
          </cell>
          <cell r="J1057">
            <v>4</v>
          </cell>
          <cell r="K1057">
            <v>3</v>
          </cell>
          <cell r="L1057">
            <v>27</v>
          </cell>
        </row>
        <row r="1058">
          <cell r="A1058">
            <v>45918</v>
          </cell>
          <cell r="F1058">
            <v>210</v>
          </cell>
          <cell r="G1058" t="str">
            <v>E032 100 MM ETİKETLİ FOLYOLU 13 OPAK MAVİ PLT.IC.KOLI STANDART</v>
          </cell>
          <cell r="J1058">
            <v>4</v>
          </cell>
          <cell r="K1058">
            <v>4</v>
          </cell>
          <cell r="L1058">
            <v>20.7</v>
          </cell>
        </row>
        <row r="1059">
          <cell r="A1059">
            <v>45918</v>
          </cell>
          <cell r="F1059">
            <v>301</v>
          </cell>
          <cell r="G1059" t="str">
            <v>PR001 62 MM 8 GÖZ PREFORM 24 ŞEFFAF ŞEFFAF KOLI STANDART</v>
          </cell>
          <cell r="J1059">
            <v>8</v>
          </cell>
          <cell r="K1059">
            <v>5</v>
          </cell>
          <cell r="L1059">
            <v>26.1</v>
          </cell>
        </row>
        <row r="1060">
          <cell r="A1060">
            <v>45918</v>
          </cell>
          <cell r="F1060">
            <v>302</v>
          </cell>
          <cell r="G1060" t="str">
            <v>PR017 38 MM 12 GÖZ YİVLİ PREFORM  73 OPAK BEYAZ KOLI STANDART</v>
          </cell>
          <cell r="J1060">
            <v>12</v>
          </cell>
          <cell r="K1060">
            <v>11</v>
          </cell>
          <cell r="L1060">
            <v>50.97</v>
          </cell>
        </row>
        <row r="1061">
          <cell r="A1061">
            <v>45919</v>
          </cell>
          <cell r="F1061">
            <v>102</v>
          </cell>
          <cell r="G1061" t="str">
            <v>400 CC SP012 25 OPAK YEŞİL PALET STANDART</v>
          </cell>
          <cell r="J1061">
            <v>6</v>
          </cell>
          <cell r="K1061">
            <v>6</v>
          </cell>
          <cell r="L1061">
            <v>13.8</v>
          </cell>
        </row>
        <row r="1062">
          <cell r="A1062">
            <v>45919</v>
          </cell>
          <cell r="F1062">
            <v>103</v>
          </cell>
          <cell r="G1062" t="str">
            <v>700 CC SP009 40 ŞEFFAF SARI PLS. PLT STANDART</v>
          </cell>
          <cell r="J1062">
            <v>5</v>
          </cell>
          <cell r="K1062">
            <v>5</v>
          </cell>
          <cell r="L1062">
            <v>14.18</v>
          </cell>
        </row>
        <row r="1063">
          <cell r="A1063">
            <v>45919</v>
          </cell>
          <cell r="F1063">
            <v>104</v>
          </cell>
          <cell r="G1063" t="str">
            <v>100 CC SP055 20 ŞEFFAF ŞEFFAF YÜKSEK PALET STANDART</v>
          </cell>
          <cell r="J1063">
            <v>9</v>
          </cell>
          <cell r="K1063">
            <v>9</v>
          </cell>
          <cell r="L1063">
            <v>14.25</v>
          </cell>
        </row>
        <row r="1064">
          <cell r="A1064">
            <v>45919</v>
          </cell>
          <cell r="F1064">
            <v>162</v>
          </cell>
          <cell r="G1064" t="str">
            <v>750 CC X392 52 OPAK SİYAH PALET STANDART</v>
          </cell>
          <cell r="J1064">
            <v>2</v>
          </cell>
          <cell r="K1064">
            <v>2</v>
          </cell>
          <cell r="L1064">
            <v>24</v>
          </cell>
        </row>
        <row r="1065">
          <cell r="A1065">
            <v>45919</v>
          </cell>
          <cell r="F1065">
            <v>163</v>
          </cell>
          <cell r="G1065" t="str">
            <v>750 CC X214 35 ŞEFFAF ŞEFFAF PALET STANDART</v>
          </cell>
          <cell r="J1065">
            <v>2</v>
          </cell>
          <cell r="K1065">
            <v>2</v>
          </cell>
          <cell r="L1065">
            <v>21</v>
          </cell>
        </row>
        <row r="1066">
          <cell r="A1066">
            <v>45919</v>
          </cell>
          <cell r="F1066">
            <v>182</v>
          </cell>
          <cell r="G1066" t="str">
            <v>400 CC Z101 26 ŞEFFAF ŞEFFAF PALET STANDART</v>
          </cell>
          <cell r="J1066">
            <v>4</v>
          </cell>
          <cell r="K1066">
            <v>4</v>
          </cell>
          <cell r="L1066">
            <v>14.23</v>
          </cell>
        </row>
        <row r="1067">
          <cell r="A1067">
            <v>45919</v>
          </cell>
          <cell r="F1067">
            <v>401</v>
          </cell>
          <cell r="G1067" t="str">
            <v>700 CC S008 90 ŞEFFAF ŞEFFAF PLS. PLT STANDART</v>
          </cell>
          <cell r="J1067">
            <v>1</v>
          </cell>
          <cell r="K1067">
            <v>1</v>
          </cell>
          <cell r="L1067">
            <v>10.6</v>
          </cell>
        </row>
        <row r="1068">
          <cell r="A1068">
            <v>45919</v>
          </cell>
          <cell r="F1068">
            <v>402</v>
          </cell>
          <cell r="G1068" t="str">
            <v>1500 CC S043 74 OPAK BEYAZ PALET STANDART</v>
          </cell>
          <cell r="J1068">
            <v>2</v>
          </cell>
          <cell r="K1068">
            <v>2</v>
          </cell>
          <cell r="L1068">
            <v>10</v>
          </cell>
        </row>
        <row r="1069">
          <cell r="A1069">
            <v>45919</v>
          </cell>
          <cell r="F1069">
            <v>171</v>
          </cell>
          <cell r="G1069" t="str">
            <v>500 CC D088 45 ŞEFFAF ŞEFFAF PLS. PLT STANDART</v>
          </cell>
          <cell r="J1069">
            <v>3</v>
          </cell>
          <cell r="K1069">
            <v>2</v>
          </cell>
          <cell r="L1069">
            <v>15</v>
          </cell>
        </row>
        <row r="1070">
          <cell r="A1070">
            <v>45919</v>
          </cell>
          <cell r="F1070">
            <v>172</v>
          </cell>
          <cell r="G1070" t="str">
            <v>1000 CC D075 45 ŞEFFAF ŞEFFAF PALET STANDART</v>
          </cell>
          <cell r="J1070">
            <v>4</v>
          </cell>
          <cell r="K1070">
            <v>4</v>
          </cell>
          <cell r="L1070">
            <v>14.14</v>
          </cell>
        </row>
        <row r="1071">
          <cell r="A1071">
            <v>45919</v>
          </cell>
          <cell r="F1071">
            <v>173</v>
          </cell>
          <cell r="G1071" t="str">
            <v>500 CC D077 40 ŞEFFAF BUZ BEYAZ PALET STANDART</v>
          </cell>
          <cell r="J1071">
            <v>5</v>
          </cell>
          <cell r="K1071">
            <v>5</v>
          </cell>
          <cell r="L1071">
            <v>15.81</v>
          </cell>
        </row>
        <row r="1072">
          <cell r="A1072">
            <v>45919</v>
          </cell>
          <cell r="F1072">
            <v>177</v>
          </cell>
          <cell r="G1072" t="str">
            <v>900 CC D066 45 ŞEFFAF SARI PLS. PLT STANDART</v>
          </cell>
          <cell r="J1072">
            <v>4</v>
          </cell>
          <cell r="K1072">
            <v>4</v>
          </cell>
          <cell r="L1072">
            <v>14.95</v>
          </cell>
        </row>
        <row r="1073">
          <cell r="A1073">
            <v>45919</v>
          </cell>
          <cell r="F1073">
            <v>131</v>
          </cell>
          <cell r="G1073" t="str">
            <v>100 CC Y274 25 ŞEFFAF TURUNCU PLT.IC.KOLI STANDART</v>
          </cell>
          <cell r="J1073">
            <v>3</v>
          </cell>
          <cell r="K1073">
            <v>3</v>
          </cell>
          <cell r="L1073">
            <v>17.61</v>
          </cell>
        </row>
        <row r="1074">
          <cell r="A1074">
            <v>45919</v>
          </cell>
          <cell r="F1074">
            <v>134</v>
          </cell>
          <cell r="G1074" t="str">
            <v>200 CC Y078 25 OPAK BEYAZ PALET KISA</v>
          </cell>
          <cell r="J1074">
            <v>3</v>
          </cell>
          <cell r="K1074">
            <v>3</v>
          </cell>
          <cell r="L1074">
            <v>15.39</v>
          </cell>
        </row>
        <row r="1075">
          <cell r="A1075">
            <v>45919</v>
          </cell>
          <cell r="F1075">
            <v>135</v>
          </cell>
          <cell r="G1075" t="str">
            <v>150 CC Y341 25 ŞEFFAF KAHVE KOLI STANDART</v>
          </cell>
          <cell r="J1075">
            <v>2</v>
          </cell>
          <cell r="K1075">
            <v>2</v>
          </cell>
          <cell r="L1075">
            <v>19.899999999999999</v>
          </cell>
        </row>
        <row r="1076">
          <cell r="A1076">
            <v>45919</v>
          </cell>
          <cell r="F1076">
            <v>206</v>
          </cell>
          <cell r="G1076" t="str">
            <v>E030 140 CC 14 OPAK SİYAH KOLI STANDART</v>
          </cell>
          <cell r="J1076">
            <v>4</v>
          </cell>
          <cell r="K1076">
            <v>4</v>
          </cell>
          <cell r="L1076">
            <v>20.100000000000001</v>
          </cell>
        </row>
        <row r="1077">
          <cell r="A1077">
            <v>45919</v>
          </cell>
          <cell r="F1077">
            <v>204</v>
          </cell>
          <cell r="G1077" t="str">
            <v>E026 68 MM 8 OPAK SİYAH KOLI STANDART</v>
          </cell>
          <cell r="J1077">
            <v>4</v>
          </cell>
          <cell r="K1077">
            <v>4</v>
          </cell>
          <cell r="L1077">
            <v>31.6</v>
          </cell>
        </row>
        <row r="1078">
          <cell r="A1078">
            <v>45919</v>
          </cell>
          <cell r="F1078">
            <v>205</v>
          </cell>
          <cell r="G1078" t="str">
            <v>E049 24 MM KAPAK 3 OPAK YEŞİL PLT.IC.KOLI STANDART</v>
          </cell>
          <cell r="J1078">
            <v>12</v>
          </cell>
          <cell r="K1078">
            <v>10</v>
          </cell>
          <cell r="L1078">
            <v>24</v>
          </cell>
        </row>
        <row r="1079">
          <cell r="A1079">
            <v>45919</v>
          </cell>
          <cell r="F1079">
            <v>201</v>
          </cell>
          <cell r="G1079" t="str">
            <v>E056 28 MM TIPA 1 ŞEFFAF ŞEFFAF PLT.IC.KOLI STANDART</v>
          </cell>
          <cell r="J1079">
            <v>24</v>
          </cell>
          <cell r="K1079">
            <v>16</v>
          </cell>
          <cell r="L1079">
            <v>30.3</v>
          </cell>
        </row>
        <row r="1080">
          <cell r="A1080">
            <v>45919</v>
          </cell>
          <cell r="F1080">
            <v>207</v>
          </cell>
          <cell r="G1080" t="str">
            <v>E121A 28MM TRIMSIZ KAPAK 10 OPAK KIRMIZI KOLI STANDART</v>
          </cell>
          <cell r="J1080">
            <v>12</v>
          </cell>
          <cell r="K1080">
            <v>9</v>
          </cell>
          <cell r="L1080">
            <v>35.200000000000003</v>
          </cell>
        </row>
        <row r="1081">
          <cell r="A1081">
            <v>45919</v>
          </cell>
          <cell r="F1081">
            <v>208</v>
          </cell>
          <cell r="G1081" t="str">
            <v>E063 110 MM 32 OPAK SARI KOLI STANDART</v>
          </cell>
          <cell r="J1081">
            <v>4</v>
          </cell>
          <cell r="K1081">
            <v>2</v>
          </cell>
          <cell r="L1081">
            <v>23.65</v>
          </cell>
        </row>
        <row r="1082">
          <cell r="A1082">
            <v>45919</v>
          </cell>
          <cell r="F1082">
            <v>209</v>
          </cell>
          <cell r="G1082" t="str">
            <v>E125 62 MM BAHARAT FLİPTOP 12 OPAK YEŞİL PLT.IC.KOLI STANDART</v>
          </cell>
          <cell r="J1082">
            <v>4</v>
          </cell>
          <cell r="K1082">
            <v>3</v>
          </cell>
          <cell r="L1082">
            <v>27</v>
          </cell>
        </row>
        <row r="1083">
          <cell r="A1083">
            <v>45919</v>
          </cell>
          <cell r="F1083">
            <v>210</v>
          </cell>
          <cell r="G1083" t="str">
            <v>E032 100 MM ETİKETLİ FOLYOLU 13 OPAK MAVİ PLT.IC.KOLI STANDART</v>
          </cell>
          <cell r="J1083">
            <v>4</v>
          </cell>
          <cell r="K1083">
            <v>4</v>
          </cell>
          <cell r="L1083">
            <v>19.7</v>
          </cell>
        </row>
        <row r="1084">
          <cell r="A1084">
            <v>45919</v>
          </cell>
          <cell r="F1084">
            <v>301</v>
          </cell>
          <cell r="G1084" t="str">
            <v>PR001 62 MM 8 GÖZ PREFORM 24 ŞEFFAF ŞEFFAF KOLI STANDART</v>
          </cell>
          <cell r="J1084">
            <v>8</v>
          </cell>
          <cell r="K1084">
            <v>5</v>
          </cell>
          <cell r="L1084">
            <v>26.1</v>
          </cell>
        </row>
        <row r="1085">
          <cell r="A1085">
            <v>45919</v>
          </cell>
          <cell r="F1085">
            <v>302</v>
          </cell>
          <cell r="G1085" t="str">
            <v>PR017 38 MM 12 GÖZ YİVLİ PREFORM  73 OPAK BEYAZ KOLI STANDART</v>
          </cell>
          <cell r="J1085">
            <v>12</v>
          </cell>
          <cell r="K1085">
            <v>11</v>
          </cell>
          <cell r="L1085">
            <v>52.98</v>
          </cell>
        </row>
        <row r="1086">
          <cell r="A1086">
            <v>45919</v>
          </cell>
          <cell r="F1086">
            <v>303</v>
          </cell>
          <cell r="G1086" t="str">
            <v>PR014 110 MM 12 GÖZ TWIST OFF PREFORM 91 OPAK SİYAH KOLI STANDART</v>
          </cell>
          <cell r="J1086">
            <v>12</v>
          </cell>
          <cell r="K1086">
            <v>8</v>
          </cell>
          <cell r="L1086">
            <v>37.5</v>
          </cell>
        </row>
        <row r="1087">
          <cell r="A1087">
            <v>45920</v>
          </cell>
          <cell r="F1087">
            <v>102</v>
          </cell>
          <cell r="G1087" t="str">
            <v>500 CC SP052 25 ŞEFFAF ŞEFFAF PALET STANDART</v>
          </cell>
          <cell r="J1087">
            <v>6</v>
          </cell>
          <cell r="K1087">
            <v>6</v>
          </cell>
          <cell r="L1087">
            <v>15.3</v>
          </cell>
        </row>
        <row r="1088">
          <cell r="A1088">
            <v>45920</v>
          </cell>
          <cell r="F1088">
            <v>103</v>
          </cell>
          <cell r="G1088" t="str">
            <v>700 CC SP009 40 ŞEFFAF SARI PLS. PLT STANDART</v>
          </cell>
          <cell r="J1088">
            <v>5</v>
          </cell>
          <cell r="K1088">
            <v>5</v>
          </cell>
          <cell r="L1088">
            <v>14.48</v>
          </cell>
        </row>
        <row r="1089">
          <cell r="A1089">
            <v>45920</v>
          </cell>
          <cell r="F1089">
            <v>104</v>
          </cell>
          <cell r="G1089" t="str">
            <v>100 CC SP055 20 ŞEFFAF ŞEFFAF YÜKSEK PALET STANDART</v>
          </cell>
          <cell r="J1089">
            <v>9</v>
          </cell>
          <cell r="K1089">
            <v>9</v>
          </cell>
          <cell r="L1089">
            <v>14.89</v>
          </cell>
        </row>
        <row r="1090">
          <cell r="A1090">
            <v>45920</v>
          </cell>
          <cell r="F1090">
            <v>172</v>
          </cell>
          <cell r="G1090" t="str">
            <v>1000 CC D125 52 ŞEFFAF ŞEFFAF PALET STANDART</v>
          </cell>
          <cell r="J1090">
            <v>4</v>
          </cell>
          <cell r="K1090">
            <v>4</v>
          </cell>
          <cell r="L1090">
            <v>17.86</v>
          </cell>
        </row>
        <row r="1091">
          <cell r="A1091">
            <v>45920</v>
          </cell>
          <cell r="F1091">
            <v>173</v>
          </cell>
          <cell r="G1091" t="str">
            <v>700 CC D062 40 ŞEFFAF SARI PLS. PLT STANDART</v>
          </cell>
          <cell r="J1091">
            <v>5</v>
          </cell>
          <cell r="K1091">
            <v>5</v>
          </cell>
          <cell r="L1091">
            <v>17.39</v>
          </cell>
        </row>
        <row r="1092">
          <cell r="A1092">
            <v>45920</v>
          </cell>
          <cell r="F1092">
            <v>182</v>
          </cell>
          <cell r="G1092" t="str">
            <v>400 CC Z101 26 ŞEFFAF ŞEFFAF PALET STANDART</v>
          </cell>
          <cell r="J1092">
            <v>4</v>
          </cell>
          <cell r="K1092">
            <v>4</v>
          </cell>
          <cell r="L1092">
            <v>14.27</v>
          </cell>
        </row>
        <row r="1093">
          <cell r="A1093">
            <v>45920</v>
          </cell>
          <cell r="F1093">
            <v>401</v>
          </cell>
          <cell r="G1093" t="str">
            <v>700 CC S008 90 ŞEFFAF ŞEFFAF PLS. PLT STANDART</v>
          </cell>
          <cell r="J1093">
            <v>1</v>
          </cell>
          <cell r="K1093">
            <v>1</v>
          </cell>
          <cell r="L1093">
            <v>10.8</v>
          </cell>
        </row>
        <row r="1094">
          <cell r="A1094">
            <v>45920</v>
          </cell>
          <cell r="F1094">
            <v>404</v>
          </cell>
          <cell r="G1094" t="str">
            <v>300 CC S053 24 ŞEFFAF ŞEFFAF PLS. PLT STANDART</v>
          </cell>
          <cell r="J1094">
            <v>2</v>
          </cell>
          <cell r="K1094">
            <v>2</v>
          </cell>
          <cell r="L1094">
            <v>7.3</v>
          </cell>
        </row>
        <row r="1095">
          <cell r="A1095">
            <v>45920</v>
          </cell>
          <cell r="F1095">
            <v>405</v>
          </cell>
          <cell r="G1095" t="str">
            <v>1200 CC S023 91 OPAK SİYAH PALET STANDART</v>
          </cell>
          <cell r="J1095">
            <v>2</v>
          </cell>
          <cell r="K1095">
            <v>2</v>
          </cell>
          <cell r="L1095">
            <v>8</v>
          </cell>
        </row>
        <row r="1096">
          <cell r="A1096">
            <v>45920</v>
          </cell>
          <cell r="F1096">
            <v>162</v>
          </cell>
          <cell r="G1096" t="str">
            <v>1000 CC X233 52 ŞEFFAF ŞEFFAF PALET STANDART</v>
          </cell>
          <cell r="J1096">
            <v>2</v>
          </cell>
          <cell r="K1096">
            <v>2</v>
          </cell>
          <cell r="L1096">
            <v>22.8</v>
          </cell>
        </row>
        <row r="1097">
          <cell r="A1097">
            <v>45920</v>
          </cell>
          <cell r="F1097">
            <v>177</v>
          </cell>
          <cell r="G1097" t="str">
            <v>900 CC D066 45 ŞEFFAF SARI PLS. PLT STANDART</v>
          </cell>
          <cell r="J1097">
            <v>4</v>
          </cell>
          <cell r="K1097">
            <v>4</v>
          </cell>
          <cell r="L1097">
            <v>14.87</v>
          </cell>
        </row>
        <row r="1098">
          <cell r="A1098">
            <v>45920</v>
          </cell>
          <cell r="F1098">
            <v>131</v>
          </cell>
          <cell r="G1098" t="str">
            <v>100 CC Y274 25 ŞEFFAF TURUNCU PLT.IC.KOLI STANDART</v>
          </cell>
          <cell r="J1098">
            <v>3</v>
          </cell>
          <cell r="K1098">
            <v>3</v>
          </cell>
          <cell r="L1098">
            <v>17.62</v>
          </cell>
        </row>
        <row r="1099">
          <cell r="A1099">
            <v>45920</v>
          </cell>
          <cell r="F1099">
            <v>134</v>
          </cell>
          <cell r="G1099" t="str">
            <v>200 CC Y078 25 ŞEFFAF MAVİ PALET KISA</v>
          </cell>
          <cell r="J1099">
            <v>3</v>
          </cell>
          <cell r="K1099">
            <v>3</v>
          </cell>
          <cell r="L1099">
            <v>15.97</v>
          </cell>
        </row>
        <row r="1100">
          <cell r="A1100">
            <v>45920</v>
          </cell>
          <cell r="F1100">
            <v>135</v>
          </cell>
          <cell r="G1100" t="str">
            <v>150 CC Y341 25 ŞEFFAF KAHVE KOLI STANDART</v>
          </cell>
          <cell r="J1100">
            <v>2</v>
          </cell>
          <cell r="K1100">
            <v>2</v>
          </cell>
          <cell r="L1100">
            <v>19.96</v>
          </cell>
        </row>
        <row r="1101">
          <cell r="A1101">
            <v>45920</v>
          </cell>
          <cell r="F1101">
            <v>201</v>
          </cell>
          <cell r="G1101" t="str">
            <v>E056 28 MM TIPA 1 ŞEFFAF ŞEFFAF PLT.IC.KOLI STANDART</v>
          </cell>
          <cell r="J1101">
            <v>24</v>
          </cell>
          <cell r="K1101">
            <v>18</v>
          </cell>
          <cell r="L1101">
            <v>30.2</v>
          </cell>
        </row>
        <row r="1102">
          <cell r="A1102">
            <v>45920</v>
          </cell>
          <cell r="F1102">
            <v>205</v>
          </cell>
          <cell r="G1102" t="str">
            <v>E049 24 MM KAPAK 3 OPAK YEŞİL PLT.IC.KOLI STANDART</v>
          </cell>
          <cell r="J1102">
            <v>12</v>
          </cell>
          <cell r="K1102">
            <v>10</v>
          </cell>
          <cell r="L1102">
            <v>24.1</v>
          </cell>
        </row>
        <row r="1103">
          <cell r="A1103">
            <v>45920</v>
          </cell>
          <cell r="F1103">
            <v>206</v>
          </cell>
          <cell r="G1103" t="str">
            <v>E030 140 CC 14 OPAK BEYAZ KOLI STANDART</v>
          </cell>
          <cell r="J1103">
            <v>4</v>
          </cell>
          <cell r="K1103">
            <v>4</v>
          </cell>
          <cell r="L1103">
            <v>20.100000000000001</v>
          </cell>
        </row>
        <row r="1104">
          <cell r="A1104">
            <v>45920</v>
          </cell>
          <cell r="F1104">
            <v>207</v>
          </cell>
          <cell r="G1104" t="str">
            <v>E121A 28MM TRIMSIZ KAPAK 10 OPAK KIRMIZI KOLI STANDART</v>
          </cell>
          <cell r="J1104">
            <v>12</v>
          </cell>
          <cell r="K1104">
            <v>9</v>
          </cell>
          <cell r="L1104">
            <v>30.69</v>
          </cell>
        </row>
        <row r="1105">
          <cell r="A1105">
            <v>45920</v>
          </cell>
          <cell r="F1105">
            <v>208</v>
          </cell>
          <cell r="G1105" t="str">
            <v>E063 110 MM 32 OPAK SARI KOLI STANDART</v>
          </cell>
          <cell r="J1105">
            <v>4</v>
          </cell>
          <cell r="K1105">
            <v>2</v>
          </cell>
          <cell r="L1105">
            <v>23.66</v>
          </cell>
        </row>
        <row r="1106">
          <cell r="A1106">
            <v>45920</v>
          </cell>
          <cell r="F1106">
            <v>209</v>
          </cell>
          <cell r="G1106" t="str">
            <v>E125 62 MM BAHARAT FLİPTOP 12 OPAK YEŞİL PLT.IC.KOLI STANDART</v>
          </cell>
          <cell r="J1106">
            <v>4</v>
          </cell>
          <cell r="K1106">
            <v>3</v>
          </cell>
          <cell r="L1106">
            <v>27.1</v>
          </cell>
        </row>
        <row r="1107">
          <cell r="A1107">
            <v>45920</v>
          </cell>
          <cell r="F1107">
            <v>210</v>
          </cell>
          <cell r="G1107" t="str">
            <v>E032 100 MM ETİKETLİ FOLYOLU 13 OPAK GOLD PLT.IC.KOLI STANDART</v>
          </cell>
          <cell r="J1107">
            <v>4</v>
          </cell>
          <cell r="K1107">
            <v>4</v>
          </cell>
          <cell r="L1107">
            <v>18.8</v>
          </cell>
        </row>
        <row r="1108">
          <cell r="A1108">
            <v>45920</v>
          </cell>
          <cell r="F1108">
            <v>301</v>
          </cell>
          <cell r="G1108" t="str">
            <v>PR001 62 MM 8 GÖZ PREFORM 24 ŞEFFAF ŞEFFAF KOLI STANDART</v>
          </cell>
          <cell r="J1108">
            <v>8</v>
          </cell>
          <cell r="K1108">
            <v>5</v>
          </cell>
          <cell r="L1108">
            <v>26.1</v>
          </cell>
        </row>
        <row r="1109">
          <cell r="A1109">
            <v>45920</v>
          </cell>
          <cell r="F1109">
            <v>303</v>
          </cell>
          <cell r="G1109" t="str">
            <v>PR014 110 MM 12 GÖZ TWIST OFF PREFORM 91 OPAK SİYAH KOLI STANDART</v>
          </cell>
          <cell r="J1109">
            <v>12</v>
          </cell>
          <cell r="K1109">
            <v>8</v>
          </cell>
          <cell r="L1109">
            <v>36.299999999999997</v>
          </cell>
        </row>
        <row r="1110">
          <cell r="A1110">
            <v>45922</v>
          </cell>
          <cell r="F1110">
            <v>102</v>
          </cell>
          <cell r="G1110" t="str">
            <v>500 CC SP052 25 ŞEFFAF ŞEFFAF PALET STANDART</v>
          </cell>
          <cell r="J1110">
            <v>6</v>
          </cell>
          <cell r="K1110">
            <v>6</v>
          </cell>
          <cell r="L1110">
            <v>15.13</v>
          </cell>
        </row>
        <row r="1111">
          <cell r="A1111">
            <v>45922</v>
          </cell>
          <cell r="F1111">
            <v>103</v>
          </cell>
          <cell r="G1111" t="str">
            <v>700 CC SP009 40 ŞEFFAF SARI PLS. PLT STANDART</v>
          </cell>
          <cell r="J1111">
            <v>5</v>
          </cell>
          <cell r="K1111">
            <v>5</v>
          </cell>
          <cell r="L1111">
            <v>14.9</v>
          </cell>
        </row>
        <row r="1112">
          <cell r="A1112">
            <v>45922</v>
          </cell>
          <cell r="F1112">
            <v>164</v>
          </cell>
          <cell r="G1112" t="str">
            <v>1500 CC X381 52 ŞEFFAF ŞEFFAF PALET STANDART</v>
          </cell>
          <cell r="J1112">
            <v>2</v>
          </cell>
          <cell r="K1112">
            <v>2</v>
          </cell>
          <cell r="L1112">
            <v>22.8</v>
          </cell>
        </row>
        <row r="1113">
          <cell r="A1113">
            <v>45922</v>
          </cell>
          <cell r="F1113">
            <v>182</v>
          </cell>
          <cell r="G1113" t="str">
            <v>400 CC Z101 26 ŞEFFAF ŞEFFAF PALET STANDART</v>
          </cell>
          <cell r="J1113">
            <v>4</v>
          </cell>
          <cell r="K1113">
            <v>4</v>
          </cell>
          <cell r="L1113">
            <v>14.21</v>
          </cell>
        </row>
        <row r="1114">
          <cell r="A1114">
            <v>45922</v>
          </cell>
          <cell r="F1114">
            <v>401</v>
          </cell>
          <cell r="G1114" t="str">
            <v>700 CC S008 90 ŞEFFAF ŞEFFAF PLS. PLT STANDART</v>
          </cell>
          <cell r="J1114">
            <v>1</v>
          </cell>
          <cell r="K1114">
            <v>1</v>
          </cell>
          <cell r="L1114">
            <v>10.7</v>
          </cell>
        </row>
        <row r="1115">
          <cell r="A1115">
            <v>45922</v>
          </cell>
          <cell r="F1115">
            <v>404</v>
          </cell>
          <cell r="G1115" t="str">
            <v>300 CC S053 24 ŞEFFAF ŞEFFAF PLS. PLT STANDART</v>
          </cell>
          <cell r="J1115">
            <v>2</v>
          </cell>
          <cell r="K1115">
            <v>2</v>
          </cell>
          <cell r="L1115">
            <v>7.4</v>
          </cell>
        </row>
        <row r="1116">
          <cell r="A1116">
            <v>45922</v>
          </cell>
          <cell r="F1116">
            <v>405</v>
          </cell>
          <cell r="G1116" t="str">
            <v>350 CC S012 46 OPAK SİYAH PALET STANDART</v>
          </cell>
          <cell r="J1116">
            <v>2</v>
          </cell>
          <cell r="K1116">
            <v>2</v>
          </cell>
          <cell r="L1116">
            <v>8</v>
          </cell>
        </row>
        <row r="1117">
          <cell r="A1117">
            <v>45922</v>
          </cell>
          <cell r="F1117">
            <v>171</v>
          </cell>
          <cell r="G1117" t="str">
            <v>500 CC D088 45 ŞEFFAF ŞEFFAF PLS. PLT STANDART</v>
          </cell>
          <cell r="J1117">
            <v>3</v>
          </cell>
          <cell r="K1117">
            <v>3</v>
          </cell>
          <cell r="L1117">
            <v>13.65</v>
          </cell>
        </row>
        <row r="1118">
          <cell r="A1118">
            <v>45922</v>
          </cell>
          <cell r="F1118">
            <v>172</v>
          </cell>
          <cell r="G1118" t="str">
            <v>1000 CC D125 52 ŞEFFAF ŞEFFAF PALET STANDART</v>
          </cell>
          <cell r="J1118">
            <v>4</v>
          </cell>
          <cell r="K1118">
            <v>4</v>
          </cell>
          <cell r="L1118">
            <v>17.940000000000001</v>
          </cell>
        </row>
        <row r="1119">
          <cell r="A1119">
            <v>45922</v>
          </cell>
          <cell r="F1119">
            <v>175</v>
          </cell>
          <cell r="G1119" t="str">
            <v>750 CC D072 35 ŞEFFAF ŞEFFAF PALET STANDART</v>
          </cell>
          <cell r="J1119">
            <v>5</v>
          </cell>
          <cell r="K1119">
            <v>5</v>
          </cell>
          <cell r="L1119">
            <v>14.12</v>
          </cell>
        </row>
        <row r="1120">
          <cell r="A1120">
            <v>45922</v>
          </cell>
          <cell r="F1120">
            <v>176</v>
          </cell>
          <cell r="G1120" t="str">
            <v>1000 CC D107 52 OPAK BEYAZ PALET STANDART</v>
          </cell>
          <cell r="J1120">
            <v>5</v>
          </cell>
          <cell r="K1120">
            <v>5</v>
          </cell>
          <cell r="L1120">
            <v>19.36</v>
          </cell>
        </row>
        <row r="1121">
          <cell r="A1121">
            <v>45922</v>
          </cell>
          <cell r="F1121">
            <v>177</v>
          </cell>
          <cell r="G1121" t="str">
            <v>900 CC D066 45 ŞEFFAF SARI PLS. PLT STANDART</v>
          </cell>
          <cell r="J1121">
            <v>4</v>
          </cell>
          <cell r="K1121">
            <v>4</v>
          </cell>
          <cell r="L1121">
            <v>15</v>
          </cell>
        </row>
        <row r="1122">
          <cell r="A1122">
            <v>45922</v>
          </cell>
          <cell r="F1122">
            <v>131</v>
          </cell>
          <cell r="G1122" t="str">
            <v>100 CC Y274 25 ŞEFFAF TURUNCU PLT.IC.KOLI STANDART</v>
          </cell>
          <cell r="J1122">
            <v>3</v>
          </cell>
          <cell r="K1122">
            <v>3</v>
          </cell>
          <cell r="L1122">
            <v>17.62</v>
          </cell>
        </row>
        <row r="1123">
          <cell r="A1123">
            <v>45922</v>
          </cell>
          <cell r="F1123">
            <v>132</v>
          </cell>
          <cell r="G1123" t="str">
            <v>400 CC Y010 29 ŞEFFAF ŞEFFAF PALET STANDART</v>
          </cell>
          <cell r="J1123">
            <v>3</v>
          </cell>
          <cell r="K1123">
            <v>3</v>
          </cell>
          <cell r="L1123">
            <v>21.12</v>
          </cell>
        </row>
        <row r="1124">
          <cell r="A1124">
            <v>45922</v>
          </cell>
          <cell r="F1124">
            <v>134</v>
          </cell>
          <cell r="G1124" t="str">
            <v>200 CC Y078 25 ŞEFFAF YEŞİL PALET KISA</v>
          </cell>
          <cell r="J1124">
            <v>3</v>
          </cell>
          <cell r="K1124">
            <v>3</v>
          </cell>
          <cell r="L1124">
            <v>15.57</v>
          </cell>
        </row>
        <row r="1125">
          <cell r="A1125">
            <v>45922</v>
          </cell>
          <cell r="F1125">
            <v>135</v>
          </cell>
          <cell r="G1125" t="str">
            <v>150 CC Y341 25 ŞEFFAF KAHVE KOLI STANDART</v>
          </cell>
          <cell r="J1125">
            <v>2</v>
          </cell>
          <cell r="K1125">
            <v>2</v>
          </cell>
          <cell r="L1125">
            <v>19.87</v>
          </cell>
        </row>
        <row r="1126">
          <cell r="A1126">
            <v>45922</v>
          </cell>
          <cell r="F1126">
            <v>201</v>
          </cell>
          <cell r="G1126" t="str">
            <v>E056 28 MM TIPA 1 ŞEFFAF ŞEFFAF PLT.IC.KOLI STANDART</v>
          </cell>
          <cell r="J1126">
            <v>24</v>
          </cell>
          <cell r="K1126">
            <v>18</v>
          </cell>
          <cell r="L1126">
            <v>30</v>
          </cell>
        </row>
        <row r="1127">
          <cell r="A1127">
            <v>45922</v>
          </cell>
          <cell r="F1127">
            <v>205</v>
          </cell>
          <cell r="G1127" t="str">
            <v>E049 24 MM KAPAK 3 OPAK YEŞİL PLT.IC.KOLI STANDART</v>
          </cell>
          <cell r="J1127">
            <v>12</v>
          </cell>
          <cell r="K1127">
            <v>10</v>
          </cell>
          <cell r="L1127">
            <v>23.9</v>
          </cell>
        </row>
        <row r="1128">
          <cell r="A1128">
            <v>45922</v>
          </cell>
          <cell r="F1128">
            <v>207</v>
          </cell>
          <cell r="G1128" t="str">
            <v>E121A 28MM TRIMSIZ KAPAK 10 OPAK KIRMIZI KOLI STANDART</v>
          </cell>
          <cell r="J1128">
            <v>12</v>
          </cell>
          <cell r="K1128">
            <v>9</v>
          </cell>
          <cell r="L1128">
            <v>30.04</v>
          </cell>
        </row>
        <row r="1129">
          <cell r="A1129">
            <v>45922</v>
          </cell>
          <cell r="F1129">
            <v>208</v>
          </cell>
          <cell r="G1129" t="str">
            <v>E063 110 MM 32 OPAK SARI KOLI STANDART</v>
          </cell>
          <cell r="J1129">
            <v>4</v>
          </cell>
          <cell r="K1129">
            <v>2</v>
          </cell>
          <cell r="L1129">
            <v>23.67</v>
          </cell>
        </row>
        <row r="1130">
          <cell r="A1130">
            <v>45922</v>
          </cell>
          <cell r="F1130">
            <v>209</v>
          </cell>
          <cell r="G1130" t="str">
            <v>E125 62 MM BAHARAT FLİPTOP 12 OPAK YEŞİL PLT.IC.KOLI STANDART</v>
          </cell>
          <cell r="J1130">
            <v>4</v>
          </cell>
          <cell r="K1130">
            <v>3</v>
          </cell>
          <cell r="L1130">
            <v>27</v>
          </cell>
        </row>
        <row r="1131">
          <cell r="A1131">
            <v>45922</v>
          </cell>
          <cell r="F1131">
            <v>210</v>
          </cell>
          <cell r="G1131" t="str">
            <v>E032 100 MM ETİKETLİ FOLYOLU 13 OPAK GOLD PLT.IC.KOLI STANDART</v>
          </cell>
          <cell r="J1131">
            <v>4</v>
          </cell>
          <cell r="K1131">
            <v>3</v>
          </cell>
          <cell r="L1131">
            <v>19.7</v>
          </cell>
        </row>
        <row r="1132">
          <cell r="A1132">
            <v>45923</v>
          </cell>
          <cell r="F1132">
            <v>102</v>
          </cell>
          <cell r="G1132" t="str">
            <v>500 CC SP052 25 ŞEFFAF ŞEFFAF PALET STANDART</v>
          </cell>
          <cell r="J1132">
            <v>6</v>
          </cell>
          <cell r="K1132">
            <v>6</v>
          </cell>
          <cell r="L1132">
            <v>16</v>
          </cell>
        </row>
        <row r="1133">
          <cell r="A1133">
            <v>45923</v>
          </cell>
          <cell r="F1133">
            <v>103</v>
          </cell>
          <cell r="G1133" t="str">
            <v>700 CC SP009 40 ŞEFFAF SARI PLS. PLT STANDART</v>
          </cell>
          <cell r="J1133">
            <v>5</v>
          </cell>
          <cell r="K1133">
            <v>5</v>
          </cell>
          <cell r="L1133">
            <v>14.52</v>
          </cell>
        </row>
        <row r="1134">
          <cell r="A1134">
            <v>45923</v>
          </cell>
          <cell r="F1134">
            <v>104</v>
          </cell>
          <cell r="G1134" t="str">
            <v>100 CC SP055 20 ŞEFFAF ŞEFFAF YÜKSEK PALET STANDART</v>
          </cell>
          <cell r="J1134">
            <v>9</v>
          </cell>
          <cell r="K1134">
            <v>9</v>
          </cell>
          <cell r="L1134">
            <v>15.03</v>
          </cell>
        </row>
        <row r="1135">
          <cell r="A1135">
            <v>45923</v>
          </cell>
          <cell r="F1135">
            <v>162</v>
          </cell>
          <cell r="G1135" t="str">
            <v>1000 CC X233 52 ŞEFFAF ŞEFFAF PALET STANDART</v>
          </cell>
          <cell r="J1135">
            <v>2</v>
          </cell>
          <cell r="K1135">
            <v>2</v>
          </cell>
          <cell r="L1135">
            <v>24</v>
          </cell>
        </row>
        <row r="1136">
          <cell r="A1136">
            <v>45923</v>
          </cell>
          <cell r="F1136">
            <v>163</v>
          </cell>
          <cell r="G1136" t="str">
            <v>500 CC X395 35 ŞEFFAF ŞEFFAF PALET STANDART</v>
          </cell>
          <cell r="J1136">
            <v>2</v>
          </cell>
          <cell r="K1136">
            <v>2</v>
          </cell>
          <cell r="L1136">
            <v>18.59</v>
          </cell>
        </row>
        <row r="1137">
          <cell r="A1137">
            <v>45923</v>
          </cell>
          <cell r="F1137">
            <v>164</v>
          </cell>
          <cell r="G1137" t="str">
            <v>1500 CC X381 52 ŞEFFAF ŞEFFAF PALET STANDART</v>
          </cell>
          <cell r="J1137">
            <v>2</v>
          </cell>
          <cell r="K1137">
            <v>2</v>
          </cell>
          <cell r="L1137">
            <v>22.8</v>
          </cell>
        </row>
        <row r="1138">
          <cell r="A1138">
            <v>45923</v>
          </cell>
          <cell r="F1138">
            <v>181</v>
          </cell>
          <cell r="G1138" t="str">
            <v>750 CC Z105 28 OPAK MAVİ PLS. PLT STANDART</v>
          </cell>
          <cell r="J1138">
            <v>4</v>
          </cell>
          <cell r="K1138">
            <v>4</v>
          </cell>
          <cell r="L1138">
            <v>15</v>
          </cell>
        </row>
        <row r="1139">
          <cell r="A1139">
            <v>45923</v>
          </cell>
          <cell r="F1139">
            <v>182</v>
          </cell>
          <cell r="G1139" t="str">
            <v>400 CC Z101 26 ŞEFFAF ŞEFFAF PALET STANDART</v>
          </cell>
          <cell r="J1139">
            <v>4</v>
          </cell>
          <cell r="K1139">
            <v>4</v>
          </cell>
          <cell r="L1139">
            <v>14.26</v>
          </cell>
        </row>
        <row r="1140">
          <cell r="A1140">
            <v>45923</v>
          </cell>
          <cell r="F1140">
            <v>401</v>
          </cell>
          <cell r="G1140" t="str">
            <v>700 CC S008 90 ŞEFFAF ŞEFFAF PLS. PLT STANDART</v>
          </cell>
          <cell r="J1140">
            <v>1</v>
          </cell>
          <cell r="K1140">
            <v>1</v>
          </cell>
          <cell r="L1140">
            <v>10.23</v>
          </cell>
        </row>
        <row r="1141">
          <cell r="A1141">
            <v>45923</v>
          </cell>
          <cell r="F1141">
            <v>171</v>
          </cell>
          <cell r="G1141" t="str">
            <v>350 CC D026 45 OPAK SİYAH PALET STANDART</v>
          </cell>
          <cell r="J1141">
            <v>3</v>
          </cell>
          <cell r="K1141">
            <v>3</v>
          </cell>
          <cell r="L1141">
            <v>16.78</v>
          </cell>
        </row>
        <row r="1142">
          <cell r="A1142">
            <v>45923</v>
          </cell>
          <cell r="F1142">
            <v>172</v>
          </cell>
          <cell r="G1142" t="str">
            <v>1000 CC D057 52 OPAK MAVİ PALET STANDART</v>
          </cell>
          <cell r="J1142">
            <v>4</v>
          </cell>
          <cell r="K1142">
            <v>4</v>
          </cell>
          <cell r="L1142">
            <v>21.31</v>
          </cell>
        </row>
        <row r="1143">
          <cell r="A1143">
            <v>45923</v>
          </cell>
          <cell r="F1143">
            <v>175</v>
          </cell>
          <cell r="G1143" t="str">
            <v>750 CC D072 35 ŞEFFAF ŞEFFAF PALET STANDART</v>
          </cell>
          <cell r="J1143">
            <v>5</v>
          </cell>
          <cell r="K1143">
            <v>5</v>
          </cell>
          <cell r="L1143">
            <v>14.66</v>
          </cell>
        </row>
        <row r="1144">
          <cell r="A1144">
            <v>45923</v>
          </cell>
          <cell r="F1144">
            <v>176</v>
          </cell>
          <cell r="G1144" t="str">
            <v>1000 CC D107 52 OPAK BEYAZ PALET STANDART</v>
          </cell>
          <cell r="J1144">
            <v>5</v>
          </cell>
          <cell r="K1144">
            <v>5</v>
          </cell>
          <cell r="L1144">
            <v>19.28</v>
          </cell>
        </row>
        <row r="1145">
          <cell r="A1145">
            <v>45923</v>
          </cell>
          <cell r="F1145">
            <v>131</v>
          </cell>
          <cell r="G1145" t="str">
            <v>100 CC Y274 25 ŞEFFAF TURUNCU PLT.IC.KOLI STANDART</v>
          </cell>
          <cell r="J1145">
            <v>3</v>
          </cell>
          <cell r="K1145">
            <v>3</v>
          </cell>
          <cell r="L1145">
            <v>17.87</v>
          </cell>
        </row>
        <row r="1146">
          <cell r="A1146">
            <v>45923</v>
          </cell>
          <cell r="F1146">
            <v>132</v>
          </cell>
          <cell r="G1146" t="str">
            <v>400 CC Y010 29 ŞEFFAF ŞEFFAF PALET STANDART</v>
          </cell>
          <cell r="J1146">
            <v>3</v>
          </cell>
          <cell r="K1146">
            <v>3</v>
          </cell>
          <cell r="L1146">
            <v>21.16</v>
          </cell>
        </row>
        <row r="1147">
          <cell r="A1147">
            <v>45923</v>
          </cell>
          <cell r="F1147">
            <v>134</v>
          </cell>
          <cell r="G1147" t="str">
            <v>200 CC Y078 25 ŞEFFAF SARI PALET KISA</v>
          </cell>
          <cell r="J1147">
            <v>3</v>
          </cell>
          <cell r="K1147">
            <v>3</v>
          </cell>
          <cell r="L1147">
            <v>15.7</v>
          </cell>
        </row>
        <row r="1148">
          <cell r="A1148">
            <v>45923</v>
          </cell>
          <cell r="F1148">
            <v>135</v>
          </cell>
          <cell r="G1148" t="str">
            <v>110 CC Y343 25 OPAK SİYAH PLT.IC.KOLI STANDART</v>
          </cell>
          <cell r="J1148">
            <v>2</v>
          </cell>
          <cell r="K1148">
            <v>2</v>
          </cell>
          <cell r="L1148">
            <v>19.87</v>
          </cell>
        </row>
        <row r="1149">
          <cell r="A1149">
            <v>45923</v>
          </cell>
          <cell r="F1149">
            <v>203</v>
          </cell>
          <cell r="G1149" t="str">
            <v>E129 6 ŞEFFAF SARI PLT.IC.KOLI STANDART</v>
          </cell>
          <cell r="J1149">
            <v>8</v>
          </cell>
          <cell r="K1149">
            <v>8</v>
          </cell>
          <cell r="L1149">
            <v>18.5</v>
          </cell>
        </row>
        <row r="1150">
          <cell r="A1150">
            <v>45923</v>
          </cell>
          <cell r="F1150">
            <v>204</v>
          </cell>
          <cell r="G1150" t="str">
            <v>E026 68 MM 8 OPAK BEYAZ KOLI STANDART</v>
          </cell>
          <cell r="J1150">
            <v>4</v>
          </cell>
          <cell r="K1150">
            <v>4</v>
          </cell>
          <cell r="L1150">
            <v>31.6</v>
          </cell>
        </row>
        <row r="1151">
          <cell r="A1151">
            <v>45923</v>
          </cell>
          <cell r="F1151">
            <v>205</v>
          </cell>
          <cell r="G1151" t="str">
            <v>E049 24 MM KAPAK 3 OPAK YEŞİL PLT.IC.KOLI STANDART</v>
          </cell>
          <cell r="J1151">
            <v>12</v>
          </cell>
          <cell r="K1151">
            <v>10</v>
          </cell>
          <cell r="L1151">
            <v>23.5</v>
          </cell>
        </row>
        <row r="1152">
          <cell r="A1152">
            <v>45923</v>
          </cell>
          <cell r="F1152">
            <v>207</v>
          </cell>
          <cell r="G1152" t="str">
            <v>E121A 28MM TRIMSIZ KAPAK 10 OPAK KIRMIZI KOLI STANDART</v>
          </cell>
          <cell r="J1152">
            <v>12</v>
          </cell>
          <cell r="K1152">
            <v>9</v>
          </cell>
          <cell r="L1152">
            <v>29.47</v>
          </cell>
        </row>
        <row r="1153">
          <cell r="A1153">
            <v>45923</v>
          </cell>
          <cell r="F1153">
            <v>209</v>
          </cell>
          <cell r="G1153" t="str">
            <v>E125 62 MM BAHARAT FLİPTOP 12 OPAK YEŞİL PLT.IC.KOLI STANDART</v>
          </cell>
          <cell r="J1153">
            <v>4</v>
          </cell>
          <cell r="K1153">
            <v>3</v>
          </cell>
          <cell r="L1153">
            <v>27.2</v>
          </cell>
        </row>
        <row r="1154">
          <cell r="A1154">
            <v>45923</v>
          </cell>
          <cell r="F1154">
            <v>210</v>
          </cell>
          <cell r="G1154" t="str">
            <v>E031 110 MM 17 OPAK SARI PLT.IC.KOLI STANDART</v>
          </cell>
          <cell r="J1154">
            <v>4</v>
          </cell>
          <cell r="K1154">
            <v>4</v>
          </cell>
          <cell r="L1154">
            <v>22</v>
          </cell>
        </row>
        <row r="1155">
          <cell r="A1155">
            <v>45923</v>
          </cell>
          <cell r="F1155">
            <v>303</v>
          </cell>
          <cell r="G1155" t="str">
            <v>PR014 110 MM 12 GÖZ YİVLİ PREFORM 91 ŞEFFAF ŞEFFAF KOLI STANDART</v>
          </cell>
          <cell r="J1155">
            <v>12</v>
          </cell>
          <cell r="K1155">
            <v>7</v>
          </cell>
          <cell r="L1155">
            <v>37.5</v>
          </cell>
        </row>
        <row r="1156">
          <cell r="A1156">
            <v>45923</v>
          </cell>
          <cell r="F1156">
            <v>501</v>
          </cell>
          <cell r="G1156" t="str">
            <v>1000 CC P128 43 OPAK BEYAZ PALET STANDART</v>
          </cell>
          <cell r="J1156">
            <v>6</v>
          </cell>
          <cell r="K1156">
            <v>6</v>
          </cell>
          <cell r="L1156">
            <v>19.02</v>
          </cell>
        </row>
        <row r="1157">
          <cell r="A1157">
            <v>45923</v>
          </cell>
          <cell r="F1157">
            <v>212</v>
          </cell>
          <cell r="G1157" t="str">
            <v>E123 28 MM FLİPTOP 13 ŞEFFAF SARI PLT.IC.KOLI STANDART</v>
          </cell>
          <cell r="J1157">
            <v>12</v>
          </cell>
          <cell r="K1157">
            <v>12</v>
          </cell>
          <cell r="L1157">
            <v>33.869999999999997</v>
          </cell>
        </row>
        <row r="1158">
          <cell r="A1158">
            <v>45923</v>
          </cell>
          <cell r="F1158">
            <v>211</v>
          </cell>
          <cell r="G1158" t="str">
            <v>E039 24 MM PİM 1 ŞEFFAF ŞEFFAF PLT.IC.KOLI STANDART</v>
          </cell>
          <cell r="J1158">
            <v>24</v>
          </cell>
          <cell r="K1158">
            <v>9</v>
          </cell>
          <cell r="L1158">
            <v>19.5</v>
          </cell>
        </row>
        <row r="1159">
          <cell r="A1159">
            <v>45924</v>
          </cell>
          <cell r="F1159">
            <v>102</v>
          </cell>
          <cell r="G1159" t="str">
            <v>500 CC SP052 25 ŞEFFAF ŞEFFAF PALET STANDART</v>
          </cell>
          <cell r="J1159">
            <v>6</v>
          </cell>
          <cell r="K1159">
            <v>6</v>
          </cell>
          <cell r="L1159">
            <v>15.53</v>
          </cell>
        </row>
        <row r="1160">
          <cell r="A1160">
            <v>45924</v>
          </cell>
          <cell r="F1160">
            <v>103</v>
          </cell>
          <cell r="G1160" t="str">
            <v>700 CC SP009 40 ŞEFFAF SARI PLS. PLT STANDART</v>
          </cell>
          <cell r="J1160">
            <v>5</v>
          </cell>
          <cell r="K1160">
            <v>5</v>
          </cell>
          <cell r="L1160">
            <v>14.68</v>
          </cell>
        </row>
        <row r="1161">
          <cell r="A1161">
            <v>45924</v>
          </cell>
          <cell r="F1161">
            <v>104</v>
          </cell>
          <cell r="G1161" t="str">
            <v>100 CC SP055 20 ŞEFFAF ŞEFFAF YÜKSEK PALET STANDART</v>
          </cell>
          <cell r="J1161">
            <v>9</v>
          </cell>
          <cell r="K1161">
            <v>9</v>
          </cell>
          <cell r="L1161">
            <v>15.22</v>
          </cell>
        </row>
        <row r="1162">
          <cell r="A1162">
            <v>45924</v>
          </cell>
          <cell r="F1162">
            <v>162</v>
          </cell>
          <cell r="G1162" t="str">
            <v>1000 CC X233 52 ŞEFFAF ŞEFFAF PALET STANDART</v>
          </cell>
          <cell r="J1162">
            <v>2</v>
          </cell>
          <cell r="K1162">
            <v>2</v>
          </cell>
          <cell r="L1162">
            <v>24</v>
          </cell>
        </row>
        <row r="1163">
          <cell r="A1163">
            <v>45924</v>
          </cell>
          <cell r="F1163">
            <v>164</v>
          </cell>
          <cell r="G1163" t="str">
            <v>1500 CC X381 52 ŞEFFAF ŞEFFAF PALET STANDART</v>
          </cell>
          <cell r="J1163">
            <v>2</v>
          </cell>
          <cell r="K1163">
            <v>2</v>
          </cell>
          <cell r="L1163">
            <v>22.79</v>
          </cell>
        </row>
        <row r="1164">
          <cell r="A1164">
            <v>45924</v>
          </cell>
          <cell r="F1164">
            <v>181</v>
          </cell>
          <cell r="G1164" t="str">
            <v>750 CC Z105 28 OPAK MAVİ PLS. PLT STANDART</v>
          </cell>
          <cell r="J1164">
            <v>4</v>
          </cell>
          <cell r="K1164">
            <v>4</v>
          </cell>
          <cell r="L1164">
            <v>15</v>
          </cell>
        </row>
        <row r="1165">
          <cell r="A1165">
            <v>45924</v>
          </cell>
          <cell r="F1165">
            <v>182</v>
          </cell>
          <cell r="G1165" t="str">
            <v>400 CC Z101 26 ŞEFFAF ŞEFFAF PALET STANDART</v>
          </cell>
          <cell r="J1165">
            <v>4</v>
          </cell>
          <cell r="K1165">
            <v>4</v>
          </cell>
          <cell r="L1165">
            <v>14.16</v>
          </cell>
        </row>
        <row r="1166">
          <cell r="A1166">
            <v>45924</v>
          </cell>
          <cell r="F1166">
            <v>402</v>
          </cell>
          <cell r="G1166" t="str">
            <v>1500 CC S043 74 OPAK BEYAZ PALET STANDART</v>
          </cell>
          <cell r="J1166">
            <v>2</v>
          </cell>
          <cell r="K1166">
            <v>2</v>
          </cell>
          <cell r="L1166">
            <v>10</v>
          </cell>
        </row>
        <row r="1167">
          <cell r="A1167">
            <v>45924</v>
          </cell>
          <cell r="F1167">
            <v>404</v>
          </cell>
          <cell r="G1167" t="str">
            <v>1000 CC S057 43 ŞEFFAF ŞEFFAF YÜKSEK PALET STANDART</v>
          </cell>
          <cell r="J1167">
            <v>2</v>
          </cell>
          <cell r="K1167">
            <v>2</v>
          </cell>
          <cell r="L1167">
            <v>7.7</v>
          </cell>
        </row>
        <row r="1168">
          <cell r="A1168">
            <v>45924</v>
          </cell>
          <cell r="F1168">
            <v>172</v>
          </cell>
          <cell r="G1168" t="str">
            <v>1000 CC D057 52 OPAK MAVİ PALET STANDART</v>
          </cell>
          <cell r="J1168">
            <v>4</v>
          </cell>
          <cell r="K1168">
            <v>4</v>
          </cell>
          <cell r="L1168">
            <v>20.32</v>
          </cell>
        </row>
        <row r="1169">
          <cell r="A1169">
            <v>45924</v>
          </cell>
          <cell r="F1169">
            <v>174</v>
          </cell>
          <cell r="G1169" t="str">
            <v>350 CC D026 45 OPAK SİYAH PALET STANDART</v>
          </cell>
          <cell r="J1169">
            <v>3</v>
          </cell>
          <cell r="K1169">
            <v>3</v>
          </cell>
          <cell r="L1169">
            <v>17.96</v>
          </cell>
        </row>
        <row r="1170">
          <cell r="A1170">
            <v>45924</v>
          </cell>
          <cell r="F1170">
            <v>176</v>
          </cell>
          <cell r="G1170" t="str">
            <v>1000 CC D107 52 OPAK BEYAZ PALET STANDART</v>
          </cell>
          <cell r="J1170">
            <v>5</v>
          </cell>
          <cell r="K1170">
            <v>5</v>
          </cell>
          <cell r="L1170">
            <v>18.21</v>
          </cell>
        </row>
        <row r="1171">
          <cell r="A1171">
            <v>45924</v>
          </cell>
          <cell r="F1171">
            <v>177</v>
          </cell>
          <cell r="G1171" t="str">
            <v>400 CC D099 45 ŞEFFAF ŞEFFAF PALET STANDART</v>
          </cell>
          <cell r="J1171">
            <v>4</v>
          </cell>
          <cell r="K1171">
            <v>4</v>
          </cell>
          <cell r="L1171">
            <v>15.63</v>
          </cell>
        </row>
        <row r="1172">
          <cell r="A1172">
            <v>45924</v>
          </cell>
          <cell r="F1172">
            <v>131</v>
          </cell>
          <cell r="G1172" t="str">
            <v>100 CC Y274 25 ŞEFFAF TURUNCU PLT.IC.KOLI STANDART</v>
          </cell>
          <cell r="J1172">
            <v>3</v>
          </cell>
          <cell r="K1172">
            <v>3</v>
          </cell>
          <cell r="L1172">
            <v>17.850000000000001</v>
          </cell>
        </row>
        <row r="1173">
          <cell r="A1173">
            <v>45924</v>
          </cell>
          <cell r="F1173">
            <v>132</v>
          </cell>
          <cell r="G1173" t="str">
            <v>400 CC Y010 29 ŞEFFAF ŞEFFAF PALET STANDART</v>
          </cell>
          <cell r="J1173">
            <v>3</v>
          </cell>
          <cell r="K1173">
            <v>3</v>
          </cell>
          <cell r="L1173">
            <v>21.11</v>
          </cell>
        </row>
        <row r="1174">
          <cell r="A1174">
            <v>45924</v>
          </cell>
          <cell r="F1174">
            <v>134</v>
          </cell>
          <cell r="G1174" t="str">
            <v>200 CC Y078 25 ŞEFFAF TURUNCU PALET KISA</v>
          </cell>
          <cell r="J1174">
            <v>3</v>
          </cell>
          <cell r="K1174">
            <v>3</v>
          </cell>
          <cell r="L1174">
            <v>15.75</v>
          </cell>
        </row>
        <row r="1175">
          <cell r="A1175">
            <v>45924</v>
          </cell>
          <cell r="F1175">
            <v>135</v>
          </cell>
          <cell r="G1175" t="str">
            <v>110 CC Y343 25 OPAK SİYAH PLT.IC.KOLI STANDART</v>
          </cell>
          <cell r="J1175">
            <v>2</v>
          </cell>
          <cell r="K1175">
            <v>2</v>
          </cell>
          <cell r="L1175">
            <v>19.88</v>
          </cell>
        </row>
        <row r="1176">
          <cell r="A1176">
            <v>45924</v>
          </cell>
          <cell r="F1176">
            <v>202</v>
          </cell>
          <cell r="G1176" t="str">
            <v>E008 24 MM 9 OPAK SİYAH KOLI STANDART</v>
          </cell>
          <cell r="J1176">
            <v>8</v>
          </cell>
          <cell r="K1176">
            <v>7</v>
          </cell>
          <cell r="L1176">
            <v>35.5</v>
          </cell>
        </row>
        <row r="1177">
          <cell r="A1177">
            <v>45924</v>
          </cell>
          <cell r="F1177">
            <v>203</v>
          </cell>
          <cell r="G1177" t="str">
            <v>E129 6 ŞEFFAF SARI PLT.IC.KOLI STANDART</v>
          </cell>
          <cell r="J1177">
            <v>8</v>
          </cell>
          <cell r="K1177">
            <v>8</v>
          </cell>
          <cell r="L1177">
            <v>18.5</v>
          </cell>
        </row>
        <row r="1178">
          <cell r="A1178">
            <v>45924</v>
          </cell>
          <cell r="F1178">
            <v>204</v>
          </cell>
          <cell r="G1178" t="str">
            <v>E026 68 MM 8 OPAK BEYAZ KOLI STANDART</v>
          </cell>
          <cell r="J1178">
            <v>4</v>
          </cell>
          <cell r="K1178">
            <v>4</v>
          </cell>
          <cell r="L1178">
            <v>31.6</v>
          </cell>
        </row>
        <row r="1179">
          <cell r="A1179">
            <v>45924</v>
          </cell>
          <cell r="F1179">
            <v>205</v>
          </cell>
          <cell r="G1179" t="str">
            <v>E049 24 MM KAPAK 3 OPAK YEŞİL PLT.IC.KOLI STANDART</v>
          </cell>
          <cell r="J1179">
            <v>12</v>
          </cell>
          <cell r="K1179">
            <v>10</v>
          </cell>
          <cell r="L1179">
            <v>23.3</v>
          </cell>
        </row>
        <row r="1180">
          <cell r="A1180">
            <v>45924</v>
          </cell>
          <cell r="F1180">
            <v>207</v>
          </cell>
          <cell r="G1180" t="str">
            <v>E121A 28MM TRIMSIZ KAPAK 10 OPAK KIRMIZI KOLI STANDART</v>
          </cell>
          <cell r="J1180">
            <v>12</v>
          </cell>
          <cell r="K1180">
            <v>9</v>
          </cell>
          <cell r="L1180">
            <v>29.61</v>
          </cell>
        </row>
        <row r="1181">
          <cell r="A1181">
            <v>45924</v>
          </cell>
          <cell r="F1181">
            <v>209</v>
          </cell>
          <cell r="G1181" t="str">
            <v>E125 62 MM BAHARAT FLİPTOP 12 OPAK YEŞİL PLT.IC.KOLI STANDART</v>
          </cell>
          <cell r="J1181">
            <v>4</v>
          </cell>
          <cell r="K1181">
            <v>3</v>
          </cell>
          <cell r="L1181">
            <v>27.5</v>
          </cell>
        </row>
        <row r="1182">
          <cell r="A1182">
            <v>45924</v>
          </cell>
          <cell r="F1182">
            <v>501</v>
          </cell>
          <cell r="G1182" t="str">
            <v>1000 CC P128 43 OPAK BEYAZ PALET STANDART</v>
          </cell>
          <cell r="J1182">
            <v>6</v>
          </cell>
          <cell r="K1182">
            <v>6</v>
          </cell>
          <cell r="L1182">
            <v>18.02</v>
          </cell>
        </row>
        <row r="1183">
          <cell r="A1183">
            <v>45924</v>
          </cell>
          <cell r="F1183">
            <v>212</v>
          </cell>
          <cell r="G1183" t="str">
            <v>E123 28 MM FLİPTOP 13 ŞEFFAF SARI PLT.IC.KOLI STANDART</v>
          </cell>
          <cell r="J1183">
            <v>12</v>
          </cell>
          <cell r="K1183">
            <v>11</v>
          </cell>
          <cell r="L1183">
            <v>33.67</v>
          </cell>
        </row>
        <row r="1184">
          <cell r="A1184">
            <v>45926</v>
          </cell>
          <cell r="F1184">
            <v>102</v>
          </cell>
          <cell r="G1184" t="str">
            <v>400 CC SP040 25 ŞEFFAF ŞEFFAF PLS. PLT K.TAVA STANDART</v>
          </cell>
          <cell r="J1184">
            <v>6</v>
          </cell>
          <cell r="K1184">
            <v>6</v>
          </cell>
          <cell r="L1184">
            <v>12.79</v>
          </cell>
        </row>
        <row r="1185">
          <cell r="A1185">
            <v>45926</v>
          </cell>
          <cell r="F1185">
            <v>103</v>
          </cell>
          <cell r="G1185" t="str">
            <v>700 CC SP009 40 ŞEFFAF SARI PLS. PLT STANDART</v>
          </cell>
          <cell r="J1185">
            <v>5</v>
          </cell>
          <cell r="K1185">
            <v>5</v>
          </cell>
          <cell r="L1185">
            <v>14.72</v>
          </cell>
        </row>
        <row r="1186">
          <cell r="A1186">
            <v>45926</v>
          </cell>
          <cell r="F1186">
            <v>161</v>
          </cell>
          <cell r="G1186" t="str">
            <v>1000 CC X288 45 ŞEFFAF ŞEFFAF PLS. PLT STANDART</v>
          </cell>
          <cell r="J1186">
            <v>2</v>
          </cell>
          <cell r="K1186">
            <v>2</v>
          </cell>
          <cell r="L1186">
            <v>21</v>
          </cell>
        </row>
        <row r="1187">
          <cell r="A1187">
            <v>45926</v>
          </cell>
          <cell r="F1187">
            <v>162</v>
          </cell>
          <cell r="G1187" t="str">
            <v>1000 CC X233 52 ŞEFFAF ŞEFFAF PALET STANDART</v>
          </cell>
          <cell r="J1187">
            <v>2</v>
          </cell>
          <cell r="K1187">
            <v>2</v>
          </cell>
          <cell r="L1187">
            <v>24</v>
          </cell>
        </row>
        <row r="1188">
          <cell r="A1188">
            <v>45926</v>
          </cell>
          <cell r="F1188">
            <v>163</v>
          </cell>
          <cell r="G1188" t="str">
            <v>500 CC X200 35 ŞEFFAF MAVİ PALET STANDART</v>
          </cell>
          <cell r="J1188">
            <v>2</v>
          </cell>
          <cell r="K1188">
            <v>2</v>
          </cell>
          <cell r="L1188">
            <v>19.489999999999998</v>
          </cell>
        </row>
        <row r="1189">
          <cell r="A1189">
            <v>45926</v>
          </cell>
          <cell r="F1189">
            <v>164</v>
          </cell>
          <cell r="G1189" t="str">
            <v>1000 CC X134 52 ŞEFFAF ŞEFFAF PALET STANDART</v>
          </cell>
          <cell r="J1189">
            <v>2</v>
          </cell>
          <cell r="K1189">
            <v>2</v>
          </cell>
          <cell r="L1189">
            <v>22.79</v>
          </cell>
        </row>
        <row r="1190">
          <cell r="A1190">
            <v>45926</v>
          </cell>
          <cell r="F1190">
            <v>181</v>
          </cell>
          <cell r="G1190" t="str">
            <v>750 CC Z104 28 ŞEFFAF ŞEFFAF PLS. PLT STANDART</v>
          </cell>
          <cell r="J1190">
            <v>4</v>
          </cell>
          <cell r="K1190">
            <v>4</v>
          </cell>
          <cell r="L1190">
            <v>14.5</v>
          </cell>
        </row>
        <row r="1191">
          <cell r="A1191">
            <v>45926</v>
          </cell>
          <cell r="F1191">
            <v>401</v>
          </cell>
          <cell r="G1191" t="str">
            <v>1500 CC S011 125 ŞEFFAF ŞEFFAF PLS. PLT STANDART</v>
          </cell>
          <cell r="J1191">
            <v>1</v>
          </cell>
          <cell r="K1191">
            <v>1</v>
          </cell>
          <cell r="L1191">
            <v>9.2899999999999991</v>
          </cell>
        </row>
        <row r="1192">
          <cell r="A1192">
            <v>45926</v>
          </cell>
          <cell r="F1192">
            <v>172</v>
          </cell>
          <cell r="G1192" t="str">
            <v>1000 CC D057 52 OPAK MAVİ PALET STANDART</v>
          </cell>
          <cell r="J1192">
            <v>4</v>
          </cell>
          <cell r="K1192">
            <v>4</v>
          </cell>
          <cell r="L1192">
            <v>17.41</v>
          </cell>
        </row>
        <row r="1193">
          <cell r="A1193">
            <v>45926</v>
          </cell>
          <cell r="F1193">
            <v>174</v>
          </cell>
          <cell r="G1193" t="str">
            <v>350 CC D026 45 OPAK SİYAH PALET STANDART</v>
          </cell>
          <cell r="J1193">
            <v>3</v>
          </cell>
          <cell r="K1193">
            <v>3</v>
          </cell>
          <cell r="L1193">
            <v>15.66</v>
          </cell>
        </row>
        <row r="1194">
          <cell r="A1194">
            <v>45926</v>
          </cell>
          <cell r="F1194">
            <v>176</v>
          </cell>
          <cell r="G1194" t="str">
            <v>1000 CC D107 52 OPAK BEYAZ PALET STANDART</v>
          </cell>
          <cell r="J1194">
            <v>5</v>
          </cell>
          <cell r="K1194">
            <v>5</v>
          </cell>
          <cell r="L1194">
            <v>19.079999999999998</v>
          </cell>
        </row>
        <row r="1195">
          <cell r="A1195">
            <v>45926</v>
          </cell>
          <cell r="F1195">
            <v>131</v>
          </cell>
          <cell r="G1195" t="str">
            <v>100 CC Y274 25 ŞEFFAF TURUNCU PLT.IC.KOLI STANDART</v>
          </cell>
          <cell r="J1195">
            <v>3</v>
          </cell>
          <cell r="K1195">
            <v>3</v>
          </cell>
          <cell r="L1195">
            <v>18.420000000000002</v>
          </cell>
        </row>
        <row r="1196">
          <cell r="A1196">
            <v>45926</v>
          </cell>
          <cell r="F1196">
            <v>132</v>
          </cell>
          <cell r="G1196" t="str">
            <v>200 CC Y296 25 OPAK BEYAZ PALET STANDART</v>
          </cell>
          <cell r="J1196">
            <v>3</v>
          </cell>
          <cell r="K1196">
            <v>3</v>
          </cell>
          <cell r="L1196">
            <v>17.36</v>
          </cell>
        </row>
        <row r="1197">
          <cell r="A1197">
            <v>45926</v>
          </cell>
          <cell r="F1197">
            <v>133</v>
          </cell>
          <cell r="G1197" t="str">
            <v>100 CC Y243 19 ŞEFFAF TURUNCU PLT.IC.KOLI STANDART</v>
          </cell>
          <cell r="J1197">
            <v>4</v>
          </cell>
          <cell r="K1197">
            <v>4</v>
          </cell>
          <cell r="L1197">
            <v>16.97</v>
          </cell>
        </row>
        <row r="1198">
          <cell r="A1198">
            <v>45926</v>
          </cell>
          <cell r="F1198">
            <v>134</v>
          </cell>
          <cell r="G1198" t="str">
            <v>200 CC Y078 25 OPAK BEYAZ PALET KISA</v>
          </cell>
          <cell r="J1198">
            <v>3</v>
          </cell>
          <cell r="K1198">
            <v>3</v>
          </cell>
          <cell r="L1198">
            <v>15.75</v>
          </cell>
        </row>
        <row r="1199">
          <cell r="A1199">
            <v>45926</v>
          </cell>
          <cell r="F1199">
            <v>135</v>
          </cell>
          <cell r="G1199" t="str">
            <v>110 CC Y343 25 OPAK SİYAH PLT.IC.KOLI STANDART</v>
          </cell>
          <cell r="J1199">
            <v>2</v>
          </cell>
          <cell r="K1199">
            <v>2</v>
          </cell>
          <cell r="L1199">
            <v>19.940000000000001</v>
          </cell>
        </row>
        <row r="1200">
          <cell r="A1200">
            <v>45926</v>
          </cell>
          <cell r="F1200">
            <v>138</v>
          </cell>
          <cell r="G1200" t="str">
            <v>300 CC Y347 26 ŞEFFAF ŞEFFAF PLS. PLT STANDART</v>
          </cell>
          <cell r="J1200">
            <v>3</v>
          </cell>
          <cell r="K1200">
            <v>3</v>
          </cell>
          <cell r="L1200">
            <v>13.38</v>
          </cell>
        </row>
        <row r="1201">
          <cell r="A1201">
            <v>45926</v>
          </cell>
          <cell r="F1201">
            <v>203</v>
          </cell>
          <cell r="G1201" t="str">
            <v>E129 6 ŞEFFAF SARI PLT.IC.KOLI STANDART</v>
          </cell>
          <cell r="J1201">
            <v>8</v>
          </cell>
          <cell r="K1201">
            <v>8</v>
          </cell>
          <cell r="L1201">
            <v>18.3</v>
          </cell>
        </row>
        <row r="1202">
          <cell r="A1202">
            <v>45926</v>
          </cell>
          <cell r="F1202">
            <v>205</v>
          </cell>
          <cell r="G1202" t="str">
            <v>E049 24 MM KAPAK 3 OPAK YEŞİL PLT.IC.KOLI STANDART</v>
          </cell>
          <cell r="J1202">
            <v>12</v>
          </cell>
          <cell r="K1202">
            <v>10</v>
          </cell>
          <cell r="L1202">
            <v>23.2</v>
          </cell>
        </row>
        <row r="1203">
          <cell r="A1203">
            <v>45926</v>
          </cell>
          <cell r="F1203">
            <v>209</v>
          </cell>
          <cell r="G1203" t="str">
            <v>E125 62 MM BAHARAT FLİPTOP 12 OPAK SİYAH PLT.IC.KOLI STANDART</v>
          </cell>
          <cell r="J1203">
            <v>4</v>
          </cell>
          <cell r="K1203">
            <v>3</v>
          </cell>
          <cell r="L1203">
            <v>27.1</v>
          </cell>
        </row>
        <row r="1204">
          <cell r="A1204">
            <v>45926</v>
          </cell>
          <cell r="F1204">
            <v>210</v>
          </cell>
          <cell r="G1204" t="str">
            <v>E031B 110 MM FOLYOLU 17 OPAK YEŞİL PLT.IC.KOLI STANDART</v>
          </cell>
          <cell r="J1204">
            <v>4</v>
          </cell>
          <cell r="K1204">
            <v>3</v>
          </cell>
          <cell r="L1204">
            <v>20.9</v>
          </cell>
        </row>
        <row r="1205">
          <cell r="A1205">
            <v>45926</v>
          </cell>
          <cell r="F1205">
            <v>302</v>
          </cell>
          <cell r="G1205" t="str">
            <v>PR017 38 MM 12 GÖZ YİVLİ PREFORM  73 OPAK BEYAZ KOLI STANDART</v>
          </cell>
          <cell r="J1205">
            <v>12</v>
          </cell>
          <cell r="K1205">
            <v>11</v>
          </cell>
          <cell r="L1205">
            <v>54.95</v>
          </cell>
        </row>
        <row r="1206">
          <cell r="A1206">
            <v>45926</v>
          </cell>
          <cell r="F1206">
            <v>303</v>
          </cell>
          <cell r="G1206" t="str">
            <v>PR011 110 MM 8 GÖZ YİVLİ PREFORM 125 ŞEFFAF ŞEFFAF KOLI STANDART</v>
          </cell>
          <cell r="J1206">
            <v>12</v>
          </cell>
          <cell r="K1206">
            <v>7</v>
          </cell>
          <cell r="L1206">
            <v>37.6</v>
          </cell>
        </row>
        <row r="1207">
          <cell r="A1207">
            <v>45929</v>
          </cell>
          <cell r="F1207">
            <v>102</v>
          </cell>
          <cell r="G1207" t="str">
            <v>1500 CC SP026 52 ŞEFFAF ŞEFFAF PALET STANDART</v>
          </cell>
          <cell r="J1207">
            <v>6</v>
          </cell>
          <cell r="K1207">
            <v>6</v>
          </cell>
          <cell r="L1207">
            <v>12.88</v>
          </cell>
        </row>
        <row r="1208">
          <cell r="A1208">
            <v>45929</v>
          </cell>
          <cell r="F1208">
            <v>103</v>
          </cell>
          <cell r="G1208" t="str">
            <v>700 CC SP009 40 ŞEFFAF SARI PLS. PLT STANDART</v>
          </cell>
          <cell r="J1208">
            <v>5</v>
          </cell>
          <cell r="K1208">
            <v>5</v>
          </cell>
          <cell r="L1208">
            <v>15.12</v>
          </cell>
        </row>
        <row r="1209">
          <cell r="A1209">
            <v>45929</v>
          </cell>
          <cell r="F1209">
            <v>163</v>
          </cell>
          <cell r="G1209" t="str">
            <v>500 CC X200 35 ŞEFFAF ŞEFFAF PALET STANDART</v>
          </cell>
          <cell r="J1209">
            <v>2</v>
          </cell>
          <cell r="K1209">
            <v>2</v>
          </cell>
          <cell r="L1209">
            <v>19.5</v>
          </cell>
        </row>
        <row r="1210">
          <cell r="A1210">
            <v>45929</v>
          </cell>
          <cell r="F1210">
            <v>164</v>
          </cell>
          <cell r="G1210" t="str">
            <v>1000 CC X404 52 ŞEFFAF ŞEFFAF PALET STANDART</v>
          </cell>
          <cell r="J1210">
            <v>2</v>
          </cell>
          <cell r="K1210">
            <v>2</v>
          </cell>
          <cell r="L1210">
            <v>22.8</v>
          </cell>
        </row>
        <row r="1211">
          <cell r="A1211">
            <v>45929</v>
          </cell>
          <cell r="F1211">
            <v>401</v>
          </cell>
          <cell r="G1211" t="str">
            <v>1500 CC S011 125 ŞEFFAF ŞEFFAF PLS. PLT STANDART</v>
          </cell>
          <cell r="J1211">
            <v>1</v>
          </cell>
          <cell r="K1211">
            <v>1</v>
          </cell>
          <cell r="L1211">
            <v>11.37</v>
          </cell>
        </row>
        <row r="1212">
          <cell r="A1212">
            <v>45929</v>
          </cell>
          <cell r="F1212">
            <v>172</v>
          </cell>
          <cell r="G1212" t="str">
            <v>1000 CC D057 52 OPAK MAVİ PALET STANDART</v>
          </cell>
          <cell r="J1212">
            <v>4</v>
          </cell>
          <cell r="K1212">
            <v>4</v>
          </cell>
          <cell r="L1212">
            <v>17.440000000000001</v>
          </cell>
        </row>
        <row r="1213">
          <cell r="A1213">
            <v>45929</v>
          </cell>
          <cell r="F1213">
            <v>174</v>
          </cell>
          <cell r="G1213" t="str">
            <v>350 CC D026 45 OPAK SİYAH PALET STANDART</v>
          </cell>
          <cell r="J1213">
            <v>3</v>
          </cell>
          <cell r="K1213">
            <v>3</v>
          </cell>
          <cell r="L1213">
            <v>14.7</v>
          </cell>
        </row>
        <row r="1214">
          <cell r="A1214">
            <v>45929</v>
          </cell>
          <cell r="F1214">
            <v>175</v>
          </cell>
          <cell r="G1214" t="str">
            <v>500 CC D085 35 OPAK BEYAZ K.TAVA PALET STANDART</v>
          </cell>
          <cell r="J1214">
            <v>5</v>
          </cell>
          <cell r="K1214">
            <v>5</v>
          </cell>
          <cell r="L1214">
            <v>15.97</v>
          </cell>
        </row>
        <row r="1215">
          <cell r="A1215">
            <v>45929</v>
          </cell>
          <cell r="F1215">
            <v>176</v>
          </cell>
          <cell r="G1215" t="str">
            <v>1000 CC D107 52 OPAK BEYAZ PALET STANDART</v>
          </cell>
          <cell r="J1215">
            <v>5</v>
          </cell>
          <cell r="K1215">
            <v>5</v>
          </cell>
          <cell r="L1215">
            <v>17.18</v>
          </cell>
        </row>
        <row r="1216">
          <cell r="A1216">
            <v>45929</v>
          </cell>
          <cell r="F1216">
            <v>131</v>
          </cell>
          <cell r="G1216" t="str">
            <v>250 CC Y115 25 ŞEFFAF MOR PALET STANDART</v>
          </cell>
          <cell r="J1216">
            <v>3</v>
          </cell>
          <cell r="K1216">
            <v>3</v>
          </cell>
          <cell r="L1216">
            <v>18.47</v>
          </cell>
        </row>
        <row r="1217">
          <cell r="A1217">
            <v>45929</v>
          </cell>
          <cell r="F1217">
            <v>133</v>
          </cell>
          <cell r="G1217" t="str">
            <v>100 CC Y243 19 ŞEFFAF TURUNCU PLT.IC.KOLI STANDART</v>
          </cell>
          <cell r="J1217">
            <v>4</v>
          </cell>
          <cell r="K1217">
            <v>4</v>
          </cell>
          <cell r="L1217">
            <v>17.39</v>
          </cell>
        </row>
        <row r="1218">
          <cell r="A1218">
            <v>45929</v>
          </cell>
          <cell r="F1218">
            <v>134</v>
          </cell>
          <cell r="G1218" t="str">
            <v>200 CC Y078 25 OPAK BEYAZ PALET KISA</v>
          </cell>
          <cell r="J1218">
            <v>3</v>
          </cell>
          <cell r="K1218">
            <v>3</v>
          </cell>
          <cell r="L1218">
            <v>17.04</v>
          </cell>
        </row>
        <row r="1219">
          <cell r="A1219">
            <v>45929</v>
          </cell>
          <cell r="F1219">
            <v>203</v>
          </cell>
          <cell r="G1219" t="str">
            <v>E129 6 ŞEFFAF SARI PLT.IC.KOLI STANDART</v>
          </cell>
          <cell r="J1219">
            <v>8</v>
          </cell>
          <cell r="K1219">
            <v>8</v>
          </cell>
          <cell r="L1219">
            <v>17.600000000000001</v>
          </cell>
        </row>
        <row r="1220">
          <cell r="A1220">
            <v>45929</v>
          </cell>
          <cell r="F1220">
            <v>205</v>
          </cell>
          <cell r="G1220" t="str">
            <v>E049 24 MM KAPAK 3 OPAK YEŞİL PLT.IC.KOLI STANDART</v>
          </cell>
          <cell r="J1220">
            <v>12</v>
          </cell>
          <cell r="K1220">
            <v>10</v>
          </cell>
          <cell r="L1220">
            <v>23.4</v>
          </cell>
        </row>
        <row r="1221">
          <cell r="A1221">
            <v>45929</v>
          </cell>
          <cell r="F1221">
            <v>207</v>
          </cell>
          <cell r="G1221" t="str">
            <v>E121A 28MM TRIMSIZ KAPAK 10 OPAK KIRMIZI KOLI STANDART</v>
          </cell>
          <cell r="J1221">
            <v>12</v>
          </cell>
          <cell r="K1221">
            <v>9</v>
          </cell>
          <cell r="L1221">
            <v>30.94</v>
          </cell>
        </row>
        <row r="1222">
          <cell r="A1222">
            <v>45929</v>
          </cell>
          <cell r="F1222">
            <v>209</v>
          </cell>
          <cell r="G1222" t="str">
            <v>E125 62 MM BAHARAT FLİPTOP 12 OPAK YEŞİL PLT.IC.KOLI STANDART</v>
          </cell>
          <cell r="J1222">
            <v>4</v>
          </cell>
          <cell r="K1222">
            <v>3</v>
          </cell>
          <cell r="L1222">
            <v>28.6</v>
          </cell>
        </row>
        <row r="1223">
          <cell r="A1223">
            <v>45929</v>
          </cell>
          <cell r="F1223">
            <v>210</v>
          </cell>
          <cell r="G1223" t="str">
            <v>E031B 110 MM FOLYOLU 17 OPAK GOLD PLT.IC.KOLI STANDART</v>
          </cell>
          <cell r="J1223">
            <v>4</v>
          </cell>
          <cell r="K1223">
            <v>3</v>
          </cell>
          <cell r="L1223">
            <v>20.8</v>
          </cell>
        </row>
        <row r="1224">
          <cell r="A1224">
            <v>45929</v>
          </cell>
          <cell r="F1224">
            <v>303</v>
          </cell>
          <cell r="G1224" t="str">
            <v>PR011 110 MM 8 GÖZ YİVLİ PREFORM 125 ŞEFFAF ŞEFFAF KOLI STANDART</v>
          </cell>
          <cell r="J1224">
            <v>8</v>
          </cell>
          <cell r="K1224">
            <v>8</v>
          </cell>
          <cell r="L1224">
            <v>49.8</v>
          </cell>
        </row>
        <row r="1225">
          <cell r="A1225">
            <v>45929</v>
          </cell>
          <cell r="F1225">
            <v>501</v>
          </cell>
          <cell r="G1225" t="str">
            <v>350 CC P119 28 OPAK SEDEFLİ BRONZ PALET STANDART</v>
          </cell>
          <cell r="J1225">
            <v>6</v>
          </cell>
          <cell r="K1225">
            <v>6</v>
          </cell>
          <cell r="L1225">
            <v>15.62</v>
          </cell>
        </row>
        <row r="1226">
          <cell r="A1226">
            <v>45929</v>
          </cell>
          <cell r="F1226">
            <v>212</v>
          </cell>
          <cell r="G1226" t="str">
            <v>E123 28 MM FLİPTOP 13 ŞEFFAF LİLA PLT.IC.KOLI STANDART</v>
          </cell>
          <cell r="J1226">
            <v>12</v>
          </cell>
          <cell r="K1226">
            <v>10</v>
          </cell>
          <cell r="L1226">
            <v>32.14</v>
          </cell>
        </row>
        <row r="1227">
          <cell r="A1227">
            <v>45930</v>
          </cell>
          <cell r="F1227">
            <v>102</v>
          </cell>
          <cell r="G1227" t="str">
            <v>1500 CC SP026 52 ŞEFFAF ŞEFFAF PALET STANDART</v>
          </cell>
          <cell r="J1227">
            <v>5</v>
          </cell>
          <cell r="K1227">
            <v>5</v>
          </cell>
          <cell r="L1227">
            <v>19.7</v>
          </cell>
        </row>
        <row r="1228">
          <cell r="A1228">
            <v>45930</v>
          </cell>
          <cell r="F1228">
            <v>103</v>
          </cell>
          <cell r="G1228" t="str">
            <v>700 CC SP009 40 ŞEFFAF SARI PLS. PLT STANDART</v>
          </cell>
          <cell r="J1228">
            <v>5</v>
          </cell>
          <cell r="K1228">
            <v>5</v>
          </cell>
          <cell r="L1228">
            <v>14.89</v>
          </cell>
        </row>
        <row r="1229">
          <cell r="A1229">
            <v>45930</v>
          </cell>
          <cell r="F1229">
            <v>104</v>
          </cell>
          <cell r="G1229" t="str">
            <v>150 CC SP020 20 ŞEFFAF ŞEFFAF PLS. PLT K.TAVA STANDART</v>
          </cell>
          <cell r="J1229">
            <v>9</v>
          </cell>
          <cell r="K1229">
            <v>9</v>
          </cell>
          <cell r="L1229">
            <v>12.82</v>
          </cell>
        </row>
        <row r="1230">
          <cell r="A1230">
            <v>45930</v>
          </cell>
          <cell r="F1230">
            <v>162</v>
          </cell>
          <cell r="G1230" t="str">
            <v>1000 CC X233 52 ŞEFFAF ŞEFFAF PALET STANDART</v>
          </cell>
          <cell r="J1230">
            <v>2</v>
          </cell>
          <cell r="K1230">
            <v>2</v>
          </cell>
          <cell r="L1230">
            <v>24</v>
          </cell>
        </row>
        <row r="1231">
          <cell r="A1231">
            <v>45930</v>
          </cell>
          <cell r="F1231">
            <v>182</v>
          </cell>
          <cell r="G1231" t="str">
            <v>450 CC Z103 26 ŞEFFAF MAVİ PALET STANDART</v>
          </cell>
          <cell r="J1231">
            <v>4</v>
          </cell>
          <cell r="K1231">
            <v>4</v>
          </cell>
          <cell r="L1231">
            <v>15.22</v>
          </cell>
        </row>
        <row r="1232">
          <cell r="A1232">
            <v>45930</v>
          </cell>
          <cell r="F1232">
            <v>401</v>
          </cell>
          <cell r="G1232" t="str">
            <v>1500 CC S011 125 ŞEFFAF ŞEFFAF PLS. PLT STANDART</v>
          </cell>
          <cell r="J1232">
            <v>1</v>
          </cell>
          <cell r="K1232">
            <v>1</v>
          </cell>
          <cell r="L1232">
            <v>11.7</v>
          </cell>
        </row>
        <row r="1233">
          <cell r="A1233">
            <v>45930</v>
          </cell>
          <cell r="F1233">
            <v>402</v>
          </cell>
          <cell r="G1233" t="str">
            <v>1500 CC S043 74 OPAK BEYAZ PALET STANDART</v>
          </cell>
          <cell r="J1233">
            <v>2</v>
          </cell>
          <cell r="K1233">
            <v>2</v>
          </cell>
          <cell r="L1233">
            <v>9</v>
          </cell>
        </row>
        <row r="1234">
          <cell r="A1234">
            <v>45930</v>
          </cell>
          <cell r="F1234">
            <v>172</v>
          </cell>
          <cell r="G1234" t="str">
            <v>1000 CC D057 52 OPAK MAVİ PALET STANDART</v>
          </cell>
          <cell r="J1234">
            <v>4</v>
          </cell>
          <cell r="K1234">
            <v>4</v>
          </cell>
          <cell r="L1234">
            <v>17.38</v>
          </cell>
        </row>
        <row r="1235">
          <cell r="A1235">
            <v>45930</v>
          </cell>
          <cell r="F1235">
            <v>173</v>
          </cell>
          <cell r="G1235" t="str">
            <v>950 CC D059 40 OPAK BEYAZ PALET STANDART</v>
          </cell>
          <cell r="J1235">
            <v>5</v>
          </cell>
          <cell r="K1235">
            <v>5</v>
          </cell>
          <cell r="L1235">
            <v>16.29</v>
          </cell>
        </row>
        <row r="1236">
          <cell r="A1236">
            <v>45930</v>
          </cell>
          <cell r="F1236">
            <v>174</v>
          </cell>
          <cell r="G1236" t="str">
            <v>350 CC D026 45 OPAK SİYAH PALET STANDART</v>
          </cell>
          <cell r="J1236">
            <v>3</v>
          </cell>
          <cell r="K1236">
            <v>3</v>
          </cell>
          <cell r="L1236">
            <v>13.53</v>
          </cell>
        </row>
        <row r="1237">
          <cell r="A1237">
            <v>45930</v>
          </cell>
          <cell r="F1237">
            <v>175</v>
          </cell>
          <cell r="G1237" t="str">
            <v>450 CC D120 35 ŞEFFAF UV PLS. PLT K.TAVA CAKMA</v>
          </cell>
          <cell r="J1237">
            <v>5</v>
          </cell>
          <cell r="K1237">
            <v>5</v>
          </cell>
          <cell r="L1237">
            <v>16.05</v>
          </cell>
        </row>
        <row r="1238">
          <cell r="A1238">
            <v>45930</v>
          </cell>
          <cell r="F1238">
            <v>176</v>
          </cell>
          <cell r="G1238" t="str">
            <v>1000 CC D107 52 OPAK BEYAZ PALET STANDART</v>
          </cell>
          <cell r="J1238">
            <v>5</v>
          </cell>
          <cell r="K1238">
            <v>5</v>
          </cell>
          <cell r="L1238">
            <v>17.28</v>
          </cell>
        </row>
        <row r="1239">
          <cell r="A1239">
            <v>45930</v>
          </cell>
          <cell r="F1239">
            <v>131</v>
          </cell>
          <cell r="G1239" t="str">
            <v>250 CC Y115 25 ŞEFFAF MOR PALET STANDART</v>
          </cell>
          <cell r="J1239">
            <v>3</v>
          </cell>
          <cell r="K1239">
            <v>3</v>
          </cell>
          <cell r="L1239">
            <v>18.670000000000002</v>
          </cell>
        </row>
        <row r="1240">
          <cell r="A1240">
            <v>45930</v>
          </cell>
          <cell r="F1240">
            <v>132</v>
          </cell>
          <cell r="G1240" t="str">
            <v>200 CC Y321 25 ŞEFFAF ŞEFFAF PALET STANDART</v>
          </cell>
          <cell r="J1240">
            <v>3</v>
          </cell>
          <cell r="K1240">
            <v>3</v>
          </cell>
          <cell r="L1240">
            <v>17.18</v>
          </cell>
        </row>
        <row r="1241">
          <cell r="A1241">
            <v>45930</v>
          </cell>
          <cell r="F1241">
            <v>133</v>
          </cell>
          <cell r="G1241" t="str">
            <v>80 cc alpha Y215 16 GR 24 AĞIZ KISA ÇENE OPAK BEYAZ  100 ADET</v>
          </cell>
          <cell r="J1241">
            <v>4</v>
          </cell>
          <cell r="K1241">
            <v>4</v>
          </cell>
          <cell r="L1241">
            <v>17.57</v>
          </cell>
        </row>
        <row r="1242">
          <cell r="A1242">
            <v>45930</v>
          </cell>
          <cell r="F1242">
            <v>134</v>
          </cell>
          <cell r="G1242" t="str">
            <v>200 CC Y078 25 OPAK BEYAZ PALET KISA</v>
          </cell>
          <cell r="J1242">
            <v>3</v>
          </cell>
          <cell r="K1242">
            <v>3</v>
          </cell>
          <cell r="L1242">
            <v>17.059999999999999</v>
          </cell>
        </row>
        <row r="1243">
          <cell r="A1243">
            <v>45930</v>
          </cell>
          <cell r="F1243">
            <v>135</v>
          </cell>
          <cell r="G1243" t="str">
            <v>110 CC Y343 25 OPAK SARI PLT.IC.KOLI STANDART</v>
          </cell>
          <cell r="J1243">
            <v>2</v>
          </cell>
          <cell r="K1243">
            <v>2</v>
          </cell>
          <cell r="L1243">
            <v>19.89</v>
          </cell>
        </row>
        <row r="1244">
          <cell r="A1244">
            <v>45930</v>
          </cell>
          <cell r="F1244">
            <v>138</v>
          </cell>
          <cell r="G1244" t="str">
            <v>300 CC Y347 26 ŞEFFAF ŞEFFAF PLS. PLT STANDART</v>
          </cell>
          <cell r="J1244">
            <v>3</v>
          </cell>
          <cell r="K1244">
            <v>3</v>
          </cell>
          <cell r="L1244">
            <v>13.56</v>
          </cell>
        </row>
        <row r="1245">
          <cell r="A1245">
            <v>45930</v>
          </cell>
          <cell r="F1245">
            <v>203</v>
          </cell>
          <cell r="G1245" t="str">
            <v>E129 6 ŞEFFAF SARI PLT.IC.KOLI STANDART</v>
          </cell>
          <cell r="J1245">
            <v>8</v>
          </cell>
          <cell r="K1245">
            <v>8</v>
          </cell>
          <cell r="L1245">
            <v>18.2</v>
          </cell>
        </row>
        <row r="1246">
          <cell r="A1246">
            <v>45930</v>
          </cell>
          <cell r="F1246">
            <v>205</v>
          </cell>
          <cell r="G1246" t="str">
            <v>E049 24 MM KAPAK 3 OPAK YEŞİL PLT.IC.KOLI STANDART</v>
          </cell>
          <cell r="J1246">
            <v>12</v>
          </cell>
          <cell r="K1246">
            <v>10</v>
          </cell>
          <cell r="L1246">
            <v>23</v>
          </cell>
        </row>
        <row r="1247">
          <cell r="A1247">
            <v>45930</v>
          </cell>
          <cell r="F1247">
            <v>212</v>
          </cell>
          <cell r="G1247" t="str">
            <v>E123 28 MM FLİPTOP 13 ŞEFFAF LİLA PLT.IC.KOLI STANDART</v>
          </cell>
          <cell r="J1247">
            <v>12</v>
          </cell>
          <cell r="K1247">
            <v>12</v>
          </cell>
          <cell r="L1247">
            <v>35.450000000000003</v>
          </cell>
        </row>
        <row r="1248">
          <cell r="A1248">
            <v>45930</v>
          </cell>
          <cell r="F1248">
            <v>207</v>
          </cell>
          <cell r="G1248" t="str">
            <v>E121A 28MM TRIMSIZ KAPAK 10 OPAK KIRMIZI KOLI STANDART</v>
          </cell>
          <cell r="J1248">
            <v>12</v>
          </cell>
          <cell r="K1248">
            <v>9</v>
          </cell>
          <cell r="L1248">
            <v>32.869999999999997</v>
          </cell>
        </row>
        <row r="1249">
          <cell r="A1249">
            <v>45930</v>
          </cell>
          <cell r="F1249">
            <v>209</v>
          </cell>
          <cell r="G1249" t="str">
            <v>E125 62 MM BAHARAT FLİPTOP 12 OPAK YEŞİL PLT.IC.KOLI STANDART</v>
          </cell>
          <cell r="J1249">
            <v>4</v>
          </cell>
          <cell r="K1249">
            <v>3</v>
          </cell>
          <cell r="L1249">
            <v>28.4</v>
          </cell>
        </row>
        <row r="1250">
          <cell r="A1250">
            <v>45930</v>
          </cell>
          <cell r="F1250">
            <v>210</v>
          </cell>
          <cell r="G1250" t="str">
            <v>E031B 110 MM FOLYOLU 17 OPAK GOLD PLT.IC.KOLI STANDART</v>
          </cell>
          <cell r="J1250">
            <v>4</v>
          </cell>
          <cell r="K1250">
            <v>3</v>
          </cell>
          <cell r="L1250">
            <v>20.8</v>
          </cell>
        </row>
        <row r="1251">
          <cell r="A1251">
            <v>45930</v>
          </cell>
          <cell r="F1251">
            <v>211</v>
          </cell>
          <cell r="G1251" t="str">
            <v>E039 24 MM PİM 1 ŞEFFAF ŞEFFAF PLT.IC.KOLI STANDART</v>
          </cell>
          <cell r="J1251">
            <v>24</v>
          </cell>
          <cell r="K1251">
            <v>20</v>
          </cell>
          <cell r="L1251">
            <v>19.3</v>
          </cell>
        </row>
        <row r="1252">
          <cell r="A1252">
            <v>45930</v>
          </cell>
          <cell r="F1252">
            <v>302</v>
          </cell>
          <cell r="G1252" t="str">
            <v>PR017 38 MM 12 GÖZ YİVLİ PREFORM  73 OPAK BEYAZ KOLI STANDART</v>
          </cell>
          <cell r="J1252">
            <v>12</v>
          </cell>
          <cell r="K1252">
            <v>10</v>
          </cell>
          <cell r="L1252">
            <v>65.02</v>
          </cell>
        </row>
        <row r="1253">
          <cell r="A1253">
            <v>45930</v>
          </cell>
          <cell r="F1253">
            <v>501</v>
          </cell>
          <cell r="G1253" t="str">
            <v>350 CC P119 28 OPAK SEDEFLİ BRONZ PALET STANDART</v>
          </cell>
          <cell r="J1253">
            <v>6</v>
          </cell>
          <cell r="K1253">
            <v>6</v>
          </cell>
          <cell r="L1253">
            <v>15.62</v>
          </cell>
        </row>
        <row r="1254">
          <cell r="A1254">
            <v>45930</v>
          </cell>
          <cell r="F1254">
            <v>503</v>
          </cell>
          <cell r="G1254" t="str">
            <v>5000 CC P135 170 ŞEFFAF ŞEFFAF POSET STANDART</v>
          </cell>
          <cell r="J1254">
            <v>2</v>
          </cell>
          <cell r="K1254">
            <v>1</v>
          </cell>
          <cell r="L1254">
            <v>15</v>
          </cell>
        </row>
        <row r="1255">
          <cell r="A1255">
            <v>45931</v>
          </cell>
          <cell r="F1255">
            <v>102</v>
          </cell>
          <cell r="G1255" t="str">
            <v>1500 CC SP026 52 ŞEFFAF ŞEFFAF PALET STANDART</v>
          </cell>
          <cell r="J1255">
            <v>5</v>
          </cell>
          <cell r="K1255">
            <v>5</v>
          </cell>
          <cell r="L1255">
            <v>18.920000000000002</v>
          </cell>
        </row>
        <row r="1256">
          <cell r="A1256">
            <v>45931</v>
          </cell>
          <cell r="F1256">
            <v>103</v>
          </cell>
          <cell r="G1256" t="str">
            <v>700 CC SP009 40 ŞEFFAF SARI PLS. PLT STANDART</v>
          </cell>
          <cell r="J1256">
            <v>5</v>
          </cell>
          <cell r="K1256">
            <v>5</v>
          </cell>
          <cell r="L1256">
            <v>15.19</v>
          </cell>
        </row>
        <row r="1257">
          <cell r="A1257">
            <v>45931</v>
          </cell>
          <cell r="F1257">
            <v>162</v>
          </cell>
          <cell r="G1257" t="str">
            <v>1000 CC X233 52 ŞEFFAF ŞEFFAF PALET STANDART</v>
          </cell>
          <cell r="J1257">
            <v>2</v>
          </cell>
          <cell r="K1257">
            <v>2</v>
          </cell>
          <cell r="L1257">
            <v>24</v>
          </cell>
        </row>
        <row r="1258">
          <cell r="A1258">
            <v>45931</v>
          </cell>
          <cell r="F1258">
            <v>164</v>
          </cell>
          <cell r="G1258" t="str">
            <v>1000 CC X404 52 ŞEFFAF ŞEFFAF PALET STANDART</v>
          </cell>
          <cell r="J1258">
            <v>2</v>
          </cell>
          <cell r="K1258">
            <v>2</v>
          </cell>
          <cell r="L1258">
            <v>22.8</v>
          </cell>
        </row>
        <row r="1259">
          <cell r="A1259">
            <v>45931</v>
          </cell>
          <cell r="F1259">
            <v>181</v>
          </cell>
          <cell r="G1259" t="str">
            <v>750 CC Z105 28 OPAK MAVİ PLS. PLT STANDART</v>
          </cell>
          <cell r="J1259">
            <v>4</v>
          </cell>
          <cell r="K1259">
            <v>4</v>
          </cell>
          <cell r="L1259">
            <v>14.35</v>
          </cell>
        </row>
        <row r="1260">
          <cell r="A1260">
            <v>45931</v>
          </cell>
          <cell r="F1260">
            <v>401</v>
          </cell>
          <cell r="G1260" t="str">
            <v>1500 CC S011 125 ŞEFFAF ŞEFFAF PLS. PLT STANDART</v>
          </cell>
          <cell r="J1260">
            <v>1</v>
          </cell>
          <cell r="K1260">
            <v>1</v>
          </cell>
          <cell r="L1260">
            <v>10.38</v>
          </cell>
        </row>
        <row r="1261">
          <cell r="A1261">
            <v>45931</v>
          </cell>
          <cell r="F1261">
            <v>402</v>
          </cell>
          <cell r="G1261" t="str">
            <v>1500 CC S043 74 OPAK BEYAZ PALET STANDART</v>
          </cell>
          <cell r="J1261">
            <v>2</v>
          </cell>
          <cell r="K1261">
            <v>2</v>
          </cell>
          <cell r="L1261">
            <v>9</v>
          </cell>
        </row>
        <row r="1262">
          <cell r="A1262">
            <v>45931</v>
          </cell>
          <cell r="F1262">
            <v>172</v>
          </cell>
          <cell r="G1262" t="str">
            <v>1000 CC D057 52 OPAK MAVİ PALET STANDART</v>
          </cell>
          <cell r="J1262">
            <v>4</v>
          </cell>
          <cell r="K1262">
            <v>4</v>
          </cell>
          <cell r="L1262">
            <v>20.34</v>
          </cell>
        </row>
        <row r="1263">
          <cell r="A1263">
            <v>45931</v>
          </cell>
          <cell r="F1263">
            <v>173</v>
          </cell>
          <cell r="G1263" t="str">
            <v>950 CC D059 40 OPAK BEYAZ PALET STANDART</v>
          </cell>
          <cell r="J1263">
            <v>5</v>
          </cell>
          <cell r="K1263">
            <v>5</v>
          </cell>
          <cell r="L1263">
            <v>16.3</v>
          </cell>
        </row>
        <row r="1264">
          <cell r="A1264">
            <v>45931</v>
          </cell>
          <cell r="F1264">
            <v>174</v>
          </cell>
          <cell r="G1264" t="str">
            <v>500 CC D088 45 ŞEFFAF ŞEFFAF PLS. PLT STANDART</v>
          </cell>
          <cell r="J1264">
            <v>3</v>
          </cell>
          <cell r="K1264">
            <v>3</v>
          </cell>
          <cell r="L1264">
            <v>14.36</v>
          </cell>
        </row>
        <row r="1265">
          <cell r="A1265">
            <v>45931</v>
          </cell>
          <cell r="F1265">
            <v>176</v>
          </cell>
          <cell r="G1265" t="str">
            <v>1000 CC D107 52 OPAK BEYAZ PALET STANDART</v>
          </cell>
          <cell r="J1265">
            <v>5</v>
          </cell>
          <cell r="K1265">
            <v>5</v>
          </cell>
          <cell r="L1265">
            <v>17.38</v>
          </cell>
        </row>
        <row r="1266">
          <cell r="A1266">
            <v>45931</v>
          </cell>
          <cell r="F1266">
            <v>177</v>
          </cell>
          <cell r="G1266" t="str">
            <v>1000 CC D075 45 ŞEFFAF ŞEFFAF PALET STANDART</v>
          </cell>
          <cell r="J1266">
            <v>4</v>
          </cell>
          <cell r="K1266">
            <v>4</v>
          </cell>
          <cell r="L1266">
            <v>14</v>
          </cell>
        </row>
        <row r="1267">
          <cell r="A1267">
            <v>45931</v>
          </cell>
          <cell r="F1267">
            <v>131</v>
          </cell>
          <cell r="G1267" t="str">
            <v>250 CC Y115 25 ŞEFFAF MOR PALET STANDART</v>
          </cell>
          <cell r="J1267">
            <v>3</v>
          </cell>
          <cell r="K1267">
            <v>3</v>
          </cell>
          <cell r="L1267">
            <v>18.46</v>
          </cell>
        </row>
        <row r="1268">
          <cell r="A1268">
            <v>45931</v>
          </cell>
          <cell r="F1268">
            <v>132</v>
          </cell>
          <cell r="G1268" t="str">
            <v>200 CC Y321 25 ŞEFFAF ŞEFFAF PALET STANDART</v>
          </cell>
          <cell r="J1268">
            <v>3</v>
          </cell>
          <cell r="K1268">
            <v>3</v>
          </cell>
          <cell r="L1268">
            <v>18.170000000000002</v>
          </cell>
        </row>
        <row r="1269">
          <cell r="A1269">
            <v>45931</v>
          </cell>
          <cell r="F1269">
            <v>134</v>
          </cell>
          <cell r="G1269" t="str">
            <v>200 CC Y078 25 OPAK BEYAZ PALET KISA</v>
          </cell>
          <cell r="J1269">
            <v>3</v>
          </cell>
          <cell r="K1269">
            <v>3</v>
          </cell>
          <cell r="L1269">
            <v>17.12</v>
          </cell>
        </row>
        <row r="1270">
          <cell r="A1270">
            <v>45931</v>
          </cell>
          <cell r="F1270">
            <v>135</v>
          </cell>
          <cell r="G1270" t="str">
            <v>110 CC Y343 25 OPAK SARI PLT.IC.KOLI STANDART</v>
          </cell>
          <cell r="J1270">
            <v>2</v>
          </cell>
          <cell r="K1270">
            <v>2</v>
          </cell>
          <cell r="L1270">
            <v>19.87</v>
          </cell>
        </row>
        <row r="1271">
          <cell r="A1271">
            <v>45931</v>
          </cell>
          <cell r="F1271">
            <v>138</v>
          </cell>
          <cell r="G1271" t="str">
            <v>300 CC Y347 26 ŞEFFAF ŞEFFAF PLS. PLT STANDART</v>
          </cell>
          <cell r="J1271">
            <v>3</v>
          </cell>
          <cell r="K1271">
            <v>3</v>
          </cell>
          <cell r="L1271">
            <v>13.76</v>
          </cell>
        </row>
        <row r="1272">
          <cell r="A1272">
            <v>45931</v>
          </cell>
          <cell r="F1272">
            <v>202</v>
          </cell>
          <cell r="G1272" t="str">
            <v>E008 24 MM 9 OPAK SİYAH KOLI STANDART</v>
          </cell>
          <cell r="J1272">
            <v>8</v>
          </cell>
          <cell r="K1272">
            <v>7</v>
          </cell>
          <cell r="L1272">
            <v>35.9</v>
          </cell>
        </row>
        <row r="1273">
          <cell r="A1273">
            <v>45931</v>
          </cell>
          <cell r="F1273">
            <v>203</v>
          </cell>
          <cell r="G1273" t="str">
            <v>E129 6 ŞEFFAF SARI PLT.IC.KOLI STANDART</v>
          </cell>
          <cell r="J1273">
            <v>8</v>
          </cell>
          <cell r="K1273">
            <v>7</v>
          </cell>
          <cell r="L1273">
            <v>18.2</v>
          </cell>
        </row>
        <row r="1274">
          <cell r="A1274">
            <v>45931</v>
          </cell>
          <cell r="F1274">
            <v>212</v>
          </cell>
          <cell r="G1274" t="str">
            <v>E123 28 MM FLİPTOP 13 ŞEFFAF LİLA PLT.IC.KOLI STANDART</v>
          </cell>
          <cell r="J1274">
            <v>12</v>
          </cell>
          <cell r="K1274">
            <v>10</v>
          </cell>
          <cell r="L1274">
            <v>30.46</v>
          </cell>
        </row>
        <row r="1275">
          <cell r="A1275">
            <v>45931</v>
          </cell>
          <cell r="F1275">
            <v>205</v>
          </cell>
          <cell r="G1275" t="str">
            <v>E049 24 MM KAPAK 3 OPAK YEŞİL PLT.IC.KOLI STANDART</v>
          </cell>
          <cell r="J1275">
            <v>12</v>
          </cell>
          <cell r="K1275">
            <v>10</v>
          </cell>
          <cell r="L1275">
            <v>23.1</v>
          </cell>
        </row>
        <row r="1276">
          <cell r="A1276">
            <v>45931</v>
          </cell>
          <cell r="F1276">
            <v>207</v>
          </cell>
          <cell r="G1276" t="str">
            <v>E121A 28MM TRIMSIZ KAPAK 10 OPAK KIRMIZI KOLI STANDART</v>
          </cell>
          <cell r="J1276">
            <v>12</v>
          </cell>
          <cell r="K1276">
            <v>9</v>
          </cell>
          <cell r="L1276">
            <v>31</v>
          </cell>
        </row>
        <row r="1277">
          <cell r="A1277">
            <v>45931</v>
          </cell>
          <cell r="F1277">
            <v>209</v>
          </cell>
          <cell r="G1277" t="str">
            <v>E125 62 MM BAHARAT FLİPTOP 12 OPAK YEŞİL PLT.IC.KOLI STANDART</v>
          </cell>
          <cell r="J1277">
            <v>4</v>
          </cell>
          <cell r="K1277">
            <v>3</v>
          </cell>
          <cell r="L1277">
            <v>25.6</v>
          </cell>
        </row>
        <row r="1278">
          <cell r="A1278">
            <v>45931</v>
          </cell>
          <cell r="F1278">
            <v>302</v>
          </cell>
          <cell r="G1278" t="str">
            <v>PR017 38 MM 12 GÖZ YİVLİ PREFORM  73 OPAK BEYAZ KOLI STANDART</v>
          </cell>
          <cell r="J1278">
            <v>12</v>
          </cell>
          <cell r="K1278">
            <v>10</v>
          </cell>
          <cell r="L1278">
            <v>52.03</v>
          </cell>
        </row>
        <row r="1279">
          <cell r="A1279">
            <v>45931</v>
          </cell>
          <cell r="F1279">
            <v>303</v>
          </cell>
          <cell r="G1279" t="str">
            <v>PR011 110 MM 8 GÖZ YİVLİ PREFORM 125 ŞEFFAF ŞEFFAF KOLI STANDART</v>
          </cell>
          <cell r="J1279">
            <v>8</v>
          </cell>
          <cell r="K1279">
            <v>7</v>
          </cell>
          <cell r="L1279">
            <v>57.9</v>
          </cell>
        </row>
        <row r="1280">
          <cell r="A1280">
            <v>45931</v>
          </cell>
          <cell r="F1280">
            <v>503</v>
          </cell>
          <cell r="G1280" t="str">
            <v>5000 CC P135 170 ŞEFFAF ŞEFFAF POSET STANDART</v>
          </cell>
          <cell r="J1280">
            <v>2</v>
          </cell>
          <cell r="K1280">
            <v>1</v>
          </cell>
          <cell r="L1280">
            <v>15</v>
          </cell>
        </row>
        <row r="1281">
          <cell r="A1281">
            <v>45932</v>
          </cell>
          <cell r="F1281">
            <v>102</v>
          </cell>
          <cell r="G1281" t="str">
            <v>1500 CC SP026 52 ŞEFFAF ŞEFFAF PALET STANDART</v>
          </cell>
          <cell r="J1281">
            <v>5</v>
          </cell>
          <cell r="K1281">
            <v>5</v>
          </cell>
          <cell r="L1281">
            <v>18.86</v>
          </cell>
        </row>
        <row r="1282">
          <cell r="A1282">
            <v>45932</v>
          </cell>
          <cell r="F1282">
            <v>103</v>
          </cell>
          <cell r="G1282" t="str">
            <v>700 CC SP009 40 ŞEFFAF SARI PLS. PLT STANDART</v>
          </cell>
          <cell r="J1282">
            <v>5</v>
          </cell>
          <cell r="K1282">
            <v>5</v>
          </cell>
          <cell r="L1282">
            <v>15.09</v>
          </cell>
        </row>
        <row r="1283">
          <cell r="A1283">
            <v>45932</v>
          </cell>
          <cell r="F1283">
            <v>104</v>
          </cell>
          <cell r="G1283" t="str">
            <v>150 CC SP020 20 ŞEFFAF ŞEFFAF PLS. PLT K.TAVA STANDART</v>
          </cell>
          <cell r="J1283">
            <v>9</v>
          </cell>
          <cell r="K1283">
            <v>9</v>
          </cell>
          <cell r="L1283">
            <v>13.08</v>
          </cell>
        </row>
        <row r="1284">
          <cell r="A1284">
            <v>45932</v>
          </cell>
          <cell r="F1284">
            <v>162</v>
          </cell>
          <cell r="G1284" t="str">
            <v>1000 CC X233 52 ŞEFFAF ŞEFFAF PALET STANDART</v>
          </cell>
          <cell r="J1284">
            <v>2</v>
          </cell>
          <cell r="K1284">
            <v>2</v>
          </cell>
          <cell r="L1284">
            <v>24</v>
          </cell>
        </row>
        <row r="1285">
          <cell r="A1285">
            <v>45932</v>
          </cell>
          <cell r="F1285">
            <v>164</v>
          </cell>
          <cell r="G1285" t="str">
            <v>1000 CC X404 52 ŞEFFAF ŞEFFAF PALET STANDART</v>
          </cell>
          <cell r="J1285">
            <v>2</v>
          </cell>
          <cell r="K1285">
            <v>2</v>
          </cell>
          <cell r="L1285">
            <v>22.8</v>
          </cell>
        </row>
        <row r="1286">
          <cell r="A1286">
            <v>45932</v>
          </cell>
          <cell r="F1286">
            <v>182</v>
          </cell>
          <cell r="G1286" t="str">
            <v>450 CC Z103 26 ŞEFFAF MAVİ PALET STANDART</v>
          </cell>
          <cell r="J1286">
            <v>4</v>
          </cell>
          <cell r="K1286">
            <v>4</v>
          </cell>
          <cell r="L1286">
            <v>14.42</v>
          </cell>
        </row>
        <row r="1287">
          <cell r="A1287">
            <v>45932</v>
          </cell>
          <cell r="F1287">
            <v>401</v>
          </cell>
          <cell r="G1287" t="str">
            <v>1500 CC S011 125 ŞEFFAF ŞEFFAF PLS. PLT STANDART</v>
          </cell>
          <cell r="J1287">
            <v>1</v>
          </cell>
          <cell r="K1287">
            <v>1</v>
          </cell>
          <cell r="L1287">
            <v>10.41</v>
          </cell>
        </row>
        <row r="1288">
          <cell r="A1288">
            <v>45932</v>
          </cell>
          <cell r="F1288">
            <v>402</v>
          </cell>
          <cell r="G1288" t="str">
            <v>1500 CC S043 74 OPAK BEYAZ PALET STANDART</v>
          </cell>
          <cell r="J1288">
            <v>2</v>
          </cell>
          <cell r="K1288">
            <v>2</v>
          </cell>
          <cell r="L1288">
            <v>9</v>
          </cell>
        </row>
        <row r="1289">
          <cell r="A1289">
            <v>45932</v>
          </cell>
          <cell r="F1289">
            <v>171</v>
          </cell>
          <cell r="G1289" t="str">
            <v>160 CC D093 29 ŞEFFAF SARI PALET STANDART</v>
          </cell>
          <cell r="J1289">
            <v>7</v>
          </cell>
          <cell r="K1289">
            <v>7</v>
          </cell>
          <cell r="L1289">
            <v>20.100000000000001</v>
          </cell>
        </row>
        <row r="1290">
          <cell r="A1290">
            <v>45932</v>
          </cell>
          <cell r="F1290">
            <v>172</v>
          </cell>
          <cell r="G1290" t="str">
            <v>1000 CC D057 52 OPAK MAVİ PALET STANDART</v>
          </cell>
          <cell r="J1290">
            <v>4</v>
          </cell>
          <cell r="K1290">
            <v>4</v>
          </cell>
          <cell r="L1290">
            <v>18.59</v>
          </cell>
        </row>
        <row r="1291">
          <cell r="A1291">
            <v>45932</v>
          </cell>
          <cell r="F1291">
            <v>173</v>
          </cell>
          <cell r="G1291" t="str">
            <v>950 CC D059 40 OPAK BEYAZ PALET STANDART</v>
          </cell>
          <cell r="J1291">
            <v>5</v>
          </cell>
          <cell r="K1291">
            <v>5</v>
          </cell>
          <cell r="L1291">
            <v>16.29</v>
          </cell>
        </row>
        <row r="1292">
          <cell r="A1292">
            <v>45932</v>
          </cell>
          <cell r="F1292">
            <v>174</v>
          </cell>
          <cell r="G1292" t="str">
            <v>500 CC D088 45 ŞEFFAF ŞEFFAF PLS. PLT STANDART</v>
          </cell>
          <cell r="J1292">
            <v>3</v>
          </cell>
          <cell r="K1292">
            <v>3</v>
          </cell>
          <cell r="L1292">
            <v>14.86</v>
          </cell>
        </row>
        <row r="1293">
          <cell r="A1293">
            <v>45932</v>
          </cell>
          <cell r="F1293">
            <v>175</v>
          </cell>
          <cell r="G1293" t="str">
            <v>450 CC D120 35 ŞEFFAF UV PLS. PLT K.TAVA CAKMA</v>
          </cell>
          <cell r="J1293">
            <v>5</v>
          </cell>
          <cell r="K1293">
            <v>5</v>
          </cell>
          <cell r="L1293">
            <v>16</v>
          </cell>
        </row>
        <row r="1294">
          <cell r="A1294">
            <v>45932</v>
          </cell>
          <cell r="F1294">
            <v>176</v>
          </cell>
          <cell r="G1294" t="str">
            <v>1000 CC D107 52 OPAK BEYAZ PALET STANDART</v>
          </cell>
          <cell r="J1294">
            <v>5</v>
          </cell>
          <cell r="K1294">
            <v>5</v>
          </cell>
          <cell r="L1294">
            <v>17.3</v>
          </cell>
        </row>
        <row r="1295">
          <cell r="A1295">
            <v>45932</v>
          </cell>
          <cell r="F1295">
            <v>177</v>
          </cell>
          <cell r="G1295" t="str">
            <v>1000 CC D075 45 ŞEFFAF ŞEFFAF PALET STANDART</v>
          </cell>
          <cell r="J1295">
            <v>4</v>
          </cell>
          <cell r="K1295">
            <v>4</v>
          </cell>
          <cell r="L1295">
            <v>13.69</v>
          </cell>
        </row>
        <row r="1296">
          <cell r="A1296">
            <v>45932</v>
          </cell>
          <cell r="F1296">
            <v>131</v>
          </cell>
          <cell r="G1296" t="str">
            <v>200 CC Y323 25 OPAK SİYAH PALET STANDART</v>
          </cell>
          <cell r="J1296">
            <v>3</v>
          </cell>
          <cell r="K1296">
            <v>3</v>
          </cell>
          <cell r="L1296">
            <v>18.87</v>
          </cell>
        </row>
        <row r="1297">
          <cell r="A1297">
            <v>45932</v>
          </cell>
          <cell r="F1297">
            <v>132</v>
          </cell>
          <cell r="G1297" t="str">
            <v>200 CC Y321 25 ŞEFFAF ŞEFFAF PALET STANDART</v>
          </cell>
          <cell r="J1297">
            <v>3</v>
          </cell>
          <cell r="K1297">
            <v>3</v>
          </cell>
          <cell r="L1297">
            <v>18.18</v>
          </cell>
        </row>
        <row r="1298">
          <cell r="A1298">
            <v>45932</v>
          </cell>
          <cell r="F1298">
            <v>134</v>
          </cell>
          <cell r="G1298" t="str">
            <v>200 CC Y078 25 OPAK BEYAZ PALET KISA</v>
          </cell>
          <cell r="J1298">
            <v>3</v>
          </cell>
          <cell r="K1298">
            <v>3</v>
          </cell>
          <cell r="L1298">
            <v>16.96</v>
          </cell>
        </row>
        <row r="1299">
          <cell r="A1299">
            <v>45932</v>
          </cell>
          <cell r="F1299">
            <v>135</v>
          </cell>
          <cell r="G1299" t="str">
            <v>150 CC Y341 25 ŞEFFAF KAHVE KOLI STANDART</v>
          </cell>
          <cell r="J1299">
            <v>2</v>
          </cell>
          <cell r="K1299">
            <v>2</v>
          </cell>
          <cell r="L1299">
            <v>20.58</v>
          </cell>
        </row>
        <row r="1300">
          <cell r="A1300">
            <v>45932</v>
          </cell>
          <cell r="F1300">
            <v>138</v>
          </cell>
          <cell r="G1300" t="str">
            <v>300 CC Y347 26 ŞEFFAF ŞEFFAF PLS. PLT STANDART</v>
          </cell>
          <cell r="J1300">
            <v>3</v>
          </cell>
          <cell r="K1300">
            <v>3</v>
          </cell>
          <cell r="L1300">
            <v>13.79</v>
          </cell>
        </row>
        <row r="1301">
          <cell r="A1301">
            <v>45932</v>
          </cell>
          <cell r="F1301">
            <v>202</v>
          </cell>
          <cell r="G1301" t="str">
            <v>E008 24 MM 9 OPAK SİYAH KOLI STANDART</v>
          </cell>
          <cell r="J1301">
            <v>8</v>
          </cell>
          <cell r="K1301">
            <v>6</v>
          </cell>
          <cell r="L1301">
            <v>33.6</v>
          </cell>
        </row>
        <row r="1302">
          <cell r="A1302">
            <v>45932</v>
          </cell>
          <cell r="F1302">
            <v>203</v>
          </cell>
          <cell r="G1302" t="str">
            <v>E129 6 ŞEFFAF SARI PLT.IC.KOLI STANDART</v>
          </cell>
          <cell r="J1302">
            <v>8</v>
          </cell>
          <cell r="K1302">
            <v>7</v>
          </cell>
          <cell r="L1302">
            <v>18.2</v>
          </cell>
        </row>
        <row r="1303">
          <cell r="A1303">
            <v>45932</v>
          </cell>
          <cell r="F1303">
            <v>212</v>
          </cell>
          <cell r="G1303" t="str">
            <v>E123 28 MM FLİPTOP 13 ŞEFFAF LİLA PLT.IC.KOLI STANDART</v>
          </cell>
          <cell r="J1303">
            <v>12</v>
          </cell>
          <cell r="K1303">
            <v>10</v>
          </cell>
          <cell r="L1303">
            <v>32.51</v>
          </cell>
        </row>
        <row r="1304">
          <cell r="A1304">
            <v>45932</v>
          </cell>
          <cell r="F1304">
            <v>205</v>
          </cell>
          <cell r="G1304" t="str">
            <v>E049 24 MM KAPAK 3 OPAK YEŞİL PLT.IC.KOLI STANDART</v>
          </cell>
          <cell r="J1304">
            <v>12</v>
          </cell>
          <cell r="K1304">
            <v>10</v>
          </cell>
          <cell r="L1304">
            <v>22.3</v>
          </cell>
        </row>
        <row r="1305">
          <cell r="A1305">
            <v>45932</v>
          </cell>
          <cell r="F1305">
            <v>207</v>
          </cell>
          <cell r="G1305" t="str">
            <v>E121A 28MM TRIMSIZ KAPAK 10 OPAK KIRMIZI KOLI STANDART</v>
          </cell>
          <cell r="J1305">
            <v>12</v>
          </cell>
          <cell r="K1305">
            <v>9</v>
          </cell>
          <cell r="L1305">
            <v>30.96</v>
          </cell>
        </row>
        <row r="1306">
          <cell r="A1306">
            <v>45932</v>
          </cell>
          <cell r="F1306">
            <v>209</v>
          </cell>
          <cell r="G1306" t="str">
            <v>E125 62 MM BAHARAT FLİPTOP 12 OPAK YEŞİL PLT.IC.KOLI STANDART</v>
          </cell>
          <cell r="J1306">
            <v>4</v>
          </cell>
          <cell r="K1306">
            <v>3</v>
          </cell>
          <cell r="L1306">
            <v>26.3</v>
          </cell>
        </row>
        <row r="1307">
          <cell r="A1307">
            <v>45932</v>
          </cell>
          <cell r="F1307">
            <v>302</v>
          </cell>
          <cell r="G1307" t="str">
            <v>PR017 38 MM 12 GÖZ YİVLİ PREFORM  73 OPAK BEYAZ KOLI STANDART</v>
          </cell>
          <cell r="J1307">
            <v>12</v>
          </cell>
          <cell r="K1307">
            <v>10</v>
          </cell>
          <cell r="L1307">
            <v>52.06</v>
          </cell>
        </row>
        <row r="1308">
          <cell r="A1308">
            <v>45932</v>
          </cell>
          <cell r="F1308">
            <v>303</v>
          </cell>
          <cell r="G1308" t="str">
            <v>PR011 110 MM 8 GÖZ YİVLİ PREFORM 125 ŞEFFAF ŞEFFAF KOLI STANDART</v>
          </cell>
          <cell r="J1308">
            <v>8</v>
          </cell>
          <cell r="K1308">
            <v>7</v>
          </cell>
          <cell r="L1308">
            <v>60.5</v>
          </cell>
        </row>
        <row r="1309">
          <cell r="A1309">
            <v>45932</v>
          </cell>
          <cell r="F1309">
            <v>501</v>
          </cell>
          <cell r="G1309" t="str">
            <v>350 CC P119 28 OPAK SEDEFLİ MOR PALET STANDART</v>
          </cell>
          <cell r="J1309">
            <v>6</v>
          </cell>
          <cell r="K1309">
            <v>6</v>
          </cell>
          <cell r="L1309">
            <v>16.02</v>
          </cell>
        </row>
        <row r="1310">
          <cell r="A1310">
            <v>45937</v>
          </cell>
          <cell r="F1310">
            <v>401</v>
          </cell>
          <cell r="G1310" t="str">
            <v>1500 CC S011 125 ŞEFFAF ŞEFFAF PLS. PLT STANDART</v>
          </cell>
          <cell r="J1310">
            <v>1</v>
          </cell>
          <cell r="K1310">
            <v>1</v>
          </cell>
          <cell r="L1310">
            <v>10.09</v>
          </cell>
        </row>
        <row r="1311">
          <cell r="A1311">
            <v>45937</v>
          </cell>
          <cell r="F1311">
            <v>405</v>
          </cell>
          <cell r="G1311" t="str">
            <v>350 CC S012 46 OPAK SİYAH PALET STANDART</v>
          </cell>
          <cell r="J1311">
            <v>2</v>
          </cell>
          <cell r="K1311">
            <v>2</v>
          </cell>
          <cell r="L1311">
            <v>8.6</v>
          </cell>
        </row>
        <row r="1312">
          <cell r="A1312">
            <v>45937</v>
          </cell>
          <cell r="F1312">
            <v>203</v>
          </cell>
          <cell r="G1312" t="str">
            <v>E129 6 ŞEFFAF SARI PLT.IC.KOLI STANDART</v>
          </cell>
          <cell r="J1312">
            <v>8</v>
          </cell>
          <cell r="K1312">
            <v>7</v>
          </cell>
          <cell r="L1312">
            <v>18.2</v>
          </cell>
        </row>
        <row r="1313">
          <cell r="A1313">
            <v>45937</v>
          </cell>
          <cell r="F1313">
            <v>205</v>
          </cell>
          <cell r="G1313" t="str">
            <v>E049 24 MM KAPAK 3 OPAK YEŞİL PLT.IC.KOLI STANDART</v>
          </cell>
          <cell r="J1313">
            <v>12</v>
          </cell>
          <cell r="K1313">
            <v>9</v>
          </cell>
          <cell r="L1313">
            <v>24.6</v>
          </cell>
        </row>
        <row r="1314">
          <cell r="A1314">
            <v>45937</v>
          </cell>
          <cell r="F1314">
            <v>207</v>
          </cell>
          <cell r="G1314" t="str">
            <v>E121A 28MM TRIMSIZ KAPAK 10 OPAK KIRMIZI KOLI STANDART</v>
          </cell>
          <cell r="J1314">
            <v>12</v>
          </cell>
          <cell r="K1314">
            <v>9</v>
          </cell>
          <cell r="L1314">
            <v>30.62</v>
          </cell>
        </row>
        <row r="1315">
          <cell r="A1315">
            <v>45937</v>
          </cell>
          <cell r="F1315">
            <v>210</v>
          </cell>
          <cell r="G1315" t="str">
            <v>E031A 110 MM ETİKETLİ FOLYOLU 17 OPAK MAVİ PLT.IC.KOLI STANDART</v>
          </cell>
          <cell r="J1315">
            <v>4</v>
          </cell>
          <cell r="K1315">
            <v>4</v>
          </cell>
          <cell r="L1315">
            <v>21.2</v>
          </cell>
        </row>
        <row r="1316">
          <cell r="A1316">
            <v>45937</v>
          </cell>
          <cell r="F1316">
            <v>303</v>
          </cell>
          <cell r="G1316" t="str">
            <v>PR014 110 MM 12 GÖZ TWIST OFF PREFORM 91 OPAK SİYAH KOLI STANDART</v>
          </cell>
          <cell r="J1316">
            <v>12</v>
          </cell>
          <cell r="K1316">
            <v>7</v>
          </cell>
          <cell r="L1316">
            <v>43.4</v>
          </cell>
        </row>
        <row r="1317">
          <cell r="A1317">
            <v>45937</v>
          </cell>
          <cell r="F1317">
            <v>503</v>
          </cell>
          <cell r="G1317" t="str">
            <v>5000 CC P061 170 ŞEFFAF ŞEFFAF POSET STANDART</v>
          </cell>
          <cell r="J1317">
            <v>1</v>
          </cell>
          <cell r="K1317">
            <v>1</v>
          </cell>
          <cell r="L1317">
            <v>15</v>
          </cell>
        </row>
        <row r="1318">
          <cell r="A1318">
            <v>45938</v>
          </cell>
          <cell r="F1318">
            <v>405</v>
          </cell>
          <cell r="G1318" t="str">
            <v>1200 CC S023 91 OPAK SİYAH PALET STANDART</v>
          </cell>
          <cell r="J1318">
            <v>2</v>
          </cell>
          <cell r="K1318">
            <v>2</v>
          </cell>
          <cell r="L1318">
            <v>8.5</v>
          </cell>
        </row>
        <row r="1319">
          <cell r="A1319">
            <v>45938</v>
          </cell>
          <cell r="F1319">
            <v>203</v>
          </cell>
          <cell r="G1319" t="str">
            <v>E129 6 ŞEFFAF SARI PLT.IC.KOLI STANDART</v>
          </cell>
          <cell r="J1319">
            <v>8</v>
          </cell>
          <cell r="K1319">
            <v>7</v>
          </cell>
          <cell r="L1319">
            <v>18.5</v>
          </cell>
        </row>
        <row r="1320">
          <cell r="A1320">
            <v>45938</v>
          </cell>
          <cell r="F1320">
            <v>204</v>
          </cell>
          <cell r="G1320" t="str">
            <v>E128 28 MM 8 OPAK YEŞİL KOLI CAKMA</v>
          </cell>
          <cell r="J1320">
            <v>4</v>
          </cell>
          <cell r="K1320">
            <v>3</v>
          </cell>
          <cell r="L1320">
            <v>21.4</v>
          </cell>
        </row>
        <row r="1321">
          <cell r="A1321">
            <v>45938</v>
          </cell>
          <cell r="F1321">
            <v>205</v>
          </cell>
          <cell r="G1321" t="str">
            <v>E049 24 MM KAPAK 3 OPAK YEŞİL PLT.IC.KOLI STANDART</v>
          </cell>
          <cell r="J1321">
            <v>12</v>
          </cell>
          <cell r="K1321">
            <v>9</v>
          </cell>
          <cell r="L1321">
            <v>22.5</v>
          </cell>
        </row>
        <row r="1322">
          <cell r="A1322">
            <v>45938</v>
          </cell>
          <cell r="F1322">
            <v>210</v>
          </cell>
          <cell r="G1322" t="str">
            <v>E031A 110 MM ETİKETLİ FOLYOLU 17 OPAK MAVİ PLT.IC.KOLI STANDART</v>
          </cell>
          <cell r="J1322">
            <v>4</v>
          </cell>
          <cell r="K1322">
            <v>4</v>
          </cell>
          <cell r="L1322">
            <v>20.9</v>
          </cell>
        </row>
        <row r="1323">
          <cell r="A1323">
            <v>45938</v>
          </cell>
          <cell r="F1323">
            <v>303</v>
          </cell>
          <cell r="G1323" t="str">
            <v>PR014 110 MM 12 GÖZ TWIST OFF PREFORM 91 OPAK SİYAH KOLI STANDART</v>
          </cell>
          <cell r="J1323">
            <v>8</v>
          </cell>
          <cell r="K1323">
            <v>7</v>
          </cell>
          <cell r="L1323">
            <v>43.5</v>
          </cell>
        </row>
        <row r="1324">
          <cell r="A1324">
            <v>45938</v>
          </cell>
          <cell r="F1324">
            <v>501</v>
          </cell>
          <cell r="G1324" t="str">
            <v>200 CC P118 17 OPAK SEDEFLİ MOR PALET STANDART</v>
          </cell>
          <cell r="J1324">
            <v>6</v>
          </cell>
          <cell r="K1324">
            <v>6</v>
          </cell>
          <cell r="L1324">
            <v>16.02</v>
          </cell>
        </row>
        <row r="1325">
          <cell r="A1325">
            <v>45939</v>
          </cell>
          <cell r="F1325">
            <v>405</v>
          </cell>
          <cell r="G1325" t="str">
            <v>1200 CC S023 91 OPAK SİYAH PALET STANDART</v>
          </cell>
          <cell r="J1325">
            <v>2</v>
          </cell>
          <cell r="K1325">
            <v>2</v>
          </cell>
          <cell r="L1325">
            <v>8</v>
          </cell>
        </row>
        <row r="1326">
          <cell r="A1326">
            <v>45939</v>
          </cell>
          <cell r="F1326">
            <v>203</v>
          </cell>
          <cell r="G1326" t="str">
            <v>E129 6 ŞEFFAF SARI PLT.IC.KOLI STANDART</v>
          </cell>
          <cell r="J1326">
            <v>8</v>
          </cell>
          <cell r="K1326">
            <v>7</v>
          </cell>
          <cell r="L1326">
            <v>17</v>
          </cell>
        </row>
        <row r="1327">
          <cell r="A1327">
            <v>45939</v>
          </cell>
          <cell r="F1327">
            <v>204</v>
          </cell>
          <cell r="G1327" t="str">
            <v>E128 28 MM 8 OPAK YEŞİL KOLI CAKMA</v>
          </cell>
          <cell r="J1327">
            <v>4</v>
          </cell>
          <cell r="K1327">
            <v>4</v>
          </cell>
          <cell r="L1327">
            <v>23.5</v>
          </cell>
        </row>
        <row r="1328">
          <cell r="A1328">
            <v>45939</v>
          </cell>
          <cell r="F1328">
            <v>205</v>
          </cell>
          <cell r="G1328" t="str">
            <v>E049 24 MM KAPAK 3 OPAK YEŞİL PLT.IC.KOLI STANDART</v>
          </cell>
          <cell r="J1328">
            <v>12</v>
          </cell>
          <cell r="K1328">
            <v>9</v>
          </cell>
          <cell r="L1328">
            <v>22.9</v>
          </cell>
        </row>
        <row r="1329">
          <cell r="A1329">
            <v>45939</v>
          </cell>
          <cell r="F1329">
            <v>208</v>
          </cell>
          <cell r="G1329" t="str">
            <v>E064 90 MM KULPLU 17 OPAK SARI KOLI STANDART</v>
          </cell>
          <cell r="J1329">
            <v>4</v>
          </cell>
          <cell r="K1329">
            <v>4</v>
          </cell>
          <cell r="L1329">
            <v>23.47</v>
          </cell>
        </row>
        <row r="1330">
          <cell r="A1330">
            <v>45939</v>
          </cell>
          <cell r="F1330">
            <v>209</v>
          </cell>
          <cell r="G1330" t="str">
            <v>E125 62 MM BAHARAT FLİPTOP 12 OPAK YEŞİL PLT.IC.KOLI STANDART</v>
          </cell>
          <cell r="J1330">
            <v>4</v>
          </cell>
          <cell r="K1330">
            <v>3</v>
          </cell>
          <cell r="L1330">
            <v>28.4</v>
          </cell>
        </row>
        <row r="1331">
          <cell r="A1331">
            <v>45939</v>
          </cell>
          <cell r="F1331">
            <v>210</v>
          </cell>
          <cell r="G1331" t="str">
            <v>E031A 110 MM ETİKETLİ FOLYOLU 17 OPAK MAVİ PLT.IC.KOLI STANDART</v>
          </cell>
          <cell r="J1331">
            <v>4</v>
          </cell>
          <cell r="K1331">
            <v>4</v>
          </cell>
          <cell r="L1331">
            <v>21.1</v>
          </cell>
        </row>
        <row r="1332">
          <cell r="A1332">
            <v>45939</v>
          </cell>
          <cell r="F1332">
            <v>303</v>
          </cell>
          <cell r="G1332" t="str">
            <v>PR014 110 MM 12 GÖZ TWIST OFF PREFORM 91 OPAK SİYAH KOLI STANDART</v>
          </cell>
          <cell r="J1332">
            <v>12</v>
          </cell>
          <cell r="K1332">
            <v>7</v>
          </cell>
          <cell r="L1332">
            <v>45</v>
          </cell>
        </row>
        <row r="1333">
          <cell r="A1333">
            <v>45939</v>
          </cell>
          <cell r="F1333">
            <v>501</v>
          </cell>
          <cell r="G1333" t="str">
            <v>100 CC I005 15 ŞEFFAF ŞEFFAF PALET STANDART</v>
          </cell>
          <cell r="J1333">
            <v>6</v>
          </cell>
          <cell r="K1333">
            <v>6</v>
          </cell>
          <cell r="L1333">
            <v>16.12</v>
          </cell>
        </row>
        <row r="1334">
          <cell r="A1334">
            <v>45940</v>
          </cell>
          <cell r="F1334">
            <v>203</v>
          </cell>
          <cell r="G1334" t="str">
            <v>E129 6 ŞEFFAF SARI PLT.IC.KOLI STANDART</v>
          </cell>
          <cell r="J1334">
            <v>8</v>
          </cell>
          <cell r="K1334">
            <v>7</v>
          </cell>
          <cell r="L1334">
            <v>17</v>
          </cell>
        </row>
        <row r="1335">
          <cell r="A1335">
            <v>45940</v>
          </cell>
          <cell r="F1335">
            <v>204</v>
          </cell>
          <cell r="G1335" t="str">
            <v>E128 28 MM 8 OPAK YEŞİL KOLI CAKMA</v>
          </cell>
          <cell r="J1335">
            <v>4</v>
          </cell>
          <cell r="K1335">
            <v>3</v>
          </cell>
          <cell r="L1335">
            <v>18</v>
          </cell>
        </row>
        <row r="1336">
          <cell r="A1336">
            <v>45940</v>
          </cell>
          <cell r="F1336">
            <v>205</v>
          </cell>
          <cell r="G1336" t="str">
            <v>E049 24 MM KAPAK 3 OPAK YEŞİL PLT.IC.KOLI STANDART</v>
          </cell>
          <cell r="J1336">
            <v>12</v>
          </cell>
          <cell r="K1336">
            <v>9</v>
          </cell>
          <cell r="L1336">
            <v>22.4</v>
          </cell>
        </row>
        <row r="1337">
          <cell r="A1337">
            <v>45940</v>
          </cell>
          <cell r="F1337">
            <v>210</v>
          </cell>
          <cell r="G1337" t="str">
            <v>E031B 110 MM FOLYOLU 17 OPAK MAVİ PLT.IC.KOLI STANDART</v>
          </cell>
          <cell r="J1337">
            <v>4</v>
          </cell>
          <cell r="K1337">
            <v>4</v>
          </cell>
          <cell r="L1337">
            <v>21</v>
          </cell>
        </row>
        <row r="1338">
          <cell r="A1338">
            <v>45940</v>
          </cell>
          <cell r="F1338">
            <v>303</v>
          </cell>
          <cell r="G1338" t="str">
            <v>PR014 110 MM 12 GÖZ TWIST OFF PREFORM 91 OPAK SİYAH KOLI STANDART</v>
          </cell>
          <cell r="J1338">
            <v>12</v>
          </cell>
          <cell r="K1338">
            <v>7</v>
          </cell>
          <cell r="L1338">
            <v>43.5</v>
          </cell>
        </row>
        <row r="1339">
          <cell r="A1339">
            <v>45940</v>
          </cell>
          <cell r="F1339">
            <v>501</v>
          </cell>
          <cell r="G1339" t="str">
            <v>200 CC P118 17 OPAK SEDEFLİ MOR PALET STANDART</v>
          </cell>
          <cell r="J1339">
            <v>6</v>
          </cell>
          <cell r="K1339">
            <v>6</v>
          </cell>
          <cell r="L1339">
            <v>16.02</v>
          </cell>
        </row>
        <row r="1340">
          <cell r="A1340">
            <v>45940</v>
          </cell>
          <cell r="F1340">
            <v>404</v>
          </cell>
          <cell r="G1340" t="str">
            <v>1000 CC S054 43 ŞEFFAF ŞEFFAF PLS. PLT STANDART</v>
          </cell>
          <cell r="J1340">
            <v>2</v>
          </cell>
          <cell r="K1340">
            <v>2</v>
          </cell>
          <cell r="L1340">
            <v>7</v>
          </cell>
        </row>
        <row r="1341">
          <cell r="A1341">
            <v>45940</v>
          </cell>
          <cell r="F1341">
            <v>405</v>
          </cell>
          <cell r="G1341" t="str">
            <v>1200 CC S023 91 OPAK SİYAH PALET STANDART</v>
          </cell>
          <cell r="J1341">
            <v>2</v>
          </cell>
          <cell r="K1341">
            <v>2</v>
          </cell>
          <cell r="L1341">
            <v>8.6</v>
          </cell>
        </row>
        <row r="1342">
          <cell r="A1342">
            <v>45941</v>
          </cell>
          <cell r="F1342">
            <v>401</v>
          </cell>
          <cell r="G1342" t="str">
            <v>2000 CC S003 61 ŞEFFAF ŞEFFAF POSET STANDART</v>
          </cell>
          <cell r="J1342">
            <v>1</v>
          </cell>
          <cell r="K1342">
            <v>1</v>
          </cell>
          <cell r="L1342">
            <v>8.3000000000000007</v>
          </cell>
        </row>
        <row r="1343">
          <cell r="A1343">
            <v>45941</v>
          </cell>
          <cell r="F1343">
            <v>405</v>
          </cell>
          <cell r="G1343" t="str">
            <v>1200 CC S023 91 OPAK SİYAH PALET STANDART</v>
          </cell>
          <cell r="J1343">
            <v>2</v>
          </cell>
          <cell r="K1343">
            <v>2</v>
          </cell>
          <cell r="L1343">
            <v>9.6</v>
          </cell>
        </row>
        <row r="1344">
          <cell r="A1344">
            <v>45941</v>
          </cell>
          <cell r="F1344">
            <v>203</v>
          </cell>
          <cell r="G1344" t="str">
            <v>E129 6 ŞEFFAF SARI PLT.IC.KOLI STANDART</v>
          </cell>
          <cell r="J1344">
            <v>8</v>
          </cell>
          <cell r="K1344">
            <v>7</v>
          </cell>
          <cell r="L1344">
            <v>16.899999999999999</v>
          </cell>
        </row>
        <row r="1345">
          <cell r="A1345">
            <v>45941</v>
          </cell>
          <cell r="F1345">
            <v>204</v>
          </cell>
          <cell r="G1345" t="str">
            <v>E128 28 MM 8 OPAK YEŞİL KOLI CAKMA</v>
          </cell>
          <cell r="J1345">
            <v>4</v>
          </cell>
          <cell r="K1345">
            <v>3</v>
          </cell>
          <cell r="L1345">
            <v>18</v>
          </cell>
        </row>
        <row r="1346">
          <cell r="A1346">
            <v>45941</v>
          </cell>
          <cell r="F1346">
            <v>205</v>
          </cell>
          <cell r="G1346" t="str">
            <v>E049 24 MM KAPAK 3 OPAK YEŞİL PLT.IC.KOLI STANDART</v>
          </cell>
          <cell r="J1346">
            <v>12</v>
          </cell>
          <cell r="K1346">
            <v>9</v>
          </cell>
          <cell r="L1346">
            <v>22.9</v>
          </cell>
        </row>
        <row r="1347">
          <cell r="A1347">
            <v>45941</v>
          </cell>
          <cell r="F1347">
            <v>206</v>
          </cell>
          <cell r="G1347" t="str">
            <v>E064 90 MM KULPLU 17 OPAK SARI KOLI STANDART</v>
          </cell>
          <cell r="J1347">
            <v>4</v>
          </cell>
          <cell r="K1347">
            <v>3</v>
          </cell>
          <cell r="L1347">
            <v>19.899999999999999</v>
          </cell>
        </row>
        <row r="1348">
          <cell r="A1348">
            <v>45941</v>
          </cell>
          <cell r="F1348">
            <v>207</v>
          </cell>
          <cell r="G1348" t="str">
            <v>E121A 28MM TRIMSIZ KAPAK 10 OPAK KIRMIZI KOLI STANDART</v>
          </cell>
          <cell r="J1348">
            <v>12</v>
          </cell>
          <cell r="K1348">
            <v>9</v>
          </cell>
          <cell r="L1348">
            <v>27</v>
          </cell>
        </row>
        <row r="1349">
          <cell r="A1349">
            <v>45941</v>
          </cell>
          <cell r="F1349">
            <v>209</v>
          </cell>
          <cell r="G1349" t="str">
            <v>E125 62 MM BAHARAT FLİPTOP 12 OPAK YEŞİL PLT.IC.KOLI STANDART</v>
          </cell>
          <cell r="J1349">
            <v>4</v>
          </cell>
          <cell r="K1349">
            <v>3</v>
          </cell>
          <cell r="L1349">
            <v>28.3</v>
          </cell>
        </row>
        <row r="1350">
          <cell r="A1350">
            <v>45941</v>
          </cell>
          <cell r="F1350">
            <v>210</v>
          </cell>
          <cell r="G1350" t="str">
            <v>E031B 110 MM FOLYOLU 17 OPAK MAVİ PLT.IC.KOLI STANDART</v>
          </cell>
          <cell r="J1350">
            <v>4</v>
          </cell>
          <cell r="K1350">
            <v>3</v>
          </cell>
          <cell r="L1350">
            <v>22.2</v>
          </cell>
        </row>
        <row r="1351">
          <cell r="A1351">
            <v>45941</v>
          </cell>
          <cell r="F1351">
            <v>303</v>
          </cell>
          <cell r="G1351" t="str">
            <v>PR014 110 MM 12 GÖZ TWIST OFF PREFORM 91 OPAK SİYAH KOLI STANDART</v>
          </cell>
          <cell r="J1351">
            <v>12</v>
          </cell>
          <cell r="K1351">
            <v>7</v>
          </cell>
          <cell r="L1351">
            <v>43.6</v>
          </cell>
        </row>
        <row r="1352">
          <cell r="A1352">
            <v>45943</v>
          </cell>
          <cell r="F1352">
            <v>401</v>
          </cell>
          <cell r="G1352" t="str">
            <v>1500 CC S011 125 ŞEFFAF ŞEFFAF PLS. PLT STANDART</v>
          </cell>
          <cell r="J1352">
            <v>1</v>
          </cell>
          <cell r="K1352">
            <v>1</v>
          </cell>
          <cell r="L1352">
            <v>9.99</v>
          </cell>
        </row>
        <row r="1353">
          <cell r="A1353">
            <v>45943</v>
          </cell>
          <cell r="F1353">
            <v>203</v>
          </cell>
          <cell r="G1353" t="str">
            <v>E129 6 ŞEFFAF SARI PLT.IC.KOLI STANDART</v>
          </cell>
          <cell r="J1353">
            <v>8</v>
          </cell>
          <cell r="K1353">
            <v>7</v>
          </cell>
          <cell r="L1353">
            <v>16.899999999999999</v>
          </cell>
        </row>
        <row r="1354">
          <cell r="A1354">
            <v>45943</v>
          </cell>
          <cell r="F1354">
            <v>204</v>
          </cell>
          <cell r="G1354" t="str">
            <v>E128 28 MM 8 OPAK YEŞİL KOLI CAKMA</v>
          </cell>
          <cell r="J1354">
            <v>4</v>
          </cell>
          <cell r="K1354">
            <v>2</v>
          </cell>
          <cell r="L1354">
            <v>16.899999999999999</v>
          </cell>
        </row>
        <row r="1355">
          <cell r="A1355">
            <v>45943</v>
          </cell>
          <cell r="F1355">
            <v>205</v>
          </cell>
          <cell r="G1355" t="str">
            <v>E049 24 MM KAPAK 3 OPAK YEŞİL PLT.IC.KOLI STANDART</v>
          </cell>
          <cell r="J1355">
            <v>12</v>
          </cell>
          <cell r="K1355">
            <v>9</v>
          </cell>
          <cell r="L1355">
            <v>23.6</v>
          </cell>
        </row>
        <row r="1356">
          <cell r="A1356">
            <v>45943</v>
          </cell>
          <cell r="F1356">
            <v>206</v>
          </cell>
          <cell r="G1356" t="str">
            <v>E064 90 MM KULPLU 17 OPAK SARI KOLI STANDART</v>
          </cell>
          <cell r="J1356">
            <v>4</v>
          </cell>
          <cell r="K1356">
            <v>3</v>
          </cell>
          <cell r="L1356">
            <v>20.7</v>
          </cell>
        </row>
        <row r="1357">
          <cell r="A1357">
            <v>45943</v>
          </cell>
          <cell r="F1357">
            <v>207</v>
          </cell>
          <cell r="G1357" t="str">
            <v>E121A 28MM TRIMSIZ KAPAK 10 OPAK KIRMIZI KOLI STANDART</v>
          </cell>
          <cell r="J1357">
            <v>12</v>
          </cell>
          <cell r="K1357">
            <v>9</v>
          </cell>
          <cell r="L1357">
            <v>27.05</v>
          </cell>
        </row>
        <row r="1358">
          <cell r="A1358">
            <v>45943</v>
          </cell>
          <cell r="F1358">
            <v>210</v>
          </cell>
          <cell r="G1358" t="str">
            <v>E031A 110 MM ETİKETLİ FOLYOLU 17 OPAK GOLD PLT.IC.KOLI STANDART</v>
          </cell>
          <cell r="J1358">
            <v>4</v>
          </cell>
          <cell r="K1358">
            <v>4</v>
          </cell>
          <cell r="L1358">
            <v>22.3</v>
          </cell>
        </row>
        <row r="1359">
          <cell r="A1359">
            <v>45943</v>
          </cell>
          <cell r="F1359">
            <v>303</v>
          </cell>
          <cell r="G1359" t="str">
            <v>PR014 110 MM 12 GÖZ TWIST OFF PREFORM 91 OPAK SİYAH KOLI STANDART</v>
          </cell>
          <cell r="J1359">
            <v>12</v>
          </cell>
          <cell r="K1359">
            <v>7</v>
          </cell>
          <cell r="L1359">
            <v>43.4</v>
          </cell>
        </row>
        <row r="1360">
          <cell r="A1360">
            <v>45944</v>
          </cell>
          <cell r="F1360">
            <v>401</v>
          </cell>
          <cell r="G1360" t="str">
            <v>1500 CC S011 125 ŞEFFAF ŞEFFAF PLS. PLT STANDART</v>
          </cell>
          <cell r="J1360">
            <v>1</v>
          </cell>
          <cell r="K1360">
            <v>1</v>
          </cell>
          <cell r="L1360">
            <v>10.87</v>
          </cell>
        </row>
        <row r="1361">
          <cell r="A1361">
            <v>45944</v>
          </cell>
          <cell r="F1361">
            <v>203</v>
          </cell>
          <cell r="G1361" t="str">
            <v>E129 6 ŞEFFAF SARI PLT.IC.KOLI STANDART</v>
          </cell>
          <cell r="J1361">
            <v>8</v>
          </cell>
          <cell r="K1361">
            <v>7</v>
          </cell>
          <cell r="L1361">
            <v>17.100000000000001</v>
          </cell>
        </row>
        <row r="1362">
          <cell r="A1362">
            <v>45944</v>
          </cell>
          <cell r="F1362">
            <v>204</v>
          </cell>
          <cell r="G1362" t="str">
            <v>E128 28 MM 8 OPAK BEYAZ KOLI CAKMA</v>
          </cell>
          <cell r="J1362">
            <v>4</v>
          </cell>
          <cell r="K1362">
            <v>2</v>
          </cell>
          <cell r="L1362">
            <v>16.899999999999999</v>
          </cell>
        </row>
        <row r="1363">
          <cell r="A1363">
            <v>45944</v>
          </cell>
          <cell r="F1363">
            <v>205</v>
          </cell>
          <cell r="G1363" t="str">
            <v>E049 24 MM KAPAK 3 OPAK YEŞİL PLT.IC.KOLI STANDART</v>
          </cell>
          <cell r="J1363">
            <v>12</v>
          </cell>
          <cell r="K1363">
            <v>9</v>
          </cell>
          <cell r="L1363">
            <v>23</v>
          </cell>
        </row>
        <row r="1364">
          <cell r="A1364">
            <v>45944</v>
          </cell>
          <cell r="F1364">
            <v>206</v>
          </cell>
          <cell r="G1364" t="str">
            <v>E064 90 MM KULPLU 17 OPAK SARI KOLI STANDART</v>
          </cell>
          <cell r="J1364">
            <v>4</v>
          </cell>
          <cell r="K1364">
            <v>3</v>
          </cell>
          <cell r="L1364">
            <v>22.8</v>
          </cell>
        </row>
        <row r="1365">
          <cell r="A1365">
            <v>45944</v>
          </cell>
          <cell r="F1365">
            <v>207</v>
          </cell>
          <cell r="G1365" t="str">
            <v>E121A 28MM TRIMSIZ KAPAK 10 OPAK KIRMIZI KOLI STANDART</v>
          </cell>
          <cell r="J1365">
            <v>12</v>
          </cell>
          <cell r="K1365">
            <v>9</v>
          </cell>
          <cell r="L1365">
            <v>26.87</v>
          </cell>
        </row>
        <row r="1366">
          <cell r="A1366">
            <v>45944</v>
          </cell>
          <cell r="F1366">
            <v>209</v>
          </cell>
          <cell r="G1366" t="str">
            <v>E125 62 MM BAHARAT FLİPTOP 12 OPAK GOLD KOLI STANDART</v>
          </cell>
          <cell r="J1366">
            <v>4</v>
          </cell>
          <cell r="K1366">
            <v>3</v>
          </cell>
          <cell r="L1366">
            <v>24.1</v>
          </cell>
        </row>
        <row r="1367">
          <cell r="A1367">
            <v>45944</v>
          </cell>
          <cell r="F1367">
            <v>210</v>
          </cell>
          <cell r="G1367" t="str">
            <v>E032 100 MM ETİKETLİ FOLYOLU 13 OPAK YEŞİL PLT.IC.KOLI STANDART</v>
          </cell>
          <cell r="J1367">
            <v>4</v>
          </cell>
          <cell r="K1367">
            <v>4</v>
          </cell>
          <cell r="L1367">
            <v>21.2</v>
          </cell>
        </row>
        <row r="1368">
          <cell r="A1368">
            <v>45944</v>
          </cell>
          <cell r="F1368">
            <v>303</v>
          </cell>
          <cell r="G1368" t="str">
            <v>PR014 110 MM 12 GÖZ TWIST OFF PREFORM 91 OPAK SİYAH KOLI STANDART</v>
          </cell>
          <cell r="J1368">
            <v>12</v>
          </cell>
          <cell r="K1368">
            <v>7</v>
          </cell>
          <cell r="L1368">
            <v>43.4</v>
          </cell>
        </row>
        <row r="1369">
          <cell r="A1369">
            <v>45944</v>
          </cell>
          <cell r="F1369">
            <v>501</v>
          </cell>
          <cell r="G1369" t="str">
            <v>150 CC P134 18 OPAK BEYAZ PALET STANDART</v>
          </cell>
          <cell r="J1369">
            <v>6</v>
          </cell>
          <cell r="K1369">
            <v>6</v>
          </cell>
          <cell r="L1369">
            <v>14</v>
          </cell>
        </row>
        <row r="1370">
          <cell r="A1370">
            <v>45945</v>
          </cell>
          <cell r="F1370">
            <v>401</v>
          </cell>
          <cell r="G1370" t="str">
            <v>1500 CC S011 125 ŞEFFAF ŞEFFAF PLS. PLT STANDART</v>
          </cell>
          <cell r="J1370">
            <v>1</v>
          </cell>
          <cell r="K1370">
            <v>1</v>
          </cell>
          <cell r="L1370">
            <v>10.97</v>
          </cell>
        </row>
        <row r="1371">
          <cell r="A1371">
            <v>45945</v>
          </cell>
          <cell r="F1371">
            <v>405</v>
          </cell>
          <cell r="G1371" t="str">
            <v>1200 CC S023 91 OPAK LACİVERT PALET STANDART</v>
          </cell>
          <cell r="J1371">
            <v>2</v>
          </cell>
          <cell r="K1371">
            <v>2</v>
          </cell>
          <cell r="L1371">
            <v>8.6999999999999993</v>
          </cell>
        </row>
        <row r="1372">
          <cell r="A1372">
            <v>45945</v>
          </cell>
          <cell r="F1372">
            <v>303</v>
          </cell>
          <cell r="G1372" t="str">
            <v>PR014 110 MM 12 GÖZ TWIST OFF PREFORM 91 OPAK LACİVERT KOLI STANDART</v>
          </cell>
          <cell r="J1372">
            <v>12</v>
          </cell>
          <cell r="K1372">
            <v>7</v>
          </cell>
          <cell r="L1372">
            <v>39.4</v>
          </cell>
        </row>
        <row r="1373">
          <cell r="A1373">
            <v>45945</v>
          </cell>
          <cell r="F1373">
            <v>203</v>
          </cell>
          <cell r="G1373" t="str">
            <v>E129 6 ŞEFFAF SARI PLT.IC.KOLI STANDART</v>
          </cell>
          <cell r="J1373">
            <v>8</v>
          </cell>
          <cell r="K1373">
            <v>7</v>
          </cell>
          <cell r="L1373">
            <v>17.2</v>
          </cell>
        </row>
        <row r="1374">
          <cell r="A1374">
            <v>45945</v>
          </cell>
          <cell r="F1374">
            <v>204</v>
          </cell>
          <cell r="G1374" t="str">
            <v>E128 28 MM 8 OPAK BEYAZ KOLI CAKMA</v>
          </cell>
          <cell r="J1374">
            <v>4</v>
          </cell>
          <cell r="K1374">
            <v>2</v>
          </cell>
          <cell r="L1374">
            <v>17</v>
          </cell>
        </row>
        <row r="1375">
          <cell r="A1375">
            <v>45945</v>
          </cell>
          <cell r="F1375">
            <v>205</v>
          </cell>
          <cell r="G1375" t="str">
            <v>E049 24 MM KAPAK 3 OPAK YEŞİL PLT.IC.KOLI STANDART</v>
          </cell>
          <cell r="J1375">
            <v>12</v>
          </cell>
          <cell r="K1375">
            <v>9</v>
          </cell>
          <cell r="L1375">
            <v>23</v>
          </cell>
        </row>
        <row r="1376">
          <cell r="A1376">
            <v>45945</v>
          </cell>
          <cell r="F1376">
            <v>206</v>
          </cell>
          <cell r="G1376" t="str">
            <v>E064 90 MM KULPLU 17 OPAK SARI KOLI STANDART</v>
          </cell>
          <cell r="J1376">
            <v>4</v>
          </cell>
          <cell r="K1376">
            <v>3</v>
          </cell>
          <cell r="L1376">
            <v>20</v>
          </cell>
        </row>
        <row r="1377">
          <cell r="A1377">
            <v>45945</v>
          </cell>
          <cell r="F1377">
            <v>207</v>
          </cell>
          <cell r="G1377" t="str">
            <v>E121A 28MM TRIMSIZ KAPAK 10 OPAK KIRMIZI KOLI STANDART</v>
          </cell>
          <cell r="J1377">
            <v>12</v>
          </cell>
          <cell r="K1377">
            <v>9</v>
          </cell>
          <cell r="L1377">
            <v>26.99</v>
          </cell>
        </row>
        <row r="1378">
          <cell r="A1378">
            <v>45945</v>
          </cell>
          <cell r="F1378">
            <v>209</v>
          </cell>
          <cell r="G1378" t="str">
            <v>E125 62 MM BAHARAT FLİPTOP 12 OPAK GOLD KOLI STANDART</v>
          </cell>
          <cell r="J1378">
            <v>4</v>
          </cell>
          <cell r="K1378">
            <v>3</v>
          </cell>
          <cell r="L1378">
            <v>23.2</v>
          </cell>
        </row>
        <row r="1379">
          <cell r="A1379">
            <v>45945</v>
          </cell>
          <cell r="F1379">
            <v>210</v>
          </cell>
          <cell r="G1379" t="str">
            <v>E032 100 MM ETİKETLİ FOLYOLU 13 OPAK YEŞİL PLT.IC.KOLI STANDART</v>
          </cell>
          <cell r="J1379">
            <v>4</v>
          </cell>
          <cell r="K1379">
            <v>4</v>
          </cell>
          <cell r="L1379">
            <v>18.899999999999999</v>
          </cell>
        </row>
        <row r="1380">
          <cell r="A1380">
            <v>45945</v>
          </cell>
          <cell r="F1380">
            <v>212</v>
          </cell>
          <cell r="G1380" t="str">
            <v>E123 28 MM FLİPTOP 13 ŞEFFAF GÜL KURUSU PLT.IC.KOLI STANDART</v>
          </cell>
          <cell r="J1380">
            <v>12</v>
          </cell>
          <cell r="K1380">
            <v>12</v>
          </cell>
          <cell r="L1380">
            <v>22.23</v>
          </cell>
        </row>
        <row r="1381">
          <cell r="A1381">
            <v>45945</v>
          </cell>
          <cell r="F1381">
            <v>501</v>
          </cell>
          <cell r="G1381" t="str">
            <v>150 CC P134 18 OPAK BEYAZ PALET STANDART</v>
          </cell>
          <cell r="J1381">
            <v>6</v>
          </cell>
          <cell r="K1381">
            <v>6</v>
          </cell>
          <cell r="L1381">
            <v>16.02</v>
          </cell>
        </row>
        <row r="1382">
          <cell r="A1382">
            <v>45947</v>
          </cell>
          <cell r="F1382">
            <v>405</v>
          </cell>
          <cell r="G1382" t="str">
            <v>1200 CC S023 91 OPAK SİYAH PALET STANDART</v>
          </cell>
          <cell r="J1382">
            <v>2</v>
          </cell>
          <cell r="K1382">
            <v>2</v>
          </cell>
          <cell r="L1382">
            <v>8.6999999999999993</v>
          </cell>
        </row>
        <row r="1383">
          <cell r="A1383">
            <v>45947</v>
          </cell>
          <cell r="F1383">
            <v>501</v>
          </cell>
          <cell r="G1383" t="str">
            <v>150 CC P134 18 OPAK BEYAZ PALET STANDART</v>
          </cell>
          <cell r="J1383">
            <v>6</v>
          </cell>
          <cell r="K1383">
            <v>6</v>
          </cell>
          <cell r="L1383">
            <v>15.02</v>
          </cell>
        </row>
        <row r="1384">
          <cell r="A1384">
            <v>45947</v>
          </cell>
          <cell r="F1384">
            <v>203</v>
          </cell>
          <cell r="G1384" t="str">
            <v>E129 6 ŞEFFAF SARI PLT.IC.KOLI STANDART</v>
          </cell>
          <cell r="J1384">
            <v>8</v>
          </cell>
          <cell r="K1384">
            <v>7</v>
          </cell>
          <cell r="L1384">
            <v>16.899999999999999</v>
          </cell>
        </row>
        <row r="1385">
          <cell r="A1385">
            <v>45947</v>
          </cell>
          <cell r="F1385">
            <v>204</v>
          </cell>
          <cell r="G1385" t="str">
            <v>E128 28 MM 8 OPAK BEYAZ KOLI CAKMA</v>
          </cell>
          <cell r="J1385">
            <v>4</v>
          </cell>
          <cell r="K1385">
            <v>2</v>
          </cell>
          <cell r="L1385">
            <v>17.8</v>
          </cell>
        </row>
        <row r="1386">
          <cell r="A1386">
            <v>45947</v>
          </cell>
          <cell r="F1386">
            <v>205</v>
          </cell>
          <cell r="G1386" t="str">
            <v>E049 24 MM KAPAK 3 OPAK YEŞİL PLT.IC.KOLI STANDART</v>
          </cell>
          <cell r="J1386">
            <v>12</v>
          </cell>
          <cell r="K1386">
            <v>9</v>
          </cell>
          <cell r="L1386">
            <v>23</v>
          </cell>
        </row>
        <row r="1387">
          <cell r="A1387">
            <v>45947</v>
          </cell>
          <cell r="F1387">
            <v>206</v>
          </cell>
          <cell r="G1387" t="str">
            <v>E064 90 MM KULPLU 17 OPAK SARI KOLI STANDART</v>
          </cell>
          <cell r="J1387">
            <v>4</v>
          </cell>
          <cell r="K1387">
            <v>3</v>
          </cell>
          <cell r="L1387">
            <v>20.100000000000001</v>
          </cell>
        </row>
        <row r="1388">
          <cell r="A1388">
            <v>45947</v>
          </cell>
          <cell r="F1388">
            <v>207</v>
          </cell>
          <cell r="G1388" t="str">
            <v>E121A 28MM TRIMSIZ KAPAK 10 OPAK KIRMIZI KOLI STANDART</v>
          </cell>
          <cell r="J1388">
            <v>12</v>
          </cell>
          <cell r="K1388">
            <v>9</v>
          </cell>
          <cell r="L1388">
            <v>26.91</v>
          </cell>
        </row>
        <row r="1389">
          <cell r="A1389">
            <v>45947</v>
          </cell>
          <cell r="F1389">
            <v>209</v>
          </cell>
          <cell r="G1389" t="str">
            <v>E125 62 MM BAHARAT FLİPTOP 12 OPAK YEŞİL PLT.IC.KOLI STANDART</v>
          </cell>
          <cell r="J1389">
            <v>4</v>
          </cell>
          <cell r="K1389">
            <v>3</v>
          </cell>
          <cell r="L1389">
            <v>24</v>
          </cell>
        </row>
        <row r="1390">
          <cell r="A1390">
            <v>45947</v>
          </cell>
          <cell r="F1390">
            <v>210</v>
          </cell>
          <cell r="G1390" t="str">
            <v>E032 100 MM ETİKETLİ FOLYOLU 13 OPAK YEŞİL PLT.IC.KOLI STANDART</v>
          </cell>
          <cell r="J1390">
            <v>4</v>
          </cell>
          <cell r="K1390">
            <v>4</v>
          </cell>
          <cell r="L1390">
            <v>18.399999999999999</v>
          </cell>
        </row>
        <row r="1391">
          <cell r="A1391">
            <v>45947</v>
          </cell>
          <cell r="F1391">
            <v>212</v>
          </cell>
          <cell r="G1391" t="str">
            <v>E123 28 MM FLİPTOP 13 ŞEFFAF GÜL KURUSU PLT.IC.KOLI STANDART</v>
          </cell>
          <cell r="J1391">
            <v>12</v>
          </cell>
          <cell r="K1391">
            <v>12</v>
          </cell>
          <cell r="L1391">
            <v>23.84</v>
          </cell>
        </row>
        <row r="1392">
          <cell r="A1392">
            <v>45950</v>
          </cell>
          <cell r="F1392">
            <v>401</v>
          </cell>
          <cell r="G1392" t="str">
            <v>700 CC S006 90 ŞEFFAF ŞEFFAF PLS. PLT STANDART</v>
          </cell>
          <cell r="J1392">
            <v>1</v>
          </cell>
          <cell r="K1392">
            <v>1</v>
          </cell>
          <cell r="L1392">
            <v>9.3699999999999992</v>
          </cell>
        </row>
        <row r="1393">
          <cell r="A1393">
            <v>45950</v>
          </cell>
          <cell r="F1393">
            <v>405</v>
          </cell>
          <cell r="G1393" t="str">
            <v>1200 CC S023 91 OPAK SİYAH PALET STANDART</v>
          </cell>
          <cell r="J1393">
            <v>2</v>
          </cell>
          <cell r="K1393">
            <v>2</v>
          </cell>
          <cell r="L1393">
            <v>8.6</v>
          </cell>
        </row>
        <row r="1394">
          <cell r="A1394">
            <v>45950</v>
          </cell>
          <cell r="F1394">
            <v>501</v>
          </cell>
          <cell r="G1394" t="str">
            <v>150 CC P134 18 OPAK BEYAZ PALET STANDART</v>
          </cell>
          <cell r="J1394">
            <v>6</v>
          </cell>
          <cell r="K1394">
            <v>6</v>
          </cell>
          <cell r="L1394">
            <v>16.02</v>
          </cell>
        </row>
        <row r="1395">
          <cell r="A1395">
            <v>45950</v>
          </cell>
          <cell r="F1395">
            <v>203</v>
          </cell>
          <cell r="G1395" t="str">
            <v>E129 6 ŞEFFAF SARI PLT.IC.KOLI STANDART</v>
          </cell>
          <cell r="J1395">
            <v>8</v>
          </cell>
          <cell r="K1395">
            <v>7</v>
          </cell>
          <cell r="L1395">
            <v>19.7</v>
          </cell>
        </row>
        <row r="1396">
          <cell r="A1396">
            <v>45950</v>
          </cell>
          <cell r="F1396">
            <v>204</v>
          </cell>
          <cell r="G1396" t="str">
            <v>E128 28 MM 8 OPAK BEYAZ KOLI CAKMA</v>
          </cell>
          <cell r="J1396">
            <v>4</v>
          </cell>
          <cell r="K1396">
            <v>2</v>
          </cell>
          <cell r="L1396">
            <v>16.899999999999999</v>
          </cell>
        </row>
        <row r="1397">
          <cell r="A1397">
            <v>45950</v>
          </cell>
          <cell r="F1397">
            <v>205</v>
          </cell>
          <cell r="G1397" t="str">
            <v>E049 24 MM KAPAK 3 OPAK YEŞİL PLT.IC.KOLI STANDART</v>
          </cell>
          <cell r="J1397">
            <v>12</v>
          </cell>
          <cell r="K1397">
            <v>9</v>
          </cell>
          <cell r="L1397">
            <v>23.2</v>
          </cell>
        </row>
        <row r="1398">
          <cell r="A1398">
            <v>45950</v>
          </cell>
          <cell r="F1398">
            <v>206</v>
          </cell>
          <cell r="G1398" t="str">
            <v>E064 90 MM KULPLU 17 OPAK SARI KOLI STANDART</v>
          </cell>
          <cell r="J1398">
            <v>4</v>
          </cell>
          <cell r="K1398">
            <v>4</v>
          </cell>
          <cell r="L1398">
            <v>26.1</v>
          </cell>
        </row>
        <row r="1399">
          <cell r="A1399">
            <v>45950</v>
          </cell>
          <cell r="F1399">
            <v>207</v>
          </cell>
          <cell r="G1399" t="str">
            <v>E121A 28MM TRIMSIZ KAPAK 10 OPAK KIRMIZI KOLI STANDART</v>
          </cell>
          <cell r="J1399">
            <v>12</v>
          </cell>
          <cell r="K1399">
            <v>9</v>
          </cell>
          <cell r="L1399">
            <v>26.86</v>
          </cell>
        </row>
        <row r="1400">
          <cell r="A1400">
            <v>45950</v>
          </cell>
          <cell r="F1400">
            <v>209</v>
          </cell>
          <cell r="G1400" t="str">
            <v>E125 62 MM BAHARAT FLİPTOP 12 OPAK GOLD KOLI STANDART</v>
          </cell>
          <cell r="J1400">
            <v>4</v>
          </cell>
          <cell r="K1400">
            <v>4</v>
          </cell>
          <cell r="L1400">
            <v>23.5</v>
          </cell>
        </row>
        <row r="1401">
          <cell r="A1401">
            <v>45950</v>
          </cell>
          <cell r="F1401">
            <v>210</v>
          </cell>
          <cell r="G1401" t="str">
            <v>E032 100 MM ETİKETLİ FOLYOLU 13 OPAK YEŞİL PLT.IC.KOLI STANDART</v>
          </cell>
          <cell r="J1401">
            <v>4</v>
          </cell>
          <cell r="K1401">
            <v>4</v>
          </cell>
          <cell r="L1401">
            <v>18.5</v>
          </cell>
        </row>
        <row r="1402">
          <cell r="A1402">
            <v>45951</v>
          </cell>
          <cell r="F1402">
            <v>401</v>
          </cell>
          <cell r="G1402" t="str">
            <v>1500 CC S011 125 ŞEFFAF ŞEFFAF PLS. PLT STANDART</v>
          </cell>
          <cell r="J1402">
            <v>1</v>
          </cell>
          <cell r="K1402">
            <v>1</v>
          </cell>
          <cell r="L1402">
            <v>11.78</v>
          </cell>
        </row>
        <row r="1403">
          <cell r="A1403">
            <v>45951</v>
          </cell>
          <cell r="F1403">
            <v>405</v>
          </cell>
          <cell r="G1403" t="str">
            <v>750 CC S034 60 OPAK BEYAZ PALET STANDART</v>
          </cell>
          <cell r="J1403">
            <v>2</v>
          </cell>
          <cell r="K1403">
            <v>2</v>
          </cell>
          <cell r="L1403">
            <v>8.6999999999999993</v>
          </cell>
        </row>
        <row r="1404">
          <cell r="A1404">
            <v>45951</v>
          </cell>
          <cell r="F1404">
            <v>303</v>
          </cell>
          <cell r="G1404" t="str">
            <v>PR014 110 MM 12 GÖZ TWIST OFF PREFORM 91 OPAK SİYAH KOLI STANDART</v>
          </cell>
          <cell r="J1404">
            <v>12</v>
          </cell>
          <cell r="K1404">
            <v>7</v>
          </cell>
          <cell r="L1404">
            <v>44.8</v>
          </cell>
        </row>
        <row r="1405">
          <cell r="A1405">
            <v>45951</v>
          </cell>
          <cell r="F1405">
            <v>501</v>
          </cell>
          <cell r="G1405" t="str">
            <v>150 CC P134 18 OPAK BEYAZ PALET STANDART</v>
          </cell>
          <cell r="J1405">
            <v>6</v>
          </cell>
          <cell r="K1405">
            <v>6</v>
          </cell>
          <cell r="L1405">
            <v>16.02</v>
          </cell>
        </row>
        <row r="1406">
          <cell r="A1406">
            <v>45951</v>
          </cell>
          <cell r="F1406">
            <v>203</v>
          </cell>
          <cell r="G1406" t="str">
            <v>E129 6 ŞEFFAF SARI PLT.IC.KOLI STANDART</v>
          </cell>
          <cell r="J1406">
            <v>8</v>
          </cell>
          <cell r="K1406">
            <v>7</v>
          </cell>
          <cell r="L1406">
            <v>18.600000000000001</v>
          </cell>
        </row>
        <row r="1407">
          <cell r="A1407">
            <v>45951</v>
          </cell>
          <cell r="F1407">
            <v>204</v>
          </cell>
          <cell r="G1407" t="str">
            <v>E128 28 MM 8 OPAK BEYAZ KOLI CAKMA</v>
          </cell>
          <cell r="J1407">
            <v>4</v>
          </cell>
          <cell r="K1407">
            <v>2</v>
          </cell>
          <cell r="L1407">
            <v>16.899999999999999</v>
          </cell>
        </row>
        <row r="1408">
          <cell r="A1408">
            <v>45951</v>
          </cell>
          <cell r="F1408">
            <v>205</v>
          </cell>
          <cell r="G1408" t="str">
            <v>E049 24 MM KAPAK 3 OPAK YEŞİL PLT.IC.KOLI STANDART</v>
          </cell>
          <cell r="J1408">
            <v>12</v>
          </cell>
          <cell r="K1408">
            <v>9</v>
          </cell>
          <cell r="L1408">
            <v>23.3</v>
          </cell>
        </row>
        <row r="1409">
          <cell r="A1409">
            <v>45951</v>
          </cell>
          <cell r="F1409">
            <v>206</v>
          </cell>
          <cell r="G1409" t="str">
            <v>E064 90 MM KULPLU 17 OPAK SARI KOLI STANDART</v>
          </cell>
          <cell r="J1409">
            <v>4</v>
          </cell>
          <cell r="K1409">
            <v>3</v>
          </cell>
          <cell r="L1409">
            <v>18.899999999999999</v>
          </cell>
        </row>
        <row r="1410">
          <cell r="A1410">
            <v>45951</v>
          </cell>
          <cell r="F1410">
            <v>207</v>
          </cell>
          <cell r="G1410" t="str">
            <v>E121A 28MM TRIMSIZ KAPAK 10 OPAK KIRMIZI KOLI STANDART</v>
          </cell>
          <cell r="J1410">
            <v>12</v>
          </cell>
          <cell r="K1410">
            <v>9</v>
          </cell>
          <cell r="L1410">
            <v>26.95</v>
          </cell>
        </row>
        <row r="1411">
          <cell r="A1411">
            <v>45951</v>
          </cell>
          <cell r="F1411">
            <v>209</v>
          </cell>
          <cell r="G1411" t="str">
            <v>E125 62 MM BAHARAT FLİPTOP 12 OPAK GOLD KOLI STANDART</v>
          </cell>
          <cell r="J1411">
            <v>4</v>
          </cell>
          <cell r="K1411">
            <v>3</v>
          </cell>
          <cell r="L1411">
            <v>24</v>
          </cell>
        </row>
        <row r="1412">
          <cell r="A1412">
            <v>45951</v>
          </cell>
          <cell r="F1412">
            <v>210</v>
          </cell>
          <cell r="G1412" t="str">
            <v>E032 100 MM ETİKETLİ FOLYOLU 13 OPAK MAVİ PLT.IC.KOLI STANDART</v>
          </cell>
          <cell r="J1412">
            <v>4</v>
          </cell>
          <cell r="K1412">
            <v>4</v>
          </cell>
          <cell r="L1412">
            <v>17.600000000000001</v>
          </cell>
        </row>
        <row r="1413">
          <cell r="A1413">
            <v>45952</v>
          </cell>
          <cell r="F1413">
            <v>401</v>
          </cell>
          <cell r="G1413" t="str">
            <v>1500 CC S011 125 ŞEFFAF ŞEFFAF PLS. PLT STANDART</v>
          </cell>
          <cell r="J1413">
            <v>1</v>
          </cell>
          <cell r="K1413">
            <v>1</v>
          </cell>
          <cell r="L1413">
            <v>11.81</v>
          </cell>
        </row>
        <row r="1414">
          <cell r="A1414">
            <v>45952</v>
          </cell>
          <cell r="F1414">
            <v>405</v>
          </cell>
          <cell r="G1414" t="str">
            <v>750 CC S034 60 OPAK BEYAZ PALET STANDART</v>
          </cell>
          <cell r="J1414">
            <v>2</v>
          </cell>
          <cell r="K1414">
            <v>2</v>
          </cell>
          <cell r="L1414">
            <v>8.9</v>
          </cell>
        </row>
        <row r="1415">
          <cell r="A1415">
            <v>45952</v>
          </cell>
          <cell r="F1415">
            <v>303</v>
          </cell>
          <cell r="G1415" t="str">
            <v>PR014 110 MM 12 GÖZ YİVLİ PREFORM 91 ŞEFFAF ŞEFFAF KOLI STANDART</v>
          </cell>
          <cell r="J1415">
            <v>12</v>
          </cell>
          <cell r="K1415">
            <v>7</v>
          </cell>
          <cell r="L1415">
            <v>42.8</v>
          </cell>
        </row>
        <row r="1416">
          <cell r="A1416">
            <v>45952</v>
          </cell>
          <cell r="F1416">
            <v>203</v>
          </cell>
          <cell r="G1416" t="str">
            <v>E129 6 ŞEFFAF SARI PLT.IC.KOLI STANDART</v>
          </cell>
          <cell r="J1416">
            <v>8</v>
          </cell>
          <cell r="K1416">
            <v>8</v>
          </cell>
          <cell r="L1416">
            <v>20.7</v>
          </cell>
        </row>
        <row r="1417">
          <cell r="A1417">
            <v>45952</v>
          </cell>
          <cell r="F1417">
            <v>204</v>
          </cell>
          <cell r="G1417" t="str">
            <v>E128 28 MM 8 OPAK BEYAZ KOLI CAKMA</v>
          </cell>
          <cell r="J1417">
            <v>4</v>
          </cell>
          <cell r="K1417">
            <v>2</v>
          </cell>
          <cell r="L1417">
            <v>15.9</v>
          </cell>
        </row>
        <row r="1418">
          <cell r="A1418">
            <v>45952</v>
          </cell>
          <cell r="F1418">
            <v>205</v>
          </cell>
          <cell r="G1418" t="str">
            <v>E049 24 MM KAPAK 3 OPAK YEŞİL PLT.IC.KOLI STANDART</v>
          </cell>
          <cell r="J1418">
            <v>12</v>
          </cell>
          <cell r="K1418">
            <v>9</v>
          </cell>
          <cell r="L1418">
            <v>24.1</v>
          </cell>
        </row>
        <row r="1419">
          <cell r="A1419">
            <v>45952</v>
          </cell>
          <cell r="F1419">
            <v>207</v>
          </cell>
          <cell r="G1419" t="str">
            <v>E121A 28MM TRIMSIZ KAPAK 10 OPAK KIRMIZI KOLI STANDART</v>
          </cell>
          <cell r="J1419">
            <v>12</v>
          </cell>
          <cell r="K1419">
            <v>7</v>
          </cell>
          <cell r="L1419">
            <v>26.97</v>
          </cell>
        </row>
        <row r="1420">
          <cell r="A1420">
            <v>45952</v>
          </cell>
          <cell r="F1420">
            <v>209</v>
          </cell>
          <cell r="G1420" t="str">
            <v>E125 62 MM BAHARAT FLİPTOP 12 OPAK GOLD KOLI STANDART</v>
          </cell>
          <cell r="J1420">
            <v>4</v>
          </cell>
          <cell r="K1420">
            <v>3</v>
          </cell>
          <cell r="L1420">
            <v>24.1</v>
          </cell>
        </row>
        <row r="1421">
          <cell r="A1421">
            <v>45952</v>
          </cell>
          <cell r="F1421">
            <v>210</v>
          </cell>
          <cell r="G1421" t="str">
            <v>E032 100 MM ETİKETLİ FOLYOLU 13 OPAK MAVİ PLT.IC.KOLI STANDART</v>
          </cell>
          <cell r="J1421">
            <v>4</v>
          </cell>
          <cell r="K1421">
            <v>4</v>
          </cell>
          <cell r="L1421">
            <v>18.8</v>
          </cell>
        </row>
        <row r="1422">
          <cell r="A1422">
            <v>45952</v>
          </cell>
          <cell r="F1422">
            <v>212</v>
          </cell>
          <cell r="G1422" t="str">
            <v>E123 28 MM FLİPTOP 13 ŞEFFAF YEŞİL PLT.IC.KOLI STANDART</v>
          </cell>
          <cell r="J1422">
            <v>12</v>
          </cell>
          <cell r="K1422">
            <v>12</v>
          </cell>
          <cell r="L1422">
            <v>22.53</v>
          </cell>
        </row>
        <row r="1423">
          <cell r="A1423">
            <v>45953</v>
          </cell>
          <cell r="F1423">
            <v>203</v>
          </cell>
          <cell r="G1423" t="str">
            <v>E129 6 ŞEFFAF SARI PLT.IC.KOLI STANDART</v>
          </cell>
          <cell r="J1423">
            <v>8</v>
          </cell>
          <cell r="K1423">
            <v>8</v>
          </cell>
          <cell r="L1423">
            <v>20.5</v>
          </cell>
        </row>
        <row r="1424">
          <cell r="A1424">
            <v>45953</v>
          </cell>
          <cell r="F1424">
            <v>204</v>
          </cell>
          <cell r="G1424" t="str">
            <v>E128 28 MM 8 OPAK BEYAZ KOLI CAKMA</v>
          </cell>
          <cell r="J1424">
            <v>4</v>
          </cell>
          <cell r="K1424">
            <v>2</v>
          </cell>
          <cell r="L1424">
            <v>15.4</v>
          </cell>
        </row>
        <row r="1425">
          <cell r="A1425">
            <v>45953</v>
          </cell>
          <cell r="F1425">
            <v>205</v>
          </cell>
          <cell r="G1425" t="str">
            <v>E049 24 MM KAPAK 3 OPAK YEŞİL PLT.IC.KOLI STANDART</v>
          </cell>
          <cell r="J1425">
            <v>12</v>
          </cell>
          <cell r="K1425">
            <v>9</v>
          </cell>
          <cell r="L1425">
            <v>23.5</v>
          </cell>
        </row>
        <row r="1426">
          <cell r="A1426">
            <v>45953</v>
          </cell>
          <cell r="F1426">
            <v>207</v>
          </cell>
          <cell r="G1426" t="str">
            <v>E121A 28MM TRIMSIZ KAPAK 10 OPAK KIRMIZI KOLI STANDART</v>
          </cell>
          <cell r="J1426">
            <v>12</v>
          </cell>
          <cell r="K1426">
            <v>9</v>
          </cell>
          <cell r="L1426">
            <v>26.96</v>
          </cell>
        </row>
        <row r="1427">
          <cell r="A1427">
            <v>45953</v>
          </cell>
          <cell r="F1427">
            <v>209</v>
          </cell>
          <cell r="G1427" t="str">
            <v>E125 62 MM BAHARAT FLİPTOP 12 OPAK GOLD KOLI STANDART</v>
          </cell>
          <cell r="J1427">
            <v>4</v>
          </cell>
          <cell r="K1427">
            <v>3</v>
          </cell>
          <cell r="L1427">
            <v>24</v>
          </cell>
        </row>
        <row r="1428">
          <cell r="A1428">
            <v>45953</v>
          </cell>
          <cell r="F1428">
            <v>210</v>
          </cell>
          <cell r="G1428" t="str">
            <v>E032 100 MM ETİKETLİ FOLYOLU 13 OPAK MAVİ PLT.IC.KOLI STANDART</v>
          </cell>
          <cell r="J1428">
            <v>4</v>
          </cell>
          <cell r="K1428">
            <v>4</v>
          </cell>
          <cell r="L1428">
            <v>18.399999999999999</v>
          </cell>
        </row>
        <row r="1429">
          <cell r="A1429">
            <v>45953</v>
          </cell>
          <cell r="F1429">
            <v>212</v>
          </cell>
          <cell r="G1429" t="str">
            <v>E123 28 MM FLİPTOP 13 ŞEFFAF YEŞİL PLT.IC.KOLI STANDART</v>
          </cell>
          <cell r="J1429">
            <v>12</v>
          </cell>
          <cell r="K1429">
            <v>12</v>
          </cell>
          <cell r="L1429">
            <v>22.57</v>
          </cell>
        </row>
        <row r="1430">
          <cell r="A1430">
            <v>45953</v>
          </cell>
          <cell r="F1430">
            <v>301</v>
          </cell>
          <cell r="G1430" t="str">
            <v>PR003 90 MM 4 GÖZ YİVLİ PREFORM 61 OPAK BEYAZ KOLI STANDART</v>
          </cell>
          <cell r="J1430">
            <v>4</v>
          </cell>
          <cell r="K1430">
            <v>4</v>
          </cell>
          <cell r="L1430">
            <v>28.5</v>
          </cell>
        </row>
        <row r="1431">
          <cell r="A1431">
            <v>45953</v>
          </cell>
          <cell r="F1431">
            <v>303</v>
          </cell>
          <cell r="G1431" t="str">
            <v>PR014 110 MM 12 GÖZ YİVLİ PREFORM 91 ŞEFFAF ŞEFFAF KOLI STANDART</v>
          </cell>
          <cell r="J1431">
            <v>12</v>
          </cell>
          <cell r="K1431">
            <v>7</v>
          </cell>
          <cell r="L1431">
            <v>42.9</v>
          </cell>
        </row>
        <row r="1432">
          <cell r="A1432">
            <v>45953</v>
          </cell>
          <cell r="F1432">
            <v>401</v>
          </cell>
          <cell r="G1432" t="str">
            <v>1500 CC S011 125 ŞEFFAF ŞEFFAF PLS. PLT STANDART</v>
          </cell>
          <cell r="J1432">
            <v>1</v>
          </cell>
          <cell r="K1432">
            <v>1</v>
          </cell>
          <cell r="L1432">
            <v>11.88</v>
          </cell>
        </row>
        <row r="1433">
          <cell r="A1433">
            <v>45953</v>
          </cell>
          <cell r="F1433">
            <v>405</v>
          </cell>
          <cell r="G1433" t="str">
            <v>750 CC S034 60 OPAK BEYAZ PALET STANDART</v>
          </cell>
          <cell r="J1433">
            <v>2</v>
          </cell>
          <cell r="K1433">
            <v>2</v>
          </cell>
          <cell r="L1433">
            <v>8.8000000000000007</v>
          </cell>
        </row>
        <row r="1434">
          <cell r="A1434">
            <v>45954</v>
          </cell>
          <cell r="F1434">
            <v>204</v>
          </cell>
          <cell r="G1434" t="str">
            <v>E128 28 MM 8 OPAK BEYAZ KOLI CAKMA</v>
          </cell>
          <cell r="J1434">
            <v>4</v>
          </cell>
          <cell r="K1434">
            <v>2</v>
          </cell>
          <cell r="L1434">
            <v>15.7</v>
          </cell>
        </row>
        <row r="1435">
          <cell r="A1435">
            <v>45954</v>
          </cell>
          <cell r="F1435">
            <v>205</v>
          </cell>
          <cell r="G1435" t="str">
            <v>E049 24 MM KAPAK 3 OPAK YEŞİL PLT.IC.KOLI STANDART</v>
          </cell>
          <cell r="J1435">
            <v>12</v>
          </cell>
          <cell r="K1435">
            <v>9</v>
          </cell>
          <cell r="L1435">
            <v>22.3</v>
          </cell>
        </row>
        <row r="1436">
          <cell r="A1436">
            <v>45954</v>
          </cell>
          <cell r="F1436">
            <v>207</v>
          </cell>
          <cell r="G1436" t="str">
            <v>E121A 28MM TRIMSIZ KAPAK 10 OPAK KIRMIZI KOLI STANDART</v>
          </cell>
          <cell r="J1436">
            <v>12</v>
          </cell>
          <cell r="K1436">
            <v>9</v>
          </cell>
          <cell r="L1436">
            <v>27.1</v>
          </cell>
        </row>
        <row r="1437">
          <cell r="A1437">
            <v>45954</v>
          </cell>
          <cell r="F1437">
            <v>209</v>
          </cell>
          <cell r="G1437" t="str">
            <v>E125 62 MM BAHARAT FLİPTOP 12 OPAK GOLD KOLI STANDART</v>
          </cell>
          <cell r="J1437">
            <v>4</v>
          </cell>
          <cell r="K1437">
            <v>3</v>
          </cell>
          <cell r="L1437">
            <v>24</v>
          </cell>
        </row>
        <row r="1438">
          <cell r="A1438">
            <v>45954</v>
          </cell>
          <cell r="F1438">
            <v>210</v>
          </cell>
          <cell r="G1438" t="str">
            <v>E031A 110 MM ETİKETLİ FOLYOLU 17 OPAK YEŞİL PLT.IC.KOLI STANDART</v>
          </cell>
          <cell r="J1438">
            <v>4</v>
          </cell>
          <cell r="K1438">
            <v>4</v>
          </cell>
          <cell r="L1438">
            <v>20.9</v>
          </cell>
        </row>
        <row r="1439">
          <cell r="A1439">
            <v>45954</v>
          </cell>
          <cell r="F1439">
            <v>212</v>
          </cell>
          <cell r="G1439" t="str">
            <v>E123 28 MM FLİPTOP 13 ŞEFFAF YEŞİL PLT.IC.KOLI STANDART</v>
          </cell>
          <cell r="J1439">
            <v>12</v>
          </cell>
          <cell r="K1439">
            <v>12</v>
          </cell>
          <cell r="L1439">
            <v>22.46</v>
          </cell>
        </row>
        <row r="1440">
          <cell r="A1440">
            <v>45954</v>
          </cell>
          <cell r="F1440">
            <v>301</v>
          </cell>
          <cell r="G1440" t="str">
            <v>PR003 90 MM 4 GÖZ YİVLİ PREFORM 61 OPAK BEYAZ KOLI STANDART</v>
          </cell>
          <cell r="J1440">
            <v>4</v>
          </cell>
          <cell r="K1440">
            <v>4</v>
          </cell>
          <cell r="L1440">
            <v>28.5</v>
          </cell>
        </row>
        <row r="1441">
          <cell r="A1441">
            <v>45954</v>
          </cell>
          <cell r="F1441">
            <v>501</v>
          </cell>
          <cell r="G1441" t="str">
            <v>1000 CC P128 43 OPAK BEYAZ PALET STANDART</v>
          </cell>
          <cell r="J1441">
            <v>6</v>
          </cell>
          <cell r="K1441">
            <v>6</v>
          </cell>
          <cell r="L1441">
            <v>18.02</v>
          </cell>
        </row>
        <row r="1442">
          <cell r="A1442">
            <v>45954</v>
          </cell>
          <cell r="F1442">
            <v>503</v>
          </cell>
          <cell r="G1442" t="str">
            <v>5000 CC P061 170 OPAK BEYAZ POSET STANDART</v>
          </cell>
          <cell r="J1442">
            <v>1</v>
          </cell>
          <cell r="K1442">
            <v>1</v>
          </cell>
          <cell r="L1442">
            <v>15</v>
          </cell>
        </row>
        <row r="1443">
          <cell r="A1443">
            <v>45957</v>
          </cell>
          <cell r="F1443">
            <v>203</v>
          </cell>
          <cell r="G1443" t="str">
            <v>E129 6 ŞEFFAF SARI PLT.IC.KOLI STANDART</v>
          </cell>
          <cell r="J1443">
            <v>8</v>
          </cell>
          <cell r="K1443">
            <v>8</v>
          </cell>
          <cell r="L1443">
            <v>19.3</v>
          </cell>
        </row>
        <row r="1444">
          <cell r="A1444">
            <v>45957</v>
          </cell>
          <cell r="F1444">
            <v>204</v>
          </cell>
          <cell r="G1444" t="str">
            <v>E128 28 MM 8 OPAK BEYAZ KOLI CAKMA</v>
          </cell>
          <cell r="J1444">
            <v>4</v>
          </cell>
          <cell r="K1444">
            <v>2</v>
          </cell>
          <cell r="L1444">
            <v>16.600000000000001</v>
          </cell>
        </row>
        <row r="1445">
          <cell r="A1445">
            <v>45957</v>
          </cell>
          <cell r="F1445">
            <v>205</v>
          </cell>
          <cell r="G1445" t="str">
            <v>E049 24 MM KAPAK 3 OPAK MAVİ PLT.IC.KOLI STANDART</v>
          </cell>
          <cell r="J1445">
            <v>12</v>
          </cell>
          <cell r="K1445">
            <v>9</v>
          </cell>
          <cell r="L1445">
            <v>22.3</v>
          </cell>
        </row>
        <row r="1446">
          <cell r="A1446">
            <v>45957</v>
          </cell>
          <cell r="F1446">
            <v>207</v>
          </cell>
          <cell r="G1446" t="str">
            <v>E121A 28MM TRIMSIZ KAPAK 10 OPAK KIRMIZI KOLI STANDART</v>
          </cell>
          <cell r="J1446">
            <v>12</v>
          </cell>
          <cell r="K1446">
            <v>9</v>
          </cell>
          <cell r="L1446">
            <v>27.09</v>
          </cell>
        </row>
        <row r="1447">
          <cell r="A1447">
            <v>45957</v>
          </cell>
          <cell r="F1447">
            <v>209</v>
          </cell>
          <cell r="G1447" t="str">
            <v>E125 62 MM BAHARAT FLİPTOP 12 OPAK GOLD KOLI STANDART</v>
          </cell>
          <cell r="J1447">
            <v>4</v>
          </cell>
          <cell r="K1447">
            <v>3</v>
          </cell>
          <cell r="L1447">
            <v>24</v>
          </cell>
        </row>
        <row r="1448">
          <cell r="A1448">
            <v>45957</v>
          </cell>
          <cell r="F1448">
            <v>210</v>
          </cell>
          <cell r="G1448" t="str">
            <v>E031A 110 MM ETİKETLİ FOLYOLU 17 OPAK YEŞİL PLT.IC.KOLI STANDART</v>
          </cell>
          <cell r="J1448">
            <v>4</v>
          </cell>
          <cell r="K1448">
            <v>3</v>
          </cell>
          <cell r="L1448">
            <v>17</v>
          </cell>
        </row>
        <row r="1449">
          <cell r="A1449">
            <v>45957</v>
          </cell>
          <cell r="F1449">
            <v>212</v>
          </cell>
          <cell r="G1449" t="str">
            <v>E123 28 MM FLİPTOP 13 ŞEFFAF YEŞİL PLT.IC.KOLI STANDART</v>
          </cell>
          <cell r="J1449">
            <v>12</v>
          </cell>
          <cell r="K1449">
            <v>12</v>
          </cell>
          <cell r="L1449">
            <v>22.85</v>
          </cell>
        </row>
        <row r="1450">
          <cell r="A1450">
            <v>45957</v>
          </cell>
          <cell r="F1450">
            <v>302</v>
          </cell>
          <cell r="G1450" t="str">
            <v>PR017 38 MM 12 GÖZ YİVLİ PREFORM  73 OPAK BEYAZ KOLI STANDART</v>
          </cell>
          <cell r="J1450">
            <v>12</v>
          </cell>
          <cell r="K1450">
            <v>10</v>
          </cell>
          <cell r="L1450">
            <v>48.24</v>
          </cell>
        </row>
        <row r="1451">
          <cell r="A1451">
            <v>45957</v>
          </cell>
          <cell r="F1451">
            <v>501</v>
          </cell>
          <cell r="G1451" t="str">
            <v>1000 CC P128 43 OPAK BEYAZ PALET STANDART</v>
          </cell>
          <cell r="J1451">
            <v>6</v>
          </cell>
          <cell r="K1451">
            <v>6</v>
          </cell>
          <cell r="L1451">
            <v>18.02</v>
          </cell>
        </row>
        <row r="1452">
          <cell r="A1452">
            <v>45957</v>
          </cell>
          <cell r="F1452">
            <v>401</v>
          </cell>
          <cell r="G1452" t="str">
            <v>2000 CC S003 61 ŞEFFAF ŞEFFAF POSET STANDART</v>
          </cell>
          <cell r="J1452">
            <v>1</v>
          </cell>
          <cell r="K1452">
            <v>1</v>
          </cell>
          <cell r="L1452">
            <v>9.58</v>
          </cell>
        </row>
        <row r="1453">
          <cell r="A1453">
            <v>45957</v>
          </cell>
          <cell r="F1453">
            <v>402</v>
          </cell>
          <cell r="G1453" t="str">
            <v>1500 CC S043S 74 OPAK BEYAZ PALET STANDART (S)</v>
          </cell>
          <cell r="J1453">
            <v>2</v>
          </cell>
          <cell r="K1453">
            <v>2</v>
          </cell>
          <cell r="L1453">
            <v>8.6999999999999993</v>
          </cell>
        </row>
        <row r="1454">
          <cell r="A1454">
            <v>45957</v>
          </cell>
          <cell r="F1454">
            <v>405</v>
          </cell>
          <cell r="G1454" t="str">
            <v>750 CC S034 60 OPAK BEYAZ PALET STANDART</v>
          </cell>
          <cell r="J1454">
            <v>2</v>
          </cell>
          <cell r="K1454">
            <v>2</v>
          </cell>
          <cell r="L1454">
            <v>8.9</v>
          </cell>
        </row>
        <row r="1455">
          <cell r="A1455">
            <v>45958</v>
          </cell>
          <cell r="F1455">
            <v>203</v>
          </cell>
          <cell r="G1455" t="str">
            <v>E129 6 ŞEFFAF SARI PLT.IC.KOLI STANDART</v>
          </cell>
          <cell r="J1455">
            <v>8</v>
          </cell>
          <cell r="K1455">
            <v>8</v>
          </cell>
          <cell r="L1455">
            <v>19.100000000000001</v>
          </cell>
        </row>
        <row r="1456">
          <cell r="A1456">
            <v>45958</v>
          </cell>
          <cell r="F1456">
            <v>204</v>
          </cell>
          <cell r="G1456" t="str">
            <v>E128 28 MM 8 OPAK BEYAZ KOLI CAKMA</v>
          </cell>
          <cell r="J1456">
            <v>4</v>
          </cell>
          <cell r="K1456">
            <v>2</v>
          </cell>
          <cell r="L1456">
            <v>16.600000000000001</v>
          </cell>
        </row>
        <row r="1457">
          <cell r="A1457">
            <v>45958</v>
          </cell>
          <cell r="F1457">
            <v>205</v>
          </cell>
          <cell r="G1457" t="str">
            <v>E049 24 MM KAPAK 3 OPAK MAVİ PLT.IC.KOLI STANDART</v>
          </cell>
          <cell r="J1457">
            <v>12</v>
          </cell>
          <cell r="K1457">
            <v>9</v>
          </cell>
          <cell r="L1457">
            <v>22.3</v>
          </cell>
        </row>
        <row r="1458">
          <cell r="A1458">
            <v>45958</v>
          </cell>
          <cell r="F1458">
            <v>207</v>
          </cell>
          <cell r="G1458" t="str">
            <v>E121A 28MM TRIMSIZ KAPAK 10 OPAK KIRMIZI KOLI STANDART</v>
          </cell>
          <cell r="J1458">
            <v>12</v>
          </cell>
          <cell r="K1458">
            <v>9</v>
          </cell>
          <cell r="L1458">
            <v>26.92</v>
          </cell>
        </row>
        <row r="1459">
          <cell r="A1459">
            <v>45958</v>
          </cell>
          <cell r="F1459">
            <v>212</v>
          </cell>
          <cell r="G1459" t="str">
            <v>E123 28 MM FLİPTOP 13 OPAK GOLD PLT.IC.KOLI STANDART</v>
          </cell>
          <cell r="J1459">
            <v>12</v>
          </cell>
          <cell r="K1459">
            <v>12</v>
          </cell>
          <cell r="L1459">
            <v>22.26</v>
          </cell>
        </row>
        <row r="1460">
          <cell r="A1460">
            <v>45958</v>
          </cell>
          <cell r="F1460">
            <v>302</v>
          </cell>
          <cell r="G1460" t="str">
            <v>PR017 38 MM 12 GÖZ YİVLİ PREFORM  73 OPAK BEYAZ KOLI STANDART</v>
          </cell>
          <cell r="J1460">
            <v>12</v>
          </cell>
          <cell r="K1460">
            <v>10</v>
          </cell>
          <cell r="L1460">
            <v>48.23</v>
          </cell>
        </row>
        <row r="1461">
          <cell r="A1461">
            <v>45958</v>
          </cell>
          <cell r="F1461">
            <v>401</v>
          </cell>
          <cell r="G1461" t="str">
            <v>2000 CC S003 61 ŞEFFAF ŞEFFAF POSET STANDART</v>
          </cell>
          <cell r="J1461">
            <v>1</v>
          </cell>
          <cell r="K1461">
            <v>1</v>
          </cell>
          <cell r="L1461">
            <v>10.130000000000001</v>
          </cell>
        </row>
        <row r="1462">
          <cell r="A1462">
            <v>45958</v>
          </cell>
          <cell r="F1462">
            <v>402</v>
          </cell>
          <cell r="G1462" t="str">
            <v>1500 CC S043S 74 OPAK BEYAZ PALET STANDART (S)</v>
          </cell>
          <cell r="J1462">
            <v>2</v>
          </cell>
          <cell r="K1462">
            <v>2</v>
          </cell>
          <cell r="L1462">
            <v>9</v>
          </cell>
        </row>
        <row r="1463">
          <cell r="A1463">
            <v>45958</v>
          </cell>
          <cell r="F1463">
            <v>405</v>
          </cell>
          <cell r="G1463" t="str">
            <v>1200 CC S023 91 OPAK SİYAH PALET STANDART</v>
          </cell>
          <cell r="J1463">
            <v>2</v>
          </cell>
          <cell r="K1463">
            <v>2</v>
          </cell>
          <cell r="L1463">
            <v>8.1999999999999993</v>
          </cell>
        </row>
        <row r="1464">
          <cell r="A1464">
            <v>45958</v>
          </cell>
          <cell r="F1464">
            <v>501</v>
          </cell>
          <cell r="G1464" t="str">
            <v>1000 CC P128 43 OPAK BEYAZ PALET STANDART</v>
          </cell>
          <cell r="J1464">
            <v>6</v>
          </cell>
          <cell r="K1464">
            <v>6</v>
          </cell>
          <cell r="L1464">
            <v>18.02</v>
          </cell>
        </row>
        <row r="1465">
          <cell r="A1465">
            <v>45986</v>
          </cell>
          <cell r="F1465">
            <v>201</v>
          </cell>
          <cell r="G1465" t="str">
            <v>ENJ0008-03 KAPAK OPAK BEYAZ 62MM YIVLI 9GR</v>
          </cell>
          <cell r="J1465">
            <v>4</v>
          </cell>
          <cell r="K1465">
            <v>3</v>
          </cell>
          <cell r="L1465">
            <v>18.3</v>
          </cell>
        </row>
        <row r="1466">
          <cell r="A1466">
            <v>45986</v>
          </cell>
          <cell r="F1466">
            <v>202</v>
          </cell>
          <cell r="G1466" t="str">
            <v>ENJ0020-01 KAPAK OPAK SIYAH 68MM YIVLI 8GR</v>
          </cell>
          <cell r="J1466">
            <v>4</v>
          </cell>
          <cell r="K1466">
            <v>4</v>
          </cell>
          <cell r="L1466">
            <v>32.1</v>
          </cell>
        </row>
        <row r="1467">
          <cell r="A1467">
            <v>45986</v>
          </cell>
          <cell r="F1467">
            <v>203</v>
          </cell>
          <cell r="G1467" t="str">
            <v>ENJ0057-01 KAPAK SEFFAF SARI 44MM CAKMA 6GR</v>
          </cell>
          <cell r="J1467">
            <v>8</v>
          </cell>
          <cell r="K1467">
            <v>7</v>
          </cell>
          <cell r="L1467">
            <v>17.7</v>
          </cell>
        </row>
        <row r="1468">
          <cell r="A1468">
            <v>45986</v>
          </cell>
          <cell r="F1468">
            <v>204</v>
          </cell>
          <cell r="G1468" t="str">
            <v>ENJ0062-06 KAPAK OPAK BORDO 28MM CAKMA 8GR</v>
          </cell>
          <cell r="J1468">
            <v>4</v>
          </cell>
          <cell r="K1468">
            <v>2</v>
          </cell>
          <cell r="L1468">
            <v>19.5</v>
          </cell>
        </row>
        <row r="1469">
          <cell r="A1469">
            <v>45986</v>
          </cell>
          <cell r="F1469">
            <v>205</v>
          </cell>
          <cell r="G1469" t="str">
            <v>ENJ0031-07 KAPAK OPAK YESIL 24MM YIVLI 3GR</v>
          </cell>
          <cell r="J1469">
            <v>12</v>
          </cell>
          <cell r="K1469">
            <v>12</v>
          </cell>
          <cell r="L1469">
            <v>20.8</v>
          </cell>
        </row>
        <row r="1470">
          <cell r="A1470">
            <v>45986</v>
          </cell>
          <cell r="F1470">
            <v>207</v>
          </cell>
          <cell r="G1470" t="str">
            <v>ENJ0038-10 KAPAK OPAK KIRMIZI 28MM YIVLI 10GR</v>
          </cell>
          <cell r="J1470">
            <v>12</v>
          </cell>
          <cell r="K1470">
            <v>9</v>
          </cell>
          <cell r="L1470">
            <v>26.26</v>
          </cell>
        </row>
        <row r="1471">
          <cell r="A1471">
            <v>45986</v>
          </cell>
          <cell r="F1471">
            <v>209</v>
          </cell>
          <cell r="G1471" t="str">
            <v>ENJ0050-02 KAVANOZ SEFFAF PEMBE 62MM YIVLI 16GR</v>
          </cell>
          <cell r="J1471">
            <v>8</v>
          </cell>
          <cell r="K1471">
            <v>6</v>
          </cell>
          <cell r="L1471">
            <v>29.4</v>
          </cell>
        </row>
        <row r="1472">
          <cell r="A1472">
            <v>45986</v>
          </cell>
          <cell r="F1472">
            <v>210</v>
          </cell>
          <cell r="G1472" t="str">
            <v>ENJ0023-02 KAVANOZ KAPAK OPAK YESIL 100MM YIVLI 13GR</v>
          </cell>
          <cell r="J1472">
            <v>4</v>
          </cell>
          <cell r="K1472">
            <v>4</v>
          </cell>
          <cell r="L1472">
            <v>18.3</v>
          </cell>
        </row>
        <row r="1473">
          <cell r="A1473">
            <v>45986</v>
          </cell>
          <cell r="F1473">
            <v>212</v>
          </cell>
          <cell r="G1473" t="str">
            <v>ENJ0058-08 FLIPTOP OPAK GOLD 28MM YIVLI 13GR</v>
          </cell>
          <cell r="J1473">
            <v>12</v>
          </cell>
          <cell r="K1473">
            <v>12</v>
          </cell>
          <cell r="L1473">
            <v>21.76</v>
          </cell>
        </row>
        <row r="1474">
          <cell r="A1474">
            <v>45986</v>
          </cell>
          <cell r="F1474">
            <v>402</v>
          </cell>
          <cell r="G1474" t="str">
            <v>BLW0011-01 1500ML OPAK BEYAZ 38MM YIVLI 74GR</v>
          </cell>
          <cell r="J1474">
            <v>2</v>
          </cell>
          <cell r="K1474">
            <v>2</v>
          </cell>
          <cell r="L1474">
            <v>9.1999999999999993</v>
          </cell>
        </row>
        <row r="1475">
          <cell r="A1475">
            <v>45986</v>
          </cell>
          <cell r="F1475">
            <v>405</v>
          </cell>
          <cell r="G1475" t="str">
            <v>PET0187-01 350ML OPAK SIYAH 100MM YIVLI 45GR</v>
          </cell>
          <cell r="J1475">
            <v>2</v>
          </cell>
          <cell r="K1475">
            <v>2</v>
          </cell>
          <cell r="L1475">
            <v>8.5</v>
          </cell>
        </row>
        <row r="1476">
          <cell r="A1476">
            <v>45986</v>
          </cell>
          <cell r="F1476">
            <v>501</v>
          </cell>
          <cell r="G1476" t="str">
            <v>EBM0010-03 175ML OPAK MOR 20MM YIVLI 18GR</v>
          </cell>
          <cell r="J1476">
            <v>6</v>
          </cell>
          <cell r="K1476">
            <v>6</v>
          </cell>
          <cell r="L1476">
            <v>14.62</v>
          </cell>
        </row>
        <row r="1477">
          <cell r="A1477">
            <v>45986</v>
          </cell>
          <cell r="F1477">
            <v>301</v>
          </cell>
          <cell r="G1477" t="str">
            <v>EBM0010-03 175ML OPAK MOR 20MM YIVLI 18GR</v>
          </cell>
          <cell r="J1477">
            <v>2</v>
          </cell>
          <cell r="K1477">
            <v>2</v>
          </cell>
          <cell r="L1477">
            <v>36.700000000000003</v>
          </cell>
        </row>
        <row r="1478">
          <cell r="A1478">
            <v>45986</v>
          </cell>
          <cell r="F1478">
            <v>302</v>
          </cell>
          <cell r="G1478" t="str">
            <v>74 GR BEYAZ PREFORM SICAK DOLUM</v>
          </cell>
          <cell r="J1478">
            <v>12</v>
          </cell>
          <cell r="K1478">
            <v>10</v>
          </cell>
          <cell r="L1478">
            <v>52.57</v>
          </cell>
        </row>
        <row r="1479">
          <cell r="A1479">
            <v>45986</v>
          </cell>
          <cell r="F1479">
            <v>303</v>
          </cell>
          <cell r="G1479" t="str">
            <v>PRE0003 90 MM 4 GOZ YIVLI PREFORM 61GR SEFFAF SEFFAF KOLI STANDART</v>
          </cell>
          <cell r="J1479">
            <v>8</v>
          </cell>
          <cell r="K1479">
            <v>8</v>
          </cell>
          <cell r="L1479">
            <v>42.6</v>
          </cell>
        </row>
        <row r="1480">
          <cell r="A1480">
            <v>45989</v>
          </cell>
          <cell r="F1480">
            <v>401</v>
          </cell>
          <cell r="G1480" t="str">
            <v>MM-BLW0005-01-110Y-090 - BLW0005-01 700ML SEFFAF SEFFAF 110MM YIVLI 90GR</v>
          </cell>
          <cell r="J1480">
            <v>1</v>
          </cell>
          <cell r="K1480">
            <v>1</v>
          </cell>
          <cell r="L1480">
            <v>11.92</v>
          </cell>
        </row>
        <row r="1481">
          <cell r="A1481">
            <v>45989</v>
          </cell>
          <cell r="F1481">
            <v>402</v>
          </cell>
          <cell r="G1481" t="str">
            <v>MM-BLW0011-01-038Y-074 - BLW0011-01 1500ML OPAK BEYAZ 38MM YIVLI 74GR</v>
          </cell>
          <cell r="J1481">
            <v>2</v>
          </cell>
          <cell r="K1481">
            <v>2</v>
          </cell>
          <cell r="L1481">
            <v>9</v>
          </cell>
        </row>
        <row r="1482">
          <cell r="A1482">
            <v>45989</v>
          </cell>
          <cell r="F1482">
            <v>405</v>
          </cell>
          <cell r="G1482" t="str">
            <v>MM-PET0187-01-100Y-045 - PET0187-01 350ML OPAK SIYAH 100MM YIVLI 45GR</v>
          </cell>
          <cell r="J1482">
            <v>2</v>
          </cell>
          <cell r="K1482">
            <v>2</v>
          </cell>
          <cell r="L1482">
            <v>8.1999999999999993</v>
          </cell>
        </row>
        <row r="1483">
          <cell r="A1483">
            <v>45989</v>
          </cell>
          <cell r="F1483">
            <v>201</v>
          </cell>
          <cell r="G1483" t="str">
            <v>MM-ENJ0008-03-062Y-009 - ENJ0008-03 KAPAK OPAK BEYAZ 62MM YIVLI 9GR</v>
          </cell>
          <cell r="J1483">
            <v>4</v>
          </cell>
          <cell r="K1483">
            <v>3</v>
          </cell>
          <cell r="L1483">
            <v>23.6</v>
          </cell>
        </row>
        <row r="1484">
          <cell r="A1484">
            <v>45989</v>
          </cell>
          <cell r="F1484">
            <v>203</v>
          </cell>
          <cell r="G1484" t="str">
            <v>MM-ENJ0057-01-044C-006 - ENJ0057-01 KAPAK SEFFAF SARI 44MM CAKMA 6GR</v>
          </cell>
          <cell r="J1484">
            <v>8</v>
          </cell>
          <cell r="K1484">
            <v>8</v>
          </cell>
          <cell r="L1484">
            <v>19</v>
          </cell>
        </row>
        <row r="1485">
          <cell r="A1485">
            <v>45992</v>
          </cell>
          <cell r="F1485">
            <v>401</v>
          </cell>
          <cell r="G1485" t="str">
            <v>MM-BLW0005-01-110Y-090 - BLW0005-01 700ML SEFFAF SEFFAF 110MM YIVLI 90GR</v>
          </cell>
          <cell r="J1485">
            <v>1</v>
          </cell>
          <cell r="K1485">
            <v>1</v>
          </cell>
          <cell r="L1485">
            <v>11.39</v>
          </cell>
        </row>
        <row r="1486">
          <cell r="A1486">
            <v>45992</v>
          </cell>
          <cell r="F1486">
            <v>402</v>
          </cell>
          <cell r="G1486" t="str">
            <v>MM-BLW0011-01-038Y-074 - BLW0011-01 1500ML OPAK BEYAZ 38MM YIVLI 74GR</v>
          </cell>
          <cell r="J1486">
            <v>2</v>
          </cell>
          <cell r="K1486">
            <v>2</v>
          </cell>
          <cell r="L1486">
            <v>9</v>
          </cell>
        </row>
        <row r="1487">
          <cell r="A1487">
            <v>45992</v>
          </cell>
          <cell r="F1487">
            <v>405</v>
          </cell>
          <cell r="G1487" t="str">
            <v>MM-PET0187-01-100Y-045 - PET0187-01 350ML OPAK SIYAH 100MM YIVLI 45GR</v>
          </cell>
          <cell r="J1487">
            <v>2</v>
          </cell>
          <cell r="K1487">
            <v>2</v>
          </cell>
          <cell r="L1487">
            <v>8.1999999999999993</v>
          </cell>
        </row>
        <row r="1488">
          <cell r="A1488">
            <v>45992</v>
          </cell>
          <cell r="F1488">
            <v>203</v>
          </cell>
          <cell r="G1488" t="str">
            <v>MM-ENJ0057-01-044C-006 - ENJ0057-01 KAPAK SEFFAF SARI 44MM CAKMA 6GR</v>
          </cell>
          <cell r="J1488">
            <v>8</v>
          </cell>
          <cell r="K1488">
            <v>7</v>
          </cell>
          <cell r="L1488">
            <v>18</v>
          </cell>
        </row>
        <row r="1489">
          <cell r="A1489">
            <v>45992</v>
          </cell>
          <cell r="F1489">
            <v>204</v>
          </cell>
          <cell r="G1489" t="str">
            <v>MM-ENJ0062-08-028C-008 - ENJ0062-08 KAPAK OPAK MOR 28MM CAKMA 8GR</v>
          </cell>
          <cell r="J1489">
            <v>4</v>
          </cell>
          <cell r="K1489">
            <v>2</v>
          </cell>
          <cell r="L1489">
            <v>18.5</v>
          </cell>
        </row>
        <row r="1490">
          <cell r="A1490">
            <v>45992</v>
          </cell>
          <cell r="F1490">
            <v>205</v>
          </cell>
          <cell r="G1490" t="str">
            <v>MM-ENJ0031-04-024Y-003 - ENJ0031-04 KAPAK OPAK YESIL 24MM YIVLI 3GR</v>
          </cell>
          <cell r="J1490">
            <v>12</v>
          </cell>
          <cell r="K1490">
            <v>12</v>
          </cell>
          <cell r="L1490">
            <v>26.5</v>
          </cell>
        </row>
        <row r="1491">
          <cell r="A1491">
            <v>45992</v>
          </cell>
          <cell r="F1491">
            <v>207</v>
          </cell>
          <cell r="G1491" t="str">
            <v>MM-ENJ0038-10-028Y-010 - ENJ0038-10 KAPAK OPAK KIRMIZI 28MM YIVLI 10GR</v>
          </cell>
          <cell r="J1491">
            <v>12</v>
          </cell>
          <cell r="K1491">
            <v>9</v>
          </cell>
          <cell r="L1491">
            <v>26.53</v>
          </cell>
        </row>
        <row r="1492">
          <cell r="A1492">
            <v>45992</v>
          </cell>
          <cell r="F1492">
            <v>210</v>
          </cell>
          <cell r="G1492" t="str">
            <v>MM-ENJ0023-03-100Y-013 - ENJ0023-03 KAVANOZ KAPAK OPAK MAVI 100MM YIVLI 13GR</v>
          </cell>
          <cell r="J1492">
            <v>4</v>
          </cell>
          <cell r="K1492">
            <v>3</v>
          </cell>
          <cell r="L1492">
            <v>18.600000000000001</v>
          </cell>
        </row>
        <row r="1493">
          <cell r="A1493">
            <v>45992</v>
          </cell>
          <cell r="F1493">
            <v>211</v>
          </cell>
          <cell r="G1493" t="str">
            <v>MM-ENJ0027-03-024P-001 - ENJ0027-03 PIM SEFFAF 024MM YIVLI 1GR</v>
          </cell>
          <cell r="J1493">
            <v>24</v>
          </cell>
          <cell r="K1493">
            <v>19</v>
          </cell>
          <cell r="L1493">
            <v>19.3</v>
          </cell>
        </row>
        <row r="1494">
          <cell r="A1494">
            <v>45992</v>
          </cell>
          <cell r="F1494">
            <v>212</v>
          </cell>
          <cell r="G1494" t="str">
            <v>MM-ENJ0058-08-028Y-013 - ENJ0058-08 FLIPTOP OPAK GOLD 28MM YIVLI 13GR</v>
          </cell>
          <cell r="J1494">
            <v>12</v>
          </cell>
          <cell r="K1494">
            <v>12</v>
          </cell>
          <cell r="L1494">
            <v>21.99</v>
          </cell>
        </row>
        <row r="1495">
          <cell r="A1495">
            <v>45992</v>
          </cell>
          <cell r="F1495">
            <v>301</v>
          </cell>
          <cell r="G1495" t="str">
            <v>YM-PRE0002-01-062Y-043 - PRE0002 62MM 8 GOZ PREFORM 43GR SEFFAF SEFFAF KOLI STANDART</v>
          </cell>
          <cell r="J1495">
            <v>8</v>
          </cell>
          <cell r="K1495">
            <v>7</v>
          </cell>
          <cell r="L1495">
            <v>35.4</v>
          </cell>
        </row>
        <row r="1496">
          <cell r="A1496">
            <v>45992</v>
          </cell>
          <cell r="F1496">
            <v>302</v>
          </cell>
          <cell r="G1496" t="str">
            <v>YM-PRE0008-02-038Y-074 - PRE0008 38 MM 12 GOZ YIVLI PREFORM 73 OPAK BEYAZ KOLI STANDART</v>
          </cell>
          <cell r="J1496">
            <v>12</v>
          </cell>
          <cell r="K1496">
            <v>11</v>
          </cell>
          <cell r="L1496">
            <v>52.46</v>
          </cell>
        </row>
        <row r="1497">
          <cell r="A1497">
            <v>45992</v>
          </cell>
          <cell r="F1497">
            <v>303</v>
          </cell>
          <cell r="G1497" t="str">
            <v>YM-PRE0010-03-100Y-045 - PRE0010 100MM 45GR YIVLI OPAK SIYAH PREFORM KOLI STANDART 8GÖZ</v>
          </cell>
          <cell r="J1497">
            <v>8</v>
          </cell>
          <cell r="K1497">
            <v>8</v>
          </cell>
          <cell r="L1497">
            <v>43.9</v>
          </cell>
        </row>
        <row r="1498">
          <cell r="A1498">
            <v>45992</v>
          </cell>
          <cell r="F1498">
            <v>102</v>
          </cell>
          <cell r="G1498" t="str">
            <v>MM-PET0011-03-024Y-020 - PET0011-03 150ML SEFFAF SEFFAF 24MM YIVLI 20GR</v>
          </cell>
          <cell r="J1498">
            <v>9</v>
          </cell>
          <cell r="K1498">
            <v>8</v>
          </cell>
          <cell r="L1498">
            <v>12.72</v>
          </cell>
        </row>
        <row r="1499">
          <cell r="A1499">
            <v>45992</v>
          </cell>
          <cell r="F1499">
            <v>103</v>
          </cell>
          <cell r="G1499" t="str">
            <v>MM-PET0005-01-028Y-040 - PET0005-01 700ML SEFFAF SARI 28MM YIVLI 40GR</v>
          </cell>
          <cell r="J1499">
            <v>5</v>
          </cell>
          <cell r="K1499">
            <v>5</v>
          </cell>
          <cell r="L1499">
            <v>16.07</v>
          </cell>
        </row>
        <row r="1500">
          <cell r="A1500">
            <v>45992</v>
          </cell>
          <cell r="F1500">
            <v>104</v>
          </cell>
          <cell r="G1500" t="str">
            <v>MM-PET0007-01-028Y-025 - PET0007-01 400ML SEFFAF SEFFAF 28MM YIVLI 25GR</v>
          </cell>
          <cell r="J1500">
            <v>6</v>
          </cell>
          <cell r="K1500">
            <v>6</v>
          </cell>
          <cell r="L1500">
            <v>15.9</v>
          </cell>
        </row>
        <row r="1501">
          <cell r="A1501">
            <v>45992</v>
          </cell>
          <cell r="F1501">
            <v>161</v>
          </cell>
          <cell r="G1501" t="str">
            <v>MM-PET0181-04-038Y-047 - PET0181-04 960ML OPAK MAVI 38MM YIVLI 47GR</v>
          </cell>
          <cell r="J1501">
            <v>2</v>
          </cell>
          <cell r="K1501">
            <v>2</v>
          </cell>
          <cell r="L1501">
            <v>22.51</v>
          </cell>
        </row>
        <row r="1502">
          <cell r="A1502">
            <v>45992</v>
          </cell>
          <cell r="F1502">
            <v>163</v>
          </cell>
          <cell r="G1502" t="str">
            <v>MM-PET0005-01-028Y-040 - PET0005-01 700ML SEFFAF SARI 28MM YIVLI 40GR</v>
          </cell>
          <cell r="J1502">
            <v>2</v>
          </cell>
          <cell r="K1502">
            <v>2</v>
          </cell>
          <cell r="L1502">
            <v>20.39</v>
          </cell>
        </row>
        <row r="1503">
          <cell r="A1503">
            <v>45992</v>
          </cell>
          <cell r="F1503">
            <v>164</v>
          </cell>
          <cell r="G1503" t="str">
            <v>MM-PET0014-01-028Y-052 - PET0014-01 1000ML SEFFAF SEFFAF 28MM YIVLI 52GR</v>
          </cell>
          <cell r="J1503">
            <v>2</v>
          </cell>
          <cell r="K1503">
            <v>2</v>
          </cell>
          <cell r="L1503">
            <v>23.69</v>
          </cell>
        </row>
        <row r="1504">
          <cell r="A1504">
            <v>45992</v>
          </cell>
          <cell r="F1504">
            <v>182</v>
          </cell>
          <cell r="G1504" t="str">
            <v>MM-PET0165-04-028Y-026 - PET0165-04 450ML SEFFAF MAVI 28MM YIVLI 26GR</v>
          </cell>
          <cell r="J1504">
            <v>4</v>
          </cell>
          <cell r="K1504">
            <v>4</v>
          </cell>
          <cell r="L1504">
            <v>14</v>
          </cell>
        </row>
        <row r="1505">
          <cell r="A1505">
            <v>45992</v>
          </cell>
          <cell r="F1505">
            <v>171</v>
          </cell>
          <cell r="G1505" t="str">
            <v>MM-PET0185-01-100Y-045 - PET0185-01 500ML SEFFAF SEFFAF 100MM YIVLI 45GR</v>
          </cell>
          <cell r="J1505">
            <v>3</v>
          </cell>
          <cell r="K1505">
            <v>3</v>
          </cell>
          <cell r="L1505">
            <v>14.67</v>
          </cell>
        </row>
        <row r="1506">
          <cell r="A1506">
            <v>45992</v>
          </cell>
          <cell r="F1506">
            <v>172</v>
          </cell>
          <cell r="G1506" t="str">
            <v>MM-PET0209-04-028Y-045 - PET0209-04 500ML OPAK GRI 28MM YIVLI 45GR</v>
          </cell>
          <cell r="J1506">
            <v>4</v>
          </cell>
          <cell r="K1506">
            <v>4</v>
          </cell>
          <cell r="L1506">
            <v>15.73</v>
          </cell>
        </row>
        <row r="1507">
          <cell r="A1507">
            <v>45992</v>
          </cell>
          <cell r="F1507">
            <v>173</v>
          </cell>
          <cell r="G1507" t="str">
            <v>MM-PET0019-02-028C-040 - PET0019-02 650ML OPAK BEYAZ 28MM CAKMA 40GR</v>
          </cell>
          <cell r="J1507">
            <v>5</v>
          </cell>
          <cell r="K1507">
            <v>5</v>
          </cell>
          <cell r="L1507">
            <v>15.81</v>
          </cell>
        </row>
        <row r="1508">
          <cell r="A1508">
            <v>45992</v>
          </cell>
          <cell r="F1508">
            <v>175</v>
          </cell>
          <cell r="G1508" t="str">
            <v>MM-PET0238-01-028C-035 - PET0238-01 450ML SEFFAF UV 28MM CAKMA 35GR</v>
          </cell>
          <cell r="J1508">
            <v>5</v>
          </cell>
          <cell r="K1508">
            <v>5</v>
          </cell>
          <cell r="L1508">
            <v>14.48</v>
          </cell>
        </row>
        <row r="1509">
          <cell r="A1509">
            <v>45992</v>
          </cell>
          <cell r="F1509">
            <v>177</v>
          </cell>
          <cell r="G1509" t="str">
            <v>MM-PET0014-01-028Y-052 - PET0014-01 1000ML SEFFAF SEFFAF 28MM YIVLI 52GR</v>
          </cell>
          <cell r="J1509">
            <v>4</v>
          </cell>
          <cell r="K1509">
            <v>4</v>
          </cell>
          <cell r="L1509">
            <v>18.25</v>
          </cell>
        </row>
        <row r="1510">
          <cell r="A1510">
            <v>45992</v>
          </cell>
          <cell r="F1510">
            <v>131</v>
          </cell>
          <cell r="G1510" t="str">
            <v>MM-PET0139-01-024Y-025 - PET0139-01 400ML SEFFAF SEFFAF 24MM YIVLI 25GR</v>
          </cell>
          <cell r="J1510">
            <v>3</v>
          </cell>
          <cell r="K1510">
            <v>3</v>
          </cell>
          <cell r="L1510">
            <v>16.97</v>
          </cell>
        </row>
        <row r="1511">
          <cell r="A1511">
            <v>45992</v>
          </cell>
          <cell r="F1511">
            <v>132</v>
          </cell>
          <cell r="G1511" t="str">
            <v>MM-PET0017-01-024Y-025 - PET0017-01 200ML SEFFAF SEFFAF 24MM YIVLI 25GR</v>
          </cell>
          <cell r="J1511">
            <v>3</v>
          </cell>
          <cell r="K1511">
            <v>3</v>
          </cell>
          <cell r="L1511">
            <v>18.059999999999999</v>
          </cell>
        </row>
        <row r="1512">
          <cell r="A1512">
            <v>45992</v>
          </cell>
          <cell r="F1512">
            <v>134</v>
          </cell>
          <cell r="G1512" t="str">
            <v>MM-PET0077-02-062Y-025 - PET0077-02 400ML SEFFAF SEFFAF 62MM YIVLI 25GR</v>
          </cell>
          <cell r="J1512">
            <v>1</v>
          </cell>
          <cell r="K1512">
            <v>1</v>
          </cell>
          <cell r="L1512">
            <v>13.86</v>
          </cell>
        </row>
        <row r="1513">
          <cell r="A1513">
            <v>45992</v>
          </cell>
          <cell r="F1513">
            <v>138</v>
          </cell>
          <cell r="G1513" t="str">
            <v>MM-PET0128-01-028Y-040 - PET0128-01 400ML SEFFAF SEFFAF 28MM YIVLI 40GR</v>
          </cell>
          <cell r="J1513">
            <v>3</v>
          </cell>
          <cell r="K1513">
            <v>3</v>
          </cell>
          <cell r="L1513">
            <v>20.6</v>
          </cell>
        </row>
        <row r="1514">
          <cell r="A1514">
            <v>45993</v>
          </cell>
          <cell r="F1514">
            <v>401</v>
          </cell>
          <cell r="G1514" t="str">
            <v>MM-BLW0005-01-110Y-090 - BLW0005-01 700ML SEFFAF SEFFAF 110MM YIVLI 90GR</v>
          </cell>
          <cell r="J1514">
            <v>1</v>
          </cell>
          <cell r="K1514">
            <v>1</v>
          </cell>
          <cell r="L1514">
            <v>10.55</v>
          </cell>
        </row>
        <row r="1515">
          <cell r="A1515">
            <v>45993</v>
          </cell>
          <cell r="F1515">
            <v>402</v>
          </cell>
          <cell r="G1515" t="str">
            <v>MM-BLW0011-01-038Y-074 - BLW0011-01 1500ML OPAK BEYAZ 38MM YIVLI 74GR</v>
          </cell>
          <cell r="J1515">
            <v>2</v>
          </cell>
          <cell r="K1515">
            <v>2</v>
          </cell>
          <cell r="L1515">
            <v>9.1999999999999993</v>
          </cell>
        </row>
        <row r="1516">
          <cell r="A1516">
            <v>45993</v>
          </cell>
          <cell r="F1516">
            <v>405</v>
          </cell>
          <cell r="G1516" t="str">
            <v>MM-PET0187-01-100Y-045 - PET0187-01 350ML OPAK SIYAH 100MM YIVLI 45GR</v>
          </cell>
          <cell r="J1516">
            <v>2</v>
          </cell>
          <cell r="K1516">
            <v>2</v>
          </cell>
          <cell r="L1516">
            <v>8.1</v>
          </cell>
        </row>
        <row r="1517">
          <cell r="A1517">
            <v>45993</v>
          </cell>
          <cell r="F1517">
            <v>203</v>
          </cell>
          <cell r="G1517" t="str">
            <v>MM-ENJ0057-01-044C-006 - ENJ0057-01 KAPAK SEFFAF SARI 44MM CAKMA 6GR</v>
          </cell>
          <cell r="J1517">
            <v>8</v>
          </cell>
          <cell r="K1517">
            <v>8</v>
          </cell>
          <cell r="L1517">
            <v>19.3</v>
          </cell>
        </row>
        <row r="1518">
          <cell r="A1518">
            <v>45993</v>
          </cell>
          <cell r="F1518">
            <v>204</v>
          </cell>
          <cell r="G1518" t="str">
            <v>MM-ENJ0062-08-028C-008 - ENJ0062-08 KAPAK OPAK MOR 28MM CAKMA 8GR</v>
          </cell>
          <cell r="J1518">
            <v>4</v>
          </cell>
          <cell r="K1518">
            <v>2</v>
          </cell>
          <cell r="L1518">
            <v>18.5</v>
          </cell>
        </row>
        <row r="1519">
          <cell r="A1519">
            <v>45993</v>
          </cell>
          <cell r="F1519">
            <v>205</v>
          </cell>
          <cell r="G1519" t="str">
            <v>MM-ENJ0031-04-024Y-003 - ENJ0031-04 KAPAK OPAK YESIL 24MM YIVLI 3GR</v>
          </cell>
          <cell r="J1519">
            <v>12</v>
          </cell>
          <cell r="K1519">
            <v>12</v>
          </cell>
          <cell r="L1519">
            <v>26.8</v>
          </cell>
        </row>
        <row r="1520">
          <cell r="A1520">
            <v>45993</v>
          </cell>
          <cell r="F1520">
            <v>207</v>
          </cell>
          <cell r="G1520" t="str">
            <v>MM-ENJ0038-10-028Y-010 - ENJ0038-10 KAPAK OPAK KIRMIZI 28MM YIVLI 10GR</v>
          </cell>
          <cell r="J1520">
            <v>12</v>
          </cell>
          <cell r="K1520">
            <v>9</v>
          </cell>
          <cell r="L1520">
            <v>26.68</v>
          </cell>
        </row>
        <row r="1521">
          <cell r="A1521">
            <v>45993</v>
          </cell>
          <cell r="F1521">
            <v>209</v>
          </cell>
          <cell r="G1521" t="str">
            <v>MM-ENJ0059-06-028Y-013 - ENJ0059-06 FLIPTOP OPAK KIREMIT 28MM YIVLI 13GR</v>
          </cell>
          <cell r="J1521">
            <v>12</v>
          </cell>
          <cell r="K1521">
            <v>12</v>
          </cell>
          <cell r="L1521">
            <v>35.4</v>
          </cell>
        </row>
        <row r="1522">
          <cell r="A1522">
            <v>45993</v>
          </cell>
          <cell r="F1522">
            <v>210</v>
          </cell>
          <cell r="G1522" t="str">
            <v>MM-ENJ0023-03-100Y-013 - ENJ0023-03 KAVANOZ KAPAK OPAK MAVI 100MM YIVLI 13GR</v>
          </cell>
          <cell r="J1522">
            <v>4</v>
          </cell>
          <cell r="K1522">
            <v>4</v>
          </cell>
          <cell r="L1522">
            <v>18.5</v>
          </cell>
        </row>
        <row r="1523">
          <cell r="A1523">
            <v>45993</v>
          </cell>
          <cell r="F1523">
            <v>211</v>
          </cell>
          <cell r="G1523" t="str">
            <v>MM-ENJ0027-03-024P-001 - ENJ0027-03 PIM SEFFAF 024MM YIVLI 1GR</v>
          </cell>
          <cell r="J1523">
            <v>24</v>
          </cell>
          <cell r="K1523">
            <v>19</v>
          </cell>
          <cell r="L1523">
            <v>19.3</v>
          </cell>
        </row>
        <row r="1524">
          <cell r="A1524">
            <v>45993</v>
          </cell>
          <cell r="F1524">
            <v>212</v>
          </cell>
          <cell r="G1524" t="str">
            <v>MM-ENJ0058-08-028Y-013 - ENJ0058-08 FLIPTOP OPAK GOLD 28MM YIVLI 13GR</v>
          </cell>
          <cell r="J1524">
            <v>12</v>
          </cell>
          <cell r="K1524">
            <v>12</v>
          </cell>
          <cell r="L1524">
            <v>21.46</v>
          </cell>
        </row>
        <row r="1525">
          <cell r="A1525">
            <v>45993</v>
          </cell>
          <cell r="F1525">
            <v>301</v>
          </cell>
          <cell r="G1525" t="str">
            <v>YM-PRE0002-01-062Y-043 - PRE0002 62MM 8 GOZ PREFORM 43GR SEFFAF SEFFAF KOLI STANDART</v>
          </cell>
          <cell r="J1525">
            <v>8</v>
          </cell>
          <cell r="K1525">
            <v>7</v>
          </cell>
          <cell r="L1525">
            <v>35.5</v>
          </cell>
        </row>
        <row r="1526">
          <cell r="A1526">
            <v>45993</v>
          </cell>
          <cell r="F1526">
            <v>302</v>
          </cell>
          <cell r="G1526" t="str">
            <v>YM-PRE0008-02-038Y-074 - PRE0008 38 MM 12 GOZ YIVLI PREFORM 73 OPAK BEYAZ KOLI STANDART</v>
          </cell>
          <cell r="J1526">
            <v>12</v>
          </cell>
          <cell r="K1526">
            <v>11</v>
          </cell>
          <cell r="L1526">
            <v>52.45</v>
          </cell>
        </row>
        <row r="1527">
          <cell r="A1527">
            <v>45993</v>
          </cell>
          <cell r="F1527">
            <v>303</v>
          </cell>
          <cell r="G1527" t="str">
            <v>YM-PRE0010-03-100Y-045 - PRE0010 100MM 45GR YIVLI OPAK SIYAH PREFORM KOLI STANDART 8GÖZ</v>
          </cell>
          <cell r="J1527">
            <v>8</v>
          </cell>
          <cell r="K1527">
            <v>8</v>
          </cell>
          <cell r="L1527">
            <v>43.9</v>
          </cell>
        </row>
        <row r="1528">
          <cell r="A1528">
            <v>45993</v>
          </cell>
          <cell r="F1528">
            <v>502</v>
          </cell>
          <cell r="G1528" t="str">
            <v>MM-EBM0006-01-038Y-030 - EBM0006-01 265ML OPAK BEYAZ 38MM YIVLI 30GR</v>
          </cell>
          <cell r="J1528">
            <v>4</v>
          </cell>
          <cell r="K1528">
            <v>2</v>
          </cell>
          <cell r="L1528">
            <v>18.02</v>
          </cell>
        </row>
        <row r="1529">
          <cell r="A1529">
            <v>45993</v>
          </cell>
          <cell r="F1529">
            <v>102</v>
          </cell>
          <cell r="G1529" t="str">
            <v>MM-PET0011-03-024Y-020 - PET0011-03 150ML SEFFAF SEFFAF 24MM YIVLI 20GR</v>
          </cell>
          <cell r="J1529">
            <v>9</v>
          </cell>
          <cell r="K1529">
            <v>8</v>
          </cell>
          <cell r="L1529">
            <v>12.74</v>
          </cell>
        </row>
        <row r="1530">
          <cell r="A1530">
            <v>45993</v>
          </cell>
          <cell r="F1530">
            <v>103</v>
          </cell>
          <cell r="G1530" t="str">
            <v>MM-PET0005-01-028Y-040 - PET0005-01 700ML SEFFAF SARI 28MM YIVLI 40GR</v>
          </cell>
          <cell r="J1530">
            <v>5</v>
          </cell>
          <cell r="K1530">
            <v>5</v>
          </cell>
          <cell r="L1530">
            <v>15.75</v>
          </cell>
        </row>
        <row r="1531">
          <cell r="A1531">
            <v>45993</v>
          </cell>
          <cell r="F1531">
            <v>161</v>
          </cell>
          <cell r="G1531" t="str">
            <v>MM-PET0181-04-038Y-047 - PET0181-04 960ML OPAK MAVI 38MM YIVLI 47GR</v>
          </cell>
          <cell r="J1531">
            <v>2</v>
          </cell>
          <cell r="K1531">
            <v>2</v>
          </cell>
          <cell r="L1531">
            <v>22.51</v>
          </cell>
        </row>
        <row r="1532">
          <cell r="A1532">
            <v>45993</v>
          </cell>
          <cell r="F1532">
            <v>162</v>
          </cell>
          <cell r="G1532" t="str">
            <v>MM-PET0304-02-028Y-052 - PET0304-02 500ML SEFFAF SARI 28MM YIVLI 52GR</v>
          </cell>
          <cell r="J1532">
            <v>2</v>
          </cell>
          <cell r="K1532">
            <v>2</v>
          </cell>
          <cell r="L1532">
            <v>24</v>
          </cell>
        </row>
        <row r="1533">
          <cell r="A1533">
            <v>45993</v>
          </cell>
          <cell r="F1533">
            <v>163</v>
          </cell>
          <cell r="G1533" t="str">
            <v>MM-PET0005-01-028Y-040 - PET0005-01 700ML SEFFAF SARI 28MM YIVLI 40GR</v>
          </cell>
          <cell r="J1533">
            <v>2</v>
          </cell>
          <cell r="K1533">
            <v>2</v>
          </cell>
          <cell r="L1533">
            <v>20.39</v>
          </cell>
        </row>
        <row r="1534">
          <cell r="A1534">
            <v>45993</v>
          </cell>
          <cell r="F1534">
            <v>164</v>
          </cell>
          <cell r="G1534" t="str">
            <v>MM-PET0014-01-028Y-052 - PET0014-01 1000ML SEFFAF SEFFAF 28MM YIVLI 52GR</v>
          </cell>
          <cell r="J1534">
            <v>2</v>
          </cell>
          <cell r="K1534">
            <v>2</v>
          </cell>
          <cell r="L1534">
            <v>23.69</v>
          </cell>
        </row>
        <row r="1535">
          <cell r="A1535">
            <v>45993</v>
          </cell>
          <cell r="F1535">
            <v>182</v>
          </cell>
          <cell r="G1535" t="str">
            <v>MM-PET0165-04-028Y-026 - PET0165-04 450ML SEFFAF MAVI 28MM YIVLI 26GR</v>
          </cell>
          <cell r="J1535">
            <v>4</v>
          </cell>
          <cell r="K1535">
            <v>4</v>
          </cell>
          <cell r="L1535">
            <v>17.22</v>
          </cell>
        </row>
        <row r="1536">
          <cell r="A1536">
            <v>45993</v>
          </cell>
          <cell r="F1536">
            <v>171</v>
          </cell>
          <cell r="G1536" t="str">
            <v>MM-PET0185-01-100Y-045 - PET0185-01 500ML SEFFAF SEFFAF 100MM YIVLI 45GR</v>
          </cell>
          <cell r="J1536">
            <v>3</v>
          </cell>
          <cell r="K1536">
            <v>3</v>
          </cell>
          <cell r="L1536">
            <v>14.62</v>
          </cell>
        </row>
        <row r="1537">
          <cell r="A1537">
            <v>45993</v>
          </cell>
          <cell r="F1537">
            <v>172</v>
          </cell>
          <cell r="G1537" t="str">
            <v>MM-PET0209-04-028Y-045 - PET0209-04 500ML OPAK GRI 28MM YIVLI 45GR</v>
          </cell>
          <cell r="J1537">
            <v>4</v>
          </cell>
          <cell r="K1537">
            <v>4</v>
          </cell>
          <cell r="L1537">
            <v>16.09</v>
          </cell>
        </row>
        <row r="1538">
          <cell r="A1538">
            <v>45993</v>
          </cell>
          <cell r="F1538">
            <v>173</v>
          </cell>
          <cell r="G1538" t="str">
            <v>MM-PET0019-02-028C-040 - PET0019-02 650ML OPAK BEYAZ 28MM CAKMA 40GR</v>
          </cell>
          <cell r="J1538">
            <v>5</v>
          </cell>
          <cell r="K1538">
            <v>5</v>
          </cell>
          <cell r="L1538">
            <v>15.78</v>
          </cell>
        </row>
        <row r="1539">
          <cell r="A1539">
            <v>45993</v>
          </cell>
          <cell r="F1539">
            <v>175</v>
          </cell>
          <cell r="G1539" t="str">
            <v>MM-PET0238-01-028C-035 - PET0238-01 450ML SEFFAF UV 28MM CAKMA 35GR</v>
          </cell>
          <cell r="J1539">
            <v>5</v>
          </cell>
          <cell r="K1539">
            <v>5</v>
          </cell>
          <cell r="L1539">
            <v>14.48</v>
          </cell>
        </row>
        <row r="1540">
          <cell r="A1540">
            <v>45993</v>
          </cell>
          <cell r="F1540">
            <v>176</v>
          </cell>
          <cell r="G1540" t="str">
            <v>MM-PET0015-01-028Y-052 - PET0015-01 1000ML OPAK SIYAH 28MM YIVLI 52GR</v>
          </cell>
          <cell r="J1540">
            <v>5</v>
          </cell>
          <cell r="K1540">
            <v>5</v>
          </cell>
          <cell r="L1540">
            <v>18.73</v>
          </cell>
        </row>
        <row r="1541">
          <cell r="A1541">
            <v>45993</v>
          </cell>
          <cell r="F1541">
            <v>177</v>
          </cell>
          <cell r="G1541" t="str">
            <v>MM-PET0014-01-028Y-052 - PET0014-01 1000ML SEFFAF SEFFAF 28MM YIVLI 52GR</v>
          </cell>
          <cell r="J1541">
            <v>4</v>
          </cell>
          <cell r="K1541">
            <v>4</v>
          </cell>
          <cell r="L1541">
            <v>17.96</v>
          </cell>
        </row>
        <row r="1542">
          <cell r="A1542">
            <v>45993</v>
          </cell>
          <cell r="F1542">
            <v>131</v>
          </cell>
          <cell r="G1542" t="str">
            <v>MM-PET0139-01-024Y-025 - PET0139-01 400ML SEFFAF SEFFAF 24MM YIVLI 25GR</v>
          </cell>
          <cell r="J1542">
            <v>3</v>
          </cell>
          <cell r="K1542">
            <v>3</v>
          </cell>
          <cell r="L1542">
            <v>16.899999999999999</v>
          </cell>
        </row>
        <row r="1543">
          <cell r="A1543">
            <v>45993</v>
          </cell>
          <cell r="F1543">
            <v>132</v>
          </cell>
          <cell r="G1543" t="str">
            <v>MM-PET0017-01-024Y-025 - PET0017-01 200ML SEFFAF SEFFAF 24MM YIVLI 25GR</v>
          </cell>
          <cell r="J1543">
            <v>3</v>
          </cell>
          <cell r="K1543">
            <v>3</v>
          </cell>
          <cell r="L1543">
            <v>18.079999999999998</v>
          </cell>
        </row>
        <row r="1544">
          <cell r="A1544">
            <v>45993</v>
          </cell>
          <cell r="F1544">
            <v>138</v>
          </cell>
          <cell r="G1544" t="str">
            <v>MM-PET0128-01-028Y-040 - PET0128-01 400ML SEFFAF SEFFAF 28MM YIVLI 40GR</v>
          </cell>
          <cell r="J1544">
            <v>3</v>
          </cell>
          <cell r="K1544">
            <v>3</v>
          </cell>
          <cell r="L1544">
            <v>20.86</v>
          </cell>
        </row>
        <row r="1545">
          <cell r="A1545">
            <v>45994</v>
          </cell>
          <cell r="F1545">
            <v>401</v>
          </cell>
          <cell r="G1545" t="str">
            <v>MM-BLW0005-01-110Y-090 - BLW0005-01 700ML SEFFAF SEFFAF 110MM YIVLI 90GR</v>
          </cell>
          <cell r="J1545">
            <v>1</v>
          </cell>
          <cell r="K1545">
            <v>1</v>
          </cell>
          <cell r="L1545">
            <v>11</v>
          </cell>
        </row>
        <row r="1546">
          <cell r="A1546">
            <v>45994</v>
          </cell>
          <cell r="F1546">
            <v>405</v>
          </cell>
          <cell r="G1546" t="str">
            <v>MM-BLW0008-01-110T-091 - BLW0008-01 1200ML OPAK SIYAH 110MM TENEKE 91GR (YAZILI ADALYA TABAN / STD PALET)</v>
          </cell>
          <cell r="J1546">
            <v>2</v>
          </cell>
          <cell r="K1546">
            <v>2</v>
          </cell>
          <cell r="L1546">
            <v>8.1999999999999993</v>
          </cell>
        </row>
        <row r="1547">
          <cell r="A1547">
            <v>45994</v>
          </cell>
          <cell r="F1547">
            <v>203</v>
          </cell>
          <cell r="G1547" t="str">
            <v>MM-ENJ0057-01-044C-006 - ENJ0057-01 KAPAK SEFFAF SARI 44MM CAKMA 6GR</v>
          </cell>
          <cell r="J1547">
            <v>8</v>
          </cell>
          <cell r="K1547">
            <v>8</v>
          </cell>
          <cell r="L1547">
            <v>19</v>
          </cell>
        </row>
        <row r="1548">
          <cell r="A1548">
            <v>45994</v>
          </cell>
          <cell r="F1548">
            <v>204</v>
          </cell>
          <cell r="G1548" t="str">
            <v>MM-ENJ0062-05-028C-008 - ENJ0062-05 KAPAK OPAK MAVI 28MM CAKMA 8GR</v>
          </cell>
          <cell r="J1548">
            <v>4</v>
          </cell>
          <cell r="K1548">
            <v>2</v>
          </cell>
          <cell r="L1548">
            <v>18.5</v>
          </cell>
        </row>
        <row r="1549">
          <cell r="A1549">
            <v>45994</v>
          </cell>
          <cell r="F1549">
            <v>205</v>
          </cell>
          <cell r="G1549" t="str">
            <v>MM-ENJ0031-04-024Y-003 - ENJ0031-04 KAPAK OPAK YESIL 24MM YIVLI 3GR</v>
          </cell>
          <cell r="J1549">
            <v>12</v>
          </cell>
          <cell r="K1549">
            <v>12</v>
          </cell>
          <cell r="L1549">
            <v>27.3</v>
          </cell>
        </row>
        <row r="1550">
          <cell r="A1550">
            <v>45994</v>
          </cell>
          <cell r="F1550">
            <v>207</v>
          </cell>
          <cell r="G1550" t="str">
            <v>MM-ENJ0038-10-028Y-010 - ENJ0038-10 KAPAK OPAK KIRMIZI 28MM YIVLI 10GR</v>
          </cell>
          <cell r="J1550">
            <v>12</v>
          </cell>
          <cell r="K1550">
            <v>9</v>
          </cell>
          <cell r="L1550">
            <v>26.64</v>
          </cell>
        </row>
        <row r="1551">
          <cell r="A1551">
            <v>45994</v>
          </cell>
          <cell r="F1551">
            <v>210</v>
          </cell>
          <cell r="G1551" t="str">
            <v>MM-ENJ0023-05-100Y-013 - ENJ0023-05 KAVANOZ KAPAK OPAK GOLD 100MM YIVLI 13GR</v>
          </cell>
          <cell r="J1551">
            <v>4</v>
          </cell>
          <cell r="K1551">
            <v>4</v>
          </cell>
          <cell r="L1551">
            <v>18.600000000000001</v>
          </cell>
        </row>
        <row r="1552">
          <cell r="A1552">
            <v>45994</v>
          </cell>
          <cell r="F1552">
            <v>211</v>
          </cell>
          <cell r="G1552" t="str">
            <v>MM-ENJ0027-03-024P-001 - ENJ0027-03 PIM SEFFAF 024MM YIVLI 1GR</v>
          </cell>
          <cell r="J1552">
            <v>24</v>
          </cell>
          <cell r="K1552">
            <v>19</v>
          </cell>
          <cell r="L1552">
            <v>19.3</v>
          </cell>
        </row>
        <row r="1553">
          <cell r="A1553">
            <v>45994</v>
          </cell>
          <cell r="F1553">
            <v>212</v>
          </cell>
          <cell r="G1553" t="str">
            <v>MM-ENJ0058-08-028Y-013 - ENJ0058-08 FLIPTOP OPAK GOLD 28MM YIVLI 13GR</v>
          </cell>
          <cell r="J1553">
            <v>12</v>
          </cell>
          <cell r="K1553">
            <v>12</v>
          </cell>
          <cell r="L1553">
            <v>21.55</v>
          </cell>
        </row>
        <row r="1554">
          <cell r="A1554">
            <v>45994</v>
          </cell>
          <cell r="F1554">
            <v>301</v>
          </cell>
          <cell r="G1554" t="str">
            <v>YM-PRE0002-01-062Y-043 - PRE0002 62MM 8 GOZ PREFORM 43GR SEFFAF SEFFAF KOLI STANDART</v>
          </cell>
          <cell r="J1554">
            <v>8</v>
          </cell>
          <cell r="K1554">
            <v>7</v>
          </cell>
          <cell r="L1554">
            <v>35.6</v>
          </cell>
        </row>
        <row r="1555">
          <cell r="A1555">
            <v>45994</v>
          </cell>
          <cell r="F1555">
            <v>303</v>
          </cell>
          <cell r="G1555" t="str">
            <v>YM-PRE0010-03-100Y-045 - PRE0010 100MM 45GR YIVLI OPAK SIYAH PREFORM KOLI STANDART 8GÖZ</v>
          </cell>
          <cell r="J1555">
            <v>8</v>
          </cell>
          <cell r="K1555">
            <v>8</v>
          </cell>
          <cell r="L1555">
            <v>44</v>
          </cell>
        </row>
        <row r="1556">
          <cell r="A1556">
            <v>45994</v>
          </cell>
          <cell r="F1556">
            <v>501</v>
          </cell>
          <cell r="G1556" t="str">
            <v>MM-EBM0010-01-020Y-018 - EBM0010-01 175ML OPAK PEMBE 20MM YIVLI 18GR</v>
          </cell>
          <cell r="J1556">
            <v>6</v>
          </cell>
          <cell r="K1556">
            <v>6</v>
          </cell>
          <cell r="L1556">
            <v>14.62</v>
          </cell>
        </row>
        <row r="1557">
          <cell r="A1557">
            <v>45994</v>
          </cell>
          <cell r="F1557">
            <v>502</v>
          </cell>
          <cell r="G1557" t="str">
            <v>MM-EBM0006-01-038Y-030 - EBM0006-01 265ML OPAK BEYAZ 38MM YIVLI 30GR</v>
          </cell>
          <cell r="J1557">
            <v>4</v>
          </cell>
          <cell r="K1557">
            <v>2</v>
          </cell>
          <cell r="L1557">
            <v>17.91</v>
          </cell>
        </row>
        <row r="1558">
          <cell r="A1558">
            <v>45994</v>
          </cell>
          <cell r="F1558">
            <v>101</v>
          </cell>
          <cell r="G1558" t="str">
            <v>MM-PET0238-03-028C-033 - PET0238-03 450ML SEFFAF UV 28MM CAKMA 33GR</v>
          </cell>
          <cell r="J1558">
            <v>4</v>
          </cell>
          <cell r="K1558">
            <v>4</v>
          </cell>
          <cell r="L1558">
            <v>16.96</v>
          </cell>
        </row>
        <row r="1559">
          <cell r="A1559">
            <v>45994</v>
          </cell>
          <cell r="F1559">
            <v>102</v>
          </cell>
          <cell r="G1559" t="str">
            <v>MM-PET0011-03-024Y-020 - PET0011-03 150ML SEFFAF SEFFAF 24MM YIVLI 20GR</v>
          </cell>
          <cell r="J1559">
            <v>9</v>
          </cell>
          <cell r="K1559">
            <v>8</v>
          </cell>
          <cell r="L1559">
            <v>12.75</v>
          </cell>
        </row>
        <row r="1560">
          <cell r="A1560">
            <v>45994</v>
          </cell>
          <cell r="F1560">
            <v>103</v>
          </cell>
          <cell r="G1560" t="str">
            <v>MM-PET0005-03-028Y-040 - PET0005-03 700ML OPAK SARI 28MM YIVLI 40GR</v>
          </cell>
          <cell r="J1560">
            <v>5</v>
          </cell>
          <cell r="K1560">
            <v>5</v>
          </cell>
          <cell r="L1560">
            <v>16.329999999999998</v>
          </cell>
        </row>
        <row r="1561">
          <cell r="A1561">
            <v>45994</v>
          </cell>
          <cell r="F1561">
            <v>104</v>
          </cell>
          <cell r="G1561" t="str">
            <v>MM-PET0025-01-028Y-025 - PET0025-01 400ML SEFFAF SEFFAF 28MM YIVLI 25GR</v>
          </cell>
          <cell r="J1561">
            <v>6</v>
          </cell>
          <cell r="K1561">
            <v>6</v>
          </cell>
          <cell r="L1561">
            <v>13.6</v>
          </cell>
        </row>
        <row r="1562">
          <cell r="A1562">
            <v>45994</v>
          </cell>
          <cell r="F1562">
            <v>161</v>
          </cell>
          <cell r="G1562" t="str">
            <v>MM-PET0181-04-038Y-047 - PET0181-04 960ML OPAK MAVI 38MM YIVLI 47GR</v>
          </cell>
          <cell r="J1562">
            <v>2</v>
          </cell>
          <cell r="K1562">
            <v>2</v>
          </cell>
          <cell r="L1562">
            <v>22.51</v>
          </cell>
        </row>
        <row r="1563">
          <cell r="A1563">
            <v>45994</v>
          </cell>
          <cell r="F1563">
            <v>162</v>
          </cell>
          <cell r="G1563" t="str">
            <v>MM-PET0304-02-028Y-052 - PET0304-02 500ML SEFFAF SARI 28MM YIVLI 52GR</v>
          </cell>
          <cell r="J1563">
            <v>2</v>
          </cell>
          <cell r="K1563">
            <v>2</v>
          </cell>
          <cell r="L1563">
            <v>24</v>
          </cell>
        </row>
        <row r="1564">
          <cell r="A1564">
            <v>45994</v>
          </cell>
          <cell r="F1564">
            <v>163</v>
          </cell>
          <cell r="G1564" t="str">
            <v>MM-PET0005-01-028Y-040 - PET0005-01 700ML SEFFAF SARI 28MM YIVLI 40GR</v>
          </cell>
          <cell r="J1564">
            <v>2</v>
          </cell>
          <cell r="K1564">
            <v>2</v>
          </cell>
          <cell r="L1564">
            <v>20.39</v>
          </cell>
        </row>
        <row r="1565">
          <cell r="A1565">
            <v>45994</v>
          </cell>
          <cell r="F1565">
            <v>164</v>
          </cell>
          <cell r="G1565" t="str">
            <v>MM-PET0014-01-028Y-052 - PET0014-01 1000ML SEFFAF SEFFAF 28MM YIVLI 52GR</v>
          </cell>
          <cell r="J1565">
            <v>2</v>
          </cell>
          <cell r="K1565">
            <v>2</v>
          </cell>
          <cell r="L1565">
            <v>23.7</v>
          </cell>
        </row>
        <row r="1566">
          <cell r="A1566">
            <v>45994</v>
          </cell>
          <cell r="F1566">
            <v>172</v>
          </cell>
          <cell r="G1566" t="str">
            <v>MM-PET0319-04-028Y-045 - PET0319-04 1000ML SEFFAF 28MM YIVLI 45GR</v>
          </cell>
          <cell r="J1566">
            <v>4</v>
          </cell>
          <cell r="K1566">
            <v>4</v>
          </cell>
          <cell r="L1566">
            <v>14.75</v>
          </cell>
        </row>
        <row r="1567">
          <cell r="A1567">
            <v>45994</v>
          </cell>
          <cell r="F1567">
            <v>175</v>
          </cell>
          <cell r="G1567" t="str">
            <v>MM-PET0238-01-028C-035 - PET0238-01 450ML SEFFAF UV 28MM CAKMA 35GR</v>
          </cell>
          <cell r="J1567">
            <v>5</v>
          </cell>
          <cell r="K1567">
            <v>5</v>
          </cell>
          <cell r="L1567">
            <v>14.47</v>
          </cell>
        </row>
        <row r="1568">
          <cell r="A1568">
            <v>45994</v>
          </cell>
          <cell r="F1568">
            <v>176</v>
          </cell>
          <cell r="G1568" t="str">
            <v>MM-PET0026-01-028Y-052 - PET0026-01 900ML OPAK SEDEFLI TURKUAZ 28MM YIVLI 52GR</v>
          </cell>
          <cell r="J1568">
            <v>5</v>
          </cell>
          <cell r="K1568">
            <v>5</v>
          </cell>
          <cell r="L1568">
            <v>19.8</v>
          </cell>
        </row>
        <row r="1569">
          <cell r="A1569">
            <v>45994</v>
          </cell>
          <cell r="F1569">
            <v>177</v>
          </cell>
          <cell r="G1569" t="str">
            <v>MM-PET0015-01-028Y-052 - PET0015-01 1000ML OPAK SIYAH 28MM YIVLI 52GR</v>
          </cell>
          <cell r="J1569">
            <v>4</v>
          </cell>
          <cell r="K1569">
            <v>4</v>
          </cell>
          <cell r="L1569">
            <v>19.04</v>
          </cell>
        </row>
        <row r="1570">
          <cell r="A1570">
            <v>45994</v>
          </cell>
          <cell r="F1570">
            <v>131</v>
          </cell>
          <cell r="G1570" t="str">
            <v>MM-PET0139-01-024Y-025 - PET0139-01 400ML SEFFAF SEFFAF 24MM YIVLI 25GR</v>
          </cell>
          <cell r="J1570">
            <v>3</v>
          </cell>
          <cell r="K1570">
            <v>3</v>
          </cell>
          <cell r="L1570">
            <v>16.97</v>
          </cell>
        </row>
        <row r="1571">
          <cell r="A1571">
            <v>45994</v>
          </cell>
          <cell r="F1571">
            <v>132</v>
          </cell>
          <cell r="G1571" t="str">
            <v>MM-PET0017-01-024Y-025 - PET0017-01 200ML SEFFAF SEFFAF 24MM YIVLI 25GR</v>
          </cell>
          <cell r="J1571">
            <v>3</v>
          </cell>
          <cell r="K1571">
            <v>3</v>
          </cell>
          <cell r="L1571">
            <v>18.07</v>
          </cell>
        </row>
        <row r="1572">
          <cell r="A1572">
            <v>45994</v>
          </cell>
          <cell r="F1572">
            <v>138</v>
          </cell>
          <cell r="G1572" t="str">
            <v>MM-PET0128-01-028Y-040 - PET0128-01 400ML SEFFAF SEFFAF 28MM YIVLI 40GR</v>
          </cell>
          <cell r="J1572">
            <v>3</v>
          </cell>
          <cell r="K1572">
            <v>3</v>
          </cell>
          <cell r="L1572">
            <v>20.8</v>
          </cell>
        </row>
        <row r="1573">
          <cell r="A1573">
            <v>45994</v>
          </cell>
          <cell r="F1573">
            <v>165</v>
          </cell>
          <cell r="G1573" t="str">
            <v>MM-PET0317-01-028Y-045 - PET0317-01 1000ML SEFFAF SEFFAF 28MM YIVLI 45GR</v>
          </cell>
          <cell r="J1573">
            <v>2</v>
          </cell>
          <cell r="K1573">
            <v>2</v>
          </cell>
          <cell r="L1573">
            <v>18.04</v>
          </cell>
        </row>
        <row r="1574">
          <cell r="A1574">
            <v>45995</v>
          </cell>
          <cell r="F1574">
            <v>101</v>
          </cell>
          <cell r="G1574" t="str">
            <v>MM-PET0238-03-028C-033 - PET0238-03 450ML SEFFAF UV 28MM CAKMA 33GR</v>
          </cell>
          <cell r="J1574">
            <v>4</v>
          </cell>
          <cell r="K1574">
            <v>4</v>
          </cell>
          <cell r="L1574">
            <v>17.22</v>
          </cell>
        </row>
        <row r="1575">
          <cell r="A1575">
            <v>45995</v>
          </cell>
          <cell r="F1575">
            <v>102</v>
          </cell>
          <cell r="G1575" t="str">
            <v>MM-PET0011-03-024Y-020 - PET0011-03 150ML SEFFAF SEFFAF 24MM YIVLI 20GR</v>
          </cell>
          <cell r="J1575">
            <v>9</v>
          </cell>
          <cell r="K1575">
            <v>8</v>
          </cell>
          <cell r="L1575">
            <v>12.74</v>
          </cell>
        </row>
        <row r="1576">
          <cell r="A1576">
            <v>45995</v>
          </cell>
          <cell r="F1576">
            <v>103</v>
          </cell>
          <cell r="G1576" t="str">
            <v>MM-PET0005-03-028Y-040 - PET0005-03 700ML OPAK SARI 28MM YIVLI 40GR</v>
          </cell>
          <cell r="J1576">
            <v>5</v>
          </cell>
          <cell r="K1576">
            <v>5</v>
          </cell>
          <cell r="L1576">
            <v>15.65</v>
          </cell>
        </row>
        <row r="1577">
          <cell r="A1577">
            <v>45995</v>
          </cell>
          <cell r="F1577">
            <v>104</v>
          </cell>
          <cell r="G1577" t="str">
            <v>MM-PET0025-01-028Y-025 - PET0025-01 400ML SEFFAF SEFFAF 28MM YIVLI 25GR</v>
          </cell>
          <cell r="J1577">
            <v>6</v>
          </cell>
          <cell r="K1577">
            <v>6</v>
          </cell>
          <cell r="L1577">
            <v>13.82</v>
          </cell>
        </row>
        <row r="1578">
          <cell r="A1578">
            <v>45995</v>
          </cell>
          <cell r="F1578">
            <v>161</v>
          </cell>
          <cell r="G1578" t="str">
            <v>MM-PET0181-04-038Y-047 - PET0181-04 960ML OPAK MAVI 38MM YIVLI 47GR</v>
          </cell>
          <cell r="J1578">
            <v>2</v>
          </cell>
          <cell r="K1578">
            <v>2</v>
          </cell>
          <cell r="L1578">
            <v>22.51</v>
          </cell>
        </row>
        <row r="1579">
          <cell r="A1579">
            <v>45995</v>
          </cell>
          <cell r="F1579">
            <v>162</v>
          </cell>
          <cell r="G1579" t="str">
            <v>MM-PET0304-04-028Y-052 - PET0304-04 500ML SEFFAF MAVI 28MM YIVLI 52GR</v>
          </cell>
          <cell r="J1579">
            <v>2</v>
          </cell>
          <cell r="K1579">
            <v>2</v>
          </cell>
          <cell r="L1579">
            <v>24</v>
          </cell>
        </row>
        <row r="1580">
          <cell r="A1580">
            <v>45995</v>
          </cell>
          <cell r="F1580">
            <v>163</v>
          </cell>
          <cell r="G1580" t="str">
            <v>MM-PET0005-01-028Y-040 - PET0005-01 700ML SEFFAF SARI 28MM YIVLI 40GR</v>
          </cell>
          <cell r="J1580">
            <v>2</v>
          </cell>
          <cell r="K1580">
            <v>2</v>
          </cell>
          <cell r="L1580">
            <v>20.39</v>
          </cell>
        </row>
        <row r="1581">
          <cell r="A1581">
            <v>45995</v>
          </cell>
          <cell r="F1581">
            <v>164</v>
          </cell>
          <cell r="G1581" t="str">
            <v>MM-PET0014-01-028Y-052 - PET0014-01 1000ML SEFFAF SEFFAF 28MM YIVLI 52GR</v>
          </cell>
          <cell r="J1581">
            <v>2</v>
          </cell>
          <cell r="K1581">
            <v>2</v>
          </cell>
          <cell r="L1581">
            <v>23.69</v>
          </cell>
        </row>
        <row r="1582">
          <cell r="A1582">
            <v>45995</v>
          </cell>
          <cell r="F1582">
            <v>172</v>
          </cell>
          <cell r="G1582" t="str">
            <v>MM-PET0227-01-028Y-052 - PET0227-01 1000ML SEFFAF SEFFAF 28MM YIVLI 52GR</v>
          </cell>
          <cell r="J1582">
            <v>4</v>
          </cell>
          <cell r="K1582">
            <v>4</v>
          </cell>
          <cell r="L1582">
            <v>19.45</v>
          </cell>
        </row>
        <row r="1583">
          <cell r="A1583">
            <v>45995</v>
          </cell>
          <cell r="F1583">
            <v>173</v>
          </cell>
          <cell r="G1583" t="str">
            <v>MM-PET0019-02-028C-040 - PET0019-02 650ML OPAK BEYAZ 28MM CAKMA 40GR</v>
          </cell>
          <cell r="J1583">
            <v>5</v>
          </cell>
          <cell r="K1583">
            <v>5</v>
          </cell>
          <cell r="L1583">
            <v>16.79</v>
          </cell>
        </row>
        <row r="1584">
          <cell r="A1584">
            <v>45995</v>
          </cell>
          <cell r="F1584">
            <v>175</v>
          </cell>
          <cell r="G1584" t="str">
            <v>MM-PET0238-01-028C-035 - PET0238-01 450ML SEFFAF UV 28MM CAKMA 35GR</v>
          </cell>
          <cell r="J1584">
            <v>5</v>
          </cell>
          <cell r="K1584">
            <v>5</v>
          </cell>
          <cell r="L1584">
            <v>15.05</v>
          </cell>
        </row>
        <row r="1585">
          <cell r="A1585">
            <v>45995</v>
          </cell>
          <cell r="F1585">
            <v>176</v>
          </cell>
          <cell r="G1585" t="str">
            <v>MM-PET0026-01-028Y-052 - PET0026-01 900ML OPAK SEDEFLI TURKUAZ 28MM YIVLI 52GR</v>
          </cell>
          <cell r="J1585">
            <v>5</v>
          </cell>
          <cell r="K1585">
            <v>5</v>
          </cell>
          <cell r="L1585">
            <v>19.86</v>
          </cell>
        </row>
        <row r="1586">
          <cell r="A1586">
            <v>45995</v>
          </cell>
          <cell r="F1586">
            <v>177</v>
          </cell>
          <cell r="G1586" t="str">
            <v>MM-PET0015-01-028Y-052 - PET0015-01 1000ML OPAK SIYAH 28MM YIVLI 52GR</v>
          </cell>
          <cell r="J1586">
            <v>4</v>
          </cell>
          <cell r="K1586">
            <v>4</v>
          </cell>
          <cell r="L1586">
            <v>19.04</v>
          </cell>
        </row>
        <row r="1587">
          <cell r="A1587">
            <v>45995</v>
          </cell>
          <cell r="F1587">
            <v>131</v>
          </cell>
          <cell r="G1587" t="str">
            <v>MM-PET0139-01-024Y-025 - PET0139-01 400ML SEFFAF SEFFAF 24MM YIVLI 25GR</v>
          </cell>
          <cell r="J1587">
            <v>3</v>
          </cell>
          <cell r="K1587">
            <v>3</v>
          </cell>
          <cell r="L1587">
            <v>17.059999999999999</v>
          </cell>
        </row>
        <row r="1588">
          <cell r="A1588">
            <v>45995</v>
          </cell>
          <cell r="F1588">
            <v>132</v>
          </cell>
          <cell r="G1588" t="str">
            <v>MM-PET0017-01-024Y-025 - PET0017-01 200ML SEFFAF SEFFAF 24MM YIVLI 25GR</v>
          </cell>
          <cell r="J1588">
            <v>3</v>
          </cell>
          <cell r="K1588">
            <v>3</v>
          </cell>
          <cell r="L1588">
            <v>18.079999999999998</v>
          </cell>
        </row>
        <row r="1589">
          <cell r="A1589">
            <v>45995</v>
          </cell>
          <cell r="F1589">
            <v>138</v>
          </cell>
          <cell r="G1589" t="str">
            <v>MM-PET0128-01-028Y-040 - PET0128-01 400ML SEFFAF SEFFAF 28MM YIVLI 40GR</v>
          </cell>
          <cell r="J1589">
            <v>3</v>
          </cell>
          <cell r="K1589">
            <v>3</v>
          </cell>
          <cell r="L1589">
            <v>20.329999999999998</v>
          </cell>
        </row>
        <row r="1590">
          <cell r="A1590">
            <v>45995</v>
          </cell>
          <cell r="F1590">
            <v>210</v>
          </cell>
          <cell r="G1590" t="str">
            <v>MM-ENJ0023-05-100Y-013 - ENJ0023-05 KAVANOZ KAPAK OPAK GOLD 100MM YIVLI 13GR</v>
          </cell>
          <cell r="J1590">
            <v>4</v>
          </cell>
          <cell r="K1590">
            <v>4</v>
          </cell>
          <cell r="L1590">
            <v>18.600000000000001</v>
          </cell>
        </row>
        <row r="1591">
          <cell r="A1591">
            <v>45995</v>
          </cell>
          <cell r="F1591">
            <v>209</v>
          </cell>
          <cell r="G1591" t="str">
            <v>MM-ENJ0059-09-028Y-013 - ENJ0059-09 FLIPTOP SEDEF TURUNCU 28MM YIVLI 13GR</v>
          </cell>
          <cell r="J1591">
            <v>12</v>
          </cell>
          <cell r="K1591">
            <v>12</v>
          </cell>
          <cell r="L1591">
            <v>35.6</v>
          </cell>
        </row>
        <row r="1592">
          <cell r="A1592">
            <v>45995</v>
          </cell>
          <cell r="F1592">
            <v>207</v>
          </cell>
          <cell r="G1592" t="str">
            <v>MM-ENJ0038-10-028Y-010 - ENJ0038-10 KAPAK OPAK KIRMIZI 28MM YIVLI 10GR</v>
          </cell>
          <cell r="J1592">
            <v>12</v>
          </cell>
          <cell r="K1592">
            <v>9</v>
          </cell>
          <cell r="L1592">
            <v>26.87</v>
          </cell>
        </row>
        <row r="1593">
          <cell r="A1593">
            <v>45995</v>
          </cell>
          <cell r="F1593">
            <v>212</v>
          </cell>
          <cell r="G1593" t="str">
            <v>MM-ENJ0058-08-028Y-013 - ENJ0058-08 FLIPTOP OPAK GOLD 28MM YIVLI 13GR</v>
          </cell>
          <cell r="J1593">
            <v>12</v>
          </cell>
          <cell r="K1593">
            <v>11</v>
          </cell>
          <cell r="L1593">
            <v>22.8</v>
          </cell>
        </row>
        <row r="1594">
          <cell r="A1594">
            <v>45995</v>
          </cell>
          <cell r="F1594">
            <v>204</v>
          </cell>
          <cell r="G1594" t="str">
            <v>MM-ENJ0062-05-028C-008 - ENJ0062-05 KAPAK OPAK MAVI 28MM CAKMA 8GR</v>
          </cell>
          <cell r="J1594">
            <v>4</v>
          </cell>
          <cell r="K1594">
            <v>2</v>
          </cell>
          <cell r="L1594">
            <v>18.600000000000001</v>
          </cell>
        </row>
        <row r="1595">
          <cell r="A1595">
            <v>45995</v>
          </cell>
          <cell r="F1595">
            <v>203</v>
          </cell>
          <cell r="G1595" t="str">
            <v>MM-ENJ0057-01-044C-006 - ENJ0057-01 KAPAK SEFFAF SARI 44MM CAKMA 6GR</v>
          </cell>
          <cell r="J1595">
            <v>8</v>
          </cell>
          <cell r="K1595">
            <v>8</v>
          </cell>
          <cell r="L1595">
            <v>19</v>
          </cell>
        </row>
        <row r="1596">
          <cell r="A1596">
            <v>45995</v>
          </cell>
          <cell r="F1596">
            <v>301</v>
          </cell>
          <cell r="G1596" t="str">
            <v>YM-PRE0002-01-062Y-043 - PRE0002 62MM 8 GOZ PREFORM 43GR SEFFAF SEFFAF KOLI STANDART</v>
          </cell>
          <cell r="J1596">
            <v>8</v>
          </cell>
          <cell r="K1596">
            <v>7</v>
          </cell>
          <cell r="L1596">
            <v>36.1</v>
          </cell>
        </row>
        <row r="1597">
          <cell r="A1597">
            <v>45995</v>
          </cell>
          <cell r="F1597">
            <v>405</v>
          </cell>
          <cell r="G1597" t="str">
            <v>MM-BLW0008-01-110T-091 - BLW0008-01 1200ML OPAK SIYAH 110MM TENEKE 91GR (YAZILI ADALYA TABAN / STD PALET)</v>
          </cell>
          <cell r="J1597">
            <v>2</v>
          </cell>
          <cell r="K1597">
            <v>2</v>
          </cell>
          <cell r="L1597">
            <v>8.1999999999999993</v>
          </cell>
        </row>
        <row r="1598">
          <cell r="A1598">
            <v>45995</v>
          </cell>
          <cell r="F1598">
            <v>303</v>
          </cell>
          <cell r="G1598" t="str">
            <v>YM-PRE0010-03-100Y-045 - PRE0010 100MM 45GR YIVLI OPAK SIYAH PREFORM KOLI STANDART 8GÖZ</v>
          </cell>
          <cell r="J1598">
            <v>8</v>
          </cell>
          <cell r="K1598">
            <v>8</v>
          </cell>
          <cell r="L1598">
            <v>44</v>
          </cell>
        </row>
        <row r="1599">
          <cell r="A1599">
            <v>45995</v>
          </cell>
          <cell r="F1599">
            <v>501</v>
          </cell>
          <cell r="G1599" t="str">
            <v>MM-EBM0010-01-020Y-018 - EBM0010-01 175ML OPAK PEMBE 20MM YIVLI 18GR</v>
          </cell>
          <cell r="J1599">
            <v>6</v>
          </cell>
          <cell r="K1599">
            <v>6</v>
          </cell>
          <cell r="L1599">
            <v>14.62</v>
          </cell>
        </row>
        <row r="1600">
          <cell r="A1600">
            <v>45995</v>
          </cell>
          <cell r="F1600">
            <v>502</v>
          </cell>
          <cell r="G1600" t="str">
            <v>MM-EBM0006-01-038Y-030 - EBM0006-01 265ML OPAK BEYAZ 38MM YIVLI 30GR</v>
          </cell>
          <cell r="J1600">
            <v>4</v>
          </cell>
          <cell r="K1600">
            <v>2</v>
          </cell>
          <cell r="L1600">
            <v>18.03</v>
          </cell>
        </row>
        <row r="1601">
          <cell r="A1601">
            <v>45996</v>
          </cell>
          <cell r="F1601">
            <v>101</v>
          </cell>
          <cell r="G1601" t="str">
            <v>MM-PET0238-03-028C-033 - PET0238-03 450ML SEFFAF UV 28MM CAKMA 33GR</v>
          </cell>
          <cell r="J1601">
            <v>4</v>
          </cell>
          <cell r="K1601">
            <v>4</v>
          </cell>
          <cell r="L1601">
            <v>17.23</v>
          </cell>
        </row>
        <row r="1602">
          <cell r="A1602">
            <v>45996</v>
          </cell>
          <cell r="F1602">
            <v>102</v>
          </cell>
          <cell r="G1602" t="str">
            <v>MM-PET0011-03-024Y-020 - PET0011-03 150ML SEFFAF SEFFAF 24MM YIVLI 20GR</v>
          </cell>
          <cell r="J1602">
            <v>9</v>
          </cell>
          <cell r="K1602">
            <v>8</v>
          </cell>
          <cell r="L1602">
            <v>12.73</v>
          </cell>
        </row>
        <row r="1603">
          <cell r="A1603">
            <v>45996</v>
          </cell>
          <cell r="F1603">
            <v>103</v>
          </cell>
          <cell r="G1603" t="str">
            <v>MM-PET0005-01-028Y-040 - PET0005-01 700ML SEFFAF SARI 28MM YIVLI 40GR</v>
          </cell>
          <cell r="J1603">
            <v>5</v>
          </cell>
          <cell r="K1603">
            <v>5</v>
          </cell>
          <cell r="L1603">
            <v>15.08</v>
          </cell>
        </row>
        <row r="1604">
          <cell r="A1604">
            <v>45996</v>
          </cell>
          <cell r="F1604">
            <v>161</v>
          </cell>
          <cell r="G1604" t="str">
            <v>MM-PET0181-04-038Y-047 - PET0181-04 960ML OPAK MAVI 38MM YIVLI 47GR</v>
          </cell>
          <cell r="J1604">
            <v>2</v>
          </cell>
          <cell r="K1604">
            <v>2</v>
          </cell>
          <cell r="L1604">
            <v>22.51</v>
          </cell>
        </row>
        <row r="1605">
          <cell r="A1605">
            <v>45996</v>
          </cell>
          <cell r="F1605">
            <v>162</v>
          </cell>
          <cell r="G1605" t="str">
            <v>MM-PET0304-01-028Y-052 - PET0304-01 500ML SEFFAF YESIL 28MM YIVLI 52GR</v>
          </cell>
          <cell r="J1605">
            <v>2</v>
          </cell>
          <cell r="K1605">
            <v>2</v>
          </cell>
          <cell r="L1605">
            <v>24</v>
          </cell>
        </row>
        <row r="1606">
          <cell r="A1606">
            <v>45996</v>
          </cell>
          <cell r="F1606">
            <v>163</v>
          </cell>
          <cell r="G1606" t="str">
            <v>MM-PET0247-01-028Y-035 - PET0247-01 500ML SEFFAF SEFFAF 28MM YIVLI 35GR</v>
          </cell>
          <cell r="J1606">
            <v>2</v>
          </cell>
          <cell r="K1606">
            <v>2</v>
          </cell>
          <cell r="L1606">
            <v>19.489999999999998</v>
          </cell>
        </row>
        <row r="1607">
          <cell r="A1607">
            <v>45996</v>
          </cell>
          <cell r="F1607">
            <v>164</v>
          </cell>
          <cell r="G1607" t="str">
            <v>MM-PET0014-01-028Y-052 - PET0014-01 1000ML SEFFAF SEFFAF 28MM YIVLI 52GR</v>
          </cell>
          <cell r="J1607">
            <v>2</v>
          </cell>
          <cell r="K1607">
            <v>2</v>
          </cell>
          <cell r="L1607">
            <v>23.7</v>
          </cell>
        </row>
        <row r="1608">
          <cell r="A1608">
            <v>45996</v>
          </cell>
          <cell r="F1608">
            <v>165</v>
          </cell>
          <cell r="G1608" t="str">
            <v>MM-PET0246-01-028Y-045 - PET0246-01 1000ML SEFFAF SEFFAF 28MM YIVLI 45GR</v>
          </cell>
          <cell r="J1608">
            <v>2</v>
          </cell>
          <cell r="K1608">
            <v>2</v>
          </cell>
          <cell r="L1608">
            <v>22.41</v>
          </cell>
        </row>
        <row r="1609">
          <cell r="A1609">
            <v>45996</v>
          </cell>
          <cell r="F1609">
            <v>172</v>
          </cell>
          <cell r="G1609" t="str">
            <v>MM-PET0227-01-028Y-052 - PET0227-01 1000ML SEFFAF SEFFAF 28MM YIVLI 52GR</v>
          </cell>
          <cell r="J1609">
            <v>4</v>
          </cell>
          <cell r="K1609">
            <v>4</v>
          </cell>
          <cell r="L1609">
            <v>18.07</v>
          </cell>
        </row>
        <row r="1610">
          <cell r="A1610">
            <v>45996</v>
          </cell>
          <cell r="F1610">
            <v>173</v>
          </cell>
          <cell r="G1610" t="str">
            <v>MM-PET0019-02-028C-040 - PET0019-02 650ML OPAK BEYAZ 28MM CAKMA 40GR</v>
          </cell>
          <cell r="J1610">
            <v>5</v>
          </cell>
          <cell r="K1610">
            <v>5</v>
          </cell>
          <cell r="L1610">
            <v>16.71</v>
          </cell>
        </row>
        <row r="1611">
          <cell r="A1611">
            <v>45996</v>
          </cell>
          <cell r="F1611">
            <v>175</v>
          </cell>
          <cell r="G1611" t="str">
            <v>MM-PET0238-01-028C-035 - PET0238-01 450ML SEFFAF UV 28MM CAKMA 35GR</v>
          </cell>
          <cell r="J1611">
            <v>5</v>
          </cell>
          <cell r="K1611">
            <v>5</v>
          </cell>
          <cell r="L1611">
            <v>14.96</v>
          </cell>
        </row>
        <row r="1612">
          <cell r="A1612">
            <v>45996</v>
          </cell>
          <cell r="F1612">
            <v>176</v>
          </cell>
          <cell r="G1612" t="str">
            <v>MM-PET0026-01-028Y-052 - PET0026-01 900ML OPAK SEDEFLI TURKUAZ 28MM YIVLI 52GR</v>
          </cell>
          <cell r="J1612">
            <v>5</v>
          </cell>
          <cell r="K1612">
            <v>5</v>
          </cell>
          <cell r="L1612">
            <v>19.05</v>
          </cell>
        </row>
        <row r="1613">
          <cell r="A1613">
            <v>45996</v>
          </cell>
          <cell r="F1613">
            <v>177</v>
          </cell>
          <cell r="G1613" t="str">
            <v>MM-PET0015-01-028Y-052 - PET0015-01 1000ML OPAK SIYAH 28MM YIVLI 52GR</v>
          </cell>
          <cell r="J1613">
            <v>4</v>
          </cell>
          <cell r="K1613">
            <v>4</v>
          </cell>
          <cell r="L1613">
            <v>19.03</v>
          </cell>
        </row>
        <row r="1614">
          <cell r="A1614">
            <v>45996</v>
          </cell>
          <cell r="F1614">
            <v>131</v>
          </cell>
          <cell r="G1614" t="str">
            <v>MM-PET0110-01-024Y-025 - PET0110-01 100ML SEFFAF TURUNCU 24MM YIVLI 25GR</v>
          </cell>
          <cell r="J1614">
            <v>3</v>
          </cell>
          <cell r="K1614">
            <v>3</v>
          </cell>
          <cell r="L1614">
            <v>18.79</v>
          </cell>
        </row>
        <row r="1615">
          <cell r="A1615">
            <v>45996</v>
          </cell>
          <cell r="F1615">
            <v>132</v>
          </cell>
          <cell r="G1615" t="str">
            <v>MM-PET0017-01-024Y-025 - PET0017-01 200ML SEFFAF SEFFAF 24MM YIVLI 25GR</v>
          </cell>
          <cell r="J1615">
            <v>3</v>
          </cell>
          <cell r="K1615">
            <v>3</v>
          </cell>
          <cell r="L1615">
            <v>18.37</v>
          </cell>
        </row>
        <row r="1616">
          <cell r="A1616">
            <v>45996</v>
          </cell>
          <cell r="F1616">
            <v>138</v>
          </cell>
          <cell r="G1616" t="str">
            <v>MM-PET0140-01-028Y-040 - PET0140-01 350ML SEFFAF SEFFAF 28MM YIVLI 40GR</v>
          </cell>
          <cell r="J1616">
            <v>3</v>
          </cell>
          <cell r="K1616">
            <v>3</v>
          </cell>
          <cell r="L1616">
            <v>20.63</v>
          </cell>
        </row>
        <row r="1617">
          <cell r="A1617">
            <v>46008</v>
          </cell>
          <cell r="F1617">
            <v>103</v>
          </cell>
          <cell r="G1617" t="str">
            <v>MM-PET0005-03-028Y-040 - PET0005-03 700ML OPAK SARI 28MM YIVLI 40GR</v>
          </cell>
          <cell r="J1617">
            <v>5</v>
          </cell>
          <cell r="K1617">
            <v>5</v>
          </cell>
          <cell r="L1617">
            <v>15.37</v>
          </cell>
        </row>
        <row r="1618">
          <cell r="A1618">
            <v>46008</v>
          </cell>
          <cell r="F1618">
            <v>104</v>
          </cell>
          <cell r="G1618" t="str">
            <v>MM-PET0166-02-028Y-025 - PET0166-02 400ML SEFFAF SEFFAF 28MM YIVLI 25GR</v>
          </cell>
          <cell r="J1618">
            <v>6</v>
          </cell>
          <cell r="K1618">
            <v>6</v>
          </cell>
          <cell r="L1618">
            <v>13.4</v>
          </cell>
        </row>
        <row r="1619">
          <cell r="A1619">
            <v>46008</v>
          </cell>
          <cell r="F1619">
            <v>161</v>
          </cell>
          <cell r="G1619" t="str">
            <v>MM-PET0181-03-038Y-047 - PET0181-03 960ML OPAK KIRMIZI 38MM YIVLI 47GR</v>
          </cell>
          <cell r="J1619">
            <v>2</v>
          </cell>
          <cell r="K1619">
            <v>2</v>
          </cell>
          <cell r="L1619">
            <v>22.5</v>
          </cell>
        </row>
        <row r="1620">
          <cell r="A1620">
            <v>46008</v>
          </cell>
          <cell r="F1620">
            <v>162</v>
          </cell>
          <cell r="G1620" t="str">
            <v>MM-PET0013-02-028Y-052 - PET0013-02 1000ML OPAK BEYAZ 28MM YIVLI 52GR</v>
          </cell>
          <cell r="J1620">
            <v>2</v>
          </cell>
          <cell r="K1620">
            <v>2</v>
          </cell>
          <cell r="L1620">
            <v>24</v>
          </cell>
        </row>
        <row r="1621">
          <cell r="A1621">
            <v>46008</v>
          </cell>
          <cell r="F1621">
            <v>163</v>
          </cell>
          <cell r="G1621" t="str">
            <v>MM-PET0295-01-028Y-040 - PET0295-01 739ML SEFFAF SEFFAF 28MM YIVLI 40GR</v>
          </cell>
          <cell r="J1621">
            <v>2</v>
          </cell>
          <cell r="K1621">
            <v>2</v>
          </cell>
          <cell r="L1621"/>
        </row>
        <row r="1622">
          <cell r="A1622">
            <v>46008</v>
          </cell>
          <cell r="F1622">
            <v>164</v>
          </cell>
          <cell r="G1622" t="str">
            <v>MM-PET0014-01-028Y-052 - PET0014-01 1000ML SEFFAF SEFFAF 28MM YIVLI 52GR</v>
          </cell>
          <cell r="J1622">
            <v>2</v>
          </cell>
          <cell r="K1622">
            <v>2</v>
          </cell>
          <cell r="L1622">
            <v>23.99</v>
          </cell>
        </row>
        <row r="1623">
          <cell r="A1623">
            <v>46008</v>
          </cell>
          <cell r="F1623">
            <v>165</v>
          </cell>
          <cell r="G1623" t="str">
            <v>MM-PET0024-01-028Y-045 - PET0024-01 1000ML SEFFAF SEFFAF 28MM YIVLI 45GR</v>
          </cell>
          <cell r="J1623">
            <v>2</v>
          </cell>
          <cell r="K1623">
            <v>2</v>
          </cell>
          <cell r="L1623">
            <v>20.99</v>
          </cell>
        </row>
        <row r="1624">
          <cell r="A1624">
            <v>46008</v>
          </cell>
          <cell r="F1624">
            <v>182</v>
          </cell>
          <cell r="G1624" t="str">
            <v>MM-PET0170-01-028Y-026 - PET0170-01 400ML SEFFAF YESIL 28MM YIVLI 26GR</v>
          </cell>
          <cell r="J1624">
            <v>4</v>
          </cell>
          <cell r="K1624">
            <v>4</v>
          </cell>
          <cell r="L1624">
            <v>14.05</v>
          </cell>
        </row>
        <row r="1625">
          <cell r="A1625">
            <v>46008</v>
          </cell>
          <cell r="F1625">
            <v>172</v>
          </cell>
          <cell r="G1625" t="str">
            <v>MM-PET0274-02-028Y-052 - PET0274-02 1000ML SEFFAF SEFFAF 28MM YIVLI 52GR</v>
          </cell>
          <cell r="J1625">
            <v>4</v>
          </cell>
          <cell r="K1625">
            <v>3</v>
          </cell>
          <cell r="L1625">
            <v>17.88</v>
          </cell>
        </row>
        <row r="1626">
          <cell r="A1626">
            <v>46008</v>
          </cell>
          <cell r="F1626">
            <v>173</v>
          </cell>
          <cell r="G1626" t="str">
            <v>MM-PET0019-02-028C-040 - PET0019-02 650ML OPAK BEYAZ 28MM CAKMA 40GR</v>
          </cell>
          <cell r="J1626">
            <v>5</v>
          </cell>
          <cell r="K1626">
            <v>5</v>
          </cell>
          <cell r="L1626">
            <v>16.809999999999999</v>
          </cell>
        </row>
        <row r="1627">
          <cell r="A1627">
            <v>46008</v>
          </cell>
          <cell r="F1627">
            <v>174</v>
          </cell>
          <cell r="G1627" t="str">
            <v>MM-PET0185-01-100Y-045 - PET0185-01 500ML SEFFAF SEFFAF 100MM YIVLI 45GR</v>
          </cell>
          <cell r="J1627">
            <v>3</v>
          </cell>
          <cell r="K1627">
            <v>3</v>
          </cell>
          <cell r="L1627">
            <v>14.64</v>
          </cell>
        </row>
        <row r="1628">
          <cell r="A1628">
            <v>46008</v>
          </cell>
          <cell r="F1628">
            <v>175</v>
          </cell>
          <cell r="G1628" t="str">
            <v>MM-PET0238-01-028C-035 - PET0238-01 450ML SEFFAF UV 28MM CAKMA 35GR</v>
          </cell>
          <cell r="J1628">
            <v>5</v>
          </cell>
          <cell r="K1628">
            <v>5</v>
          </cell>
          <cell r="L1628">
            <v>15.21</v>
          </cell>
        </row>
        <row r="1629">
          <cell r="A1629">
            <v>46008</v>
          </cell>
          <cell r="F1629">
            <v>176</v>
          </cell>
          <cell r="G1629" t="str">
            <v>MM-PET0026-04-028Y-052 - PET0026-04 900ML OPAK BEYAZ 28MM YIVLI 52GR</v>
          </cell>
          <cell r="J1629">
            <v>5</v>
          </cell>
          <cell r="K1629">
            <v>5</v>
          </cell>
          <cell r="L1629">
            <v>18.010000000000002</v>
          </cell>
        </row>
        <row r="1630">
          <cell r="A1630">
            <v>46008</v>
          </cell>
          <cell r="F1630">
            <v>177</v>
          </cell>
          <cell r="G1630" t="str">
            <v>MM-PET0015-02-028Y-052 - PET0015-02 1000ML OPAK YESIL 28MM YIVLI 52GR</v>
          </cell>
          <cell r="J1630">
            <v>4</v>
          </cell>
          <cell r="K1630">
            <v>4</v>
          </cell>
          <cell r="L1630">
            <v>18.39</v>
          </cell>
        </row>
        <row r="1631">
          <cell r="A1631">
            <v>46008</v>
          </cell>
          <cell r="F1631">
            <v>131</v>
          </cell>
          <cell r="G1631" t="str">
            <v>MM-PET0110-01-024Y-025 - PET0110-01 100ML SEFFAF TURUNCU 24MM YIVLI 25G</v>
          </cell>
          <cell r="J1631">
            <v>3</v>
          </cell>
          <cell r="K1631">
            <v>3</v>
          </cell>
          <cell r="L1631">
            <v>19.670000000000002</v>
          </cell>
        </row>
        <row r="1632">
          <cell r="A1632">
            <v>46008</v>
          </cell>
          <cell r="F1632">
            <v>132</v>
          </cell>
          <cell r="G1632" t="str">
            <v>MM-PET0064-06-024Y-025 - PET0064-06 200ML SEFFAF YESIL 24MM YIVLI 25GR</v>
          </cell>
          <cell r="J1632">
            <v>3</v>
          </cell>
          <cell r="K1632">
            <v>3</v>
          </cell>
          <cell r="L1632">
            <v>17.87</v>
          </cell>
        </row>
        <row r="1633">
          <cell r="A1633">
            <v>46008</v>
          </cell>
          <cell r="F1633">
            <v>135</v>
          </cell>
          <cell r="G1633" t="str">
            <v>MM-PET0145-01-038Y-025 - PET0145-01 150ML SEFFAF KAHVE 38MM YIVLI 25GR</v>
          </cell>
          <cell r="J1633">
            <v>2</v>
          </cell>
          <cell r="K1633">
            <v>2</v>
          </cell>
          <cell r="L1633">
            <v>20.46</v>
          </cell>
        </row>
        <row r="1634">
          <cell r="A1634">
            <v>46008</v>
          </cell>
          <cell r="F1634">
            <v>138</v>
          </cell>
          <cell r="G1634" t="str">
            <v>MM-PET0310-01-062Y-026 - PET0310-01 310ML SEFFAF SEFFAF 62MM YIVLI 26GR</v>
          </cell>
          <cell r="J1634">
            <v>3</v>
          </cell>
          <cell r="K1634">
            <v>3</v>
          </cell>
          <cell r="L1634">
            <v>12.48</v>
          </cell>
        </row>
        <row r="1635">
          <cell r="A1635">
            <v>46008</v>
          </cell>
          <cell r="F1635">
            <v>203</v>
          </cell>
          <cell r="G1635" t="str">
            <v>MM-ENJ0057-01-044C-006 - ENJ0057-01 KAPAK SEFFAF SARI 44MM CAKMA 6GR</v>
          </cell>
          <cell r="J1635">
            <v>8</v>
          </cell>
          <cell r="K1635">
            <v>8</v>
          </cell>
          <cell r="L1635">
            <v>19</v>
          </cell>
        </row>
        <row r="1636">
          <cell r="A1636">
            <v>46008</v>
          </cell>
          <cell r="F1636">
            <v>204</v>
          </cell>
          <cell r="G1636" t="str">
            <v>MM-ENJ0035-02-028P-001 - ENJ0035-02 TIPA SEFFAF 28MM YIVLI 1GR ( KOLONYA )</v>
          </cell>
          <cell r="J1636">
            <v>24</v>
          </cell>
          <cell r="K1636">
            <v>22</v>
          </cell>
          <cell r="L1636">
            <v>25.9</v>
          </cell>
        </row>
        <row r="1637">
          <cell r="A1637">
            <v>46008</v>
          </cell>
          <cell r="F1637">
            <v>205</v>
          </cell>
          <cell r="G1637" t="str">
            <v>MM-ENJ0031-04-024Y-003 - ENJ0031-04 KAPAK OPAK YESIL 24MM YIVLI 3GR</v>
          </cell>
          <cell r="J1637">
            <v>12</v>
          </cell>
          <cell r="K1637">
            <v>12</v>
          </cell>
          <cell r="L1637">
            <v>26.2</v>
          </cell>
        </row>
        <row r="1638">
          <cell r="A1638">
            <v>46008</v>
          </cell>
          <cell r="F1638">
            <v>207</v>
          </cell>
          <cell r="G1638" t="str">
            <v>MM-ENJ0038-10-028Y-010 - ENJ0038-10 KAPAK OPAK KIRMIZI 28MM YIVLI 10GR</v>
          </cell>
          <cell r="J1638">
            <v>12</v>
          </cell>
          <cell r="K1638">
            <v>10</v>
          </cell>
          <cell r="L1638">
            <v>26.11</v>
          </cell>
        </row>
        <row r="1639">
          <cell r="A1639">
            <v>46008</v>
          </cell>
          <cell r="F1639">
            <v>209</v>
          </cell>
          <cell r="G1639" t="str">
            <v>MM-ENJ0018-01-024Y-008 - ENJ0018-01 KAPAK OPAK SIYAH 24MM YIVLI 8GR</v>
          </cell>
          <cell r="J1639">
            <v>8</v>
          </cell>
          <cell r="K1639">
            <v>6</v>
          </cell>
          <cell r="L1639">
            <v>24</v>
          </cell>
        </row>
        <row r="1640">
          <cell r="A1640">
            <v>46008</v>
          </cell>
          <cell r="F1640">
            <v>210</v>
          </cell>
          <cell r="G1640" t="str">
            <v>MM-ENJ0022-07-110Y-017 - ENJ0022-07 KAVANOZ KAPAK OPAK GOLD CIZGILI 110MM YIVLI 17GR</v>
          </cell>
          <cell r="J1640">
            <v>4</v>
          </cell>
          <cell r="K1640">
            <v>4</v>
          </cell>
          <cell r="L1640">
            <v>20.100000000000001</v>
          </cell>
        </row>
        <row r="1641">
          <cell r="A1641">
            <v>46008</v>
          </cell>
          <cell r="F1641">
            <v>211</v>
          </cell>
          <cell r="G1641" t="str">
            <v>MM-ENJ0027-02-024P-001 - ENJ0027-02 PIM SEFFAF 024MM YIVLI 1GR</v>
          </cell>
          <cell r="J1641">
            <v>24</v>
          </cell>
          <cell r="K1641">
            <v>21</v>
          </cell>
          <cell r="L1641">
            <v>20.100000000000001</v>
          </cell>
        </row>
        <row r="1642">
          <cell r="A1642">
            <v>46008</v>
          </cell>
          <cell r="F1642">
            <v>301</v>
          </cell>
          <cell r="G1642" t="str">
            <v>MM-ENJ0042-01-090Y-017 - ENJ0042-01 KAVANOZ KAPAK OPAK SARI 90MM YIVLI 17GR</v>
          </cell>
          <cell r="J1642">
            <v>4</v>
          </cell>
          <cell r="K1642">
            <v>4</v>
          </cell>
          <cell r="L1642">
            <v>20.9</v>
          </cell>
        </row>
        <row r="1643">
          <cell r="A1643">
            <v>46008</v>
          </cell>
          <cell r="F1643">
            <v>303</v>
          </cell>
          <cell r="G1643" t="str">
            <v>YM-PRE0003-02-090Y-061 - PRE0003 90 MM 4 GOZ YIVLI PREFORM 61GR SEFFAF SEFFAF KOLI STANDART</v>
          </cell>
          <cell r="J1643">
            <v>4</v>
          </cell>
          <cell r="K1643">
            <v>3</v>
          </cell>
          <cell r="L1643">
            <v>30.1</v>
          </cell>
        </row>
        <row r="1644">
          <cell r="A1644">
            <v>46009</v>
          </cell>
          <cell r="F1644">
            <v>101</v>
          </cell>
          <cell r="G1644" t="str">
            <v>PET0003-01 500ML SEFFAF SEFFAF 28MM YIVLI 29GR</v>
          </cell>
          <cell r="J1644">
            <v>4</v>
          </cell>
          <cell r="K1644">
            <v>4</v>
          </cell>
          <cell r="L1644">
            <v>13.2</v>
          </cell>
        </row>
        <row r="1645">
          <cell r="A1645">
            <v>46009</v>
          </cell>
          <cell r="F1645">
            <v>103</v>
          </cell>
          <cell r="G1645" t="str">
            <v>PET0005-01 700ML SEFFAF SARI 28MM YIVLI 40GR</v>
          </cell>
          <cell r="J1645">
            <v>5</v>
          </cell>
          <cell r="K1645">
            <v>5</v>
          </cell>
          <cell r="L1645">
            <v>15.52</v>
          </cell>
        </row>
        <row r="1646">
          <cell r="A1646">
            <v>46009</v>
          </cell>
          <cell r="F1646">
            <v>161</v>
          </cell>
          <cell r="G1646" t="str">
            <v>PET0181-03 960ML OPAK KIRMIZI 38MM YIVLI 47GR</v>
          </cell>
          <cell r="J1646">
            <v>2</v>
          </cell>
          <cell r="K1646">
            <v>2</v>
          </cell>
          <cell r="L1646">
            <v>22.51</v>
          </cell>
        </row>
        <row r="1647">
          <cell r="A1647">
            <v>46009</v>
          </cell>
          <cell r="F1647">
            <v>163</v>
          </cell>
          <cell r="G1647" t="str">
            <v>PET0295-01 739ML SEFFAF SEFFAF 28MM YIVLI 40GR</v>
          </cell>
          <cell r="J1647">
            <v>2</v>
          </cell>
          <cell r="K1647">
            <v>2</v>
          </cell>
          <cell r="L1647">
            <v>19.79</v>
          </cell>
        </row>
        <row r="1648">
          <cell r="A1648">
            <v>46009</v>
          </cell>
          <cell r="F1648">
            <v>182</v>
          </cell>
          <cell r="G1648" t="str">
            <v>PET0170-01 400ML SEFFAF YESIL 28MM YIVLI 26GR</v>
          </cell>
          <cell r="J1648">
            <v>4</v>
          </cell>
          <cell r="K1648">
            <v>4</v>
          </cell>
          <cell r="L1648">
            <v>14.05</v>
          </cell>
        </row>
        <row r="1649">
          <cell r="A1649">
            <v>46009</v>
          </cell>
          <cell r="F1649">
            <v>172</v>
          </cell>
          <cell r="G1649" t="str">
            <v>PET0202-01 900ML SEFFAF SARI 28MM YIVLI 45GR</v>
          </cell>
          <cell r="J1649">
            <v>4</v>
          </cell>
          <cell r="K1649">
            <v>4</v>
          </cell>
          <cell r="L1649">
            <v>16.52</v>
          </cell>
        </row>
        <row r="1650">
          <cell r="A1650">
            <v>46009</v>
          </cell>
          <cell r="F1650">
            <v>173</v>
          </cell>
          <cell r="G1650" t="str">
            <v>PET0019-02 650ML OPAK BEYAZ 28MM CAKMA 40GR</v>
          </cell>
          <cell r="J1650">
            <v>5</v>
          </cell>
          <cell r="K1650">
            <v>5</v>
          </cell>
          <cell r="L1650">
            <v>16.809999999999999</v>
          </cell>
        </row>
        <row r="1651">
          <cell r="A1651">
            <v>46009</v>
          </cell>
          <cell r="F1651">
            <v>174</v>
          </cell>
          <cell r="G1651" t="str">
            <v>PET0185-01 500ML SEFFAF SEFFAF 100MM YIVLI 45GR</v>
          </cell>
          <cell r="J1651">
            <v>3</v>
          </cell>
          <cell r="K1651">
            <v>3</v>
          </cell>
          <cell r="L1651">
            <v>14.61</v>
          </cell>
        </row>
        <row r="1652">
          <cell r="A1652">
            <v>46009</v>
          </cell>
          <cell r="F1652">
            <v>175</v>
          </cell>
          <cell r="G1652" t="str">
            <v>PET0238-01 450ML SEFFAF UV 28MM CAKMA 35GR</v>
          </cell>
          <cell r="J1652">
            <v>5</v>
          </cell>
          <cell r="K1652">
            <v>5</v>
          </cell>
          <cell r="L1652">
            <v>15.22</v>
          </cell>
        </row>
        <row r="1653">
          <cell r="A1653">
            <v>46009</v>
          </cell>
          <cell r="F1653">
            <v>176</v>
          </cell>
          <cell r="G1653" t="str">
            <v>PET0015-04 1000ML OPAK MAVI 28MM YIVLI 52GR</v>
          </cell>
          <cell r="J1653">
            <v>5</v>
          </cell>
          <cell r="K1653">
            <v>5</v>
          </cell>
          <cell r="L1653">
            <v>18.010000000000002</v>
          </cell>
        </row>
        <row r="1654">
          <cell r="A1654">
            <v>46009</v>
          </cell>
          <cell r="F1654">
            <v>177</v>
          </cell>
          <cell r="G1654" t="str">
            <v>PET0015-02 1000ML OPAK YESIL 28MM YIVLI 52GR</v>
          </cell>
          <cell r="J1654">
            <v>4</v>
          </cell>
          <cell r="K1654">
            <v>4</v>
          </cell>
          <cell r="L1654">
            <v>18.36</v>
          </cell>
        </row>
        <row r="1655">
          <cell r="A1655">
            <v>46009</v>
          </cell>
          <cell r="F1655">
            <v>131</v>
          </cell>
          <cell r="G1655" t="str">
            <v>PET0110-01 100ML SEFFAF TURUNCU 24MM YIVLI 25GR</v>
          </cell>
          <cell r="J1655">
            <v>3</v>
          </cell>
          <cell r="K1655">
            <v>3</v>
          </cell>
          <cell r="L1655">
            <v>19.68</v>
          </cell>
        </row>
        <row r="1656">
          <cell r="A1656">
            <v>46009</v>
          </cell>
          <cell r="F1656">
            <v>132</v>
          </cell>
          <cell r="G1656" t="str">
            <v>PET0064-06 200ML SEFFAF YESIL 24MM YIVLI 25GR</v>
          </cell>
          <cell r="J1656">
            <v>3</v>
          </cell>
          <cell r="K1656">
            <v>3</v>
          </cell>
          <cell r="L1656">
            <v>17.77</v>
          </cell>
        </row>
        <row r="1657">
          <cell r="A1657">
            <v>46009</v>
          </cell>
          <cell r="F1657">
            <v>203</v>
          </cell>
          <cell r="G1657" t="str">
            <v>ENJ0057-01 KAPAK SEFFAF SARI 44MM CAKMA 6GR</v>
          </cell>
          <cell r="J1657">
            <v>8</v>
          </cell>
          <cell r="K1657">
            <v>8</v>
          </cell>
          <cell r="L1657">
            <v>19</v>
          </cell>
        </row>
        <row r="1658">
          <cell r="A1658">
            <v>46009</v>
          </cell>
          <cell r="F1658">
            <v>204</v>
          </cell>
          <cell r="G1658" t="str">
            <v>ENJ0035-02 TIPA SEFFAF 28MM YIVLI 1GR ( KOLONYA )</v>
          </cell>
          <cell r="J1658">
            <v>24</v>
          </cell>
          <cell r="K1658">
            <v>21</v>
          </cell>
          <cell r="L1658">
            <v>25.9</v>
          </cell>
        </row>
        <row r="1659">
          <cell r="A1659">
            <v>46009</v>
          </cell>
          <cell r="F1659">
            <v>205</v>
          </cell>
          <cell r="G1659" t="str">
            <v>ENJ0031-04 KAPAK OPAK YESIL 24MM YIVLI 3GR</v>
          </cell>
          <cell r="J1659">
            <v>12</v>
          </cell>
          <cell r="K1659">
            <v>12</v>
          </cell>
          <cell r="L1659">
            <v>26.5</v>
          </cell>
        </row>
        <row r="1660">
          <cell r="A1660">
            <v>46009</v>
          </cell>
          <cell r="F1660">
            <v>206</v>
          </cell>
          <cell r="G1660" t="str">
            <v>ENJ0063-01 BAHARAT FLIPTOP OPAK KIRMIZI 62MM YIVLI 12GR</v>
          </cell>
          <cell r="J1660">
            <v>4</v>
          </cell>
          <cell r="K1660">
            <v>4</v>
          </cell>
          <cell r="L1660">
            <v>19.100000000000001</v>
          </cell>
        </row>
        <row r="1661">
          <cell r="A1661">
            <v>46009</v>
          </cell>
          <cell r="F1661">
            <v>207</v>
          </cell>
          <cell r="G1661" t="str">
            <v>ENJ0038-10 KAPAK OPAK KIRMIZI 28MM YIVLI 10GR</v>
          </cell>
          <cell r="J1661">
            <v>12</v>
          </cell>
          <cell r="K1661">
            <v>9</v>
          </cell>
          <cell r="L1661">
            <v>26.08</v>
          </cell>
        </row>
        <row r="1662">
          <cell r="A1662">
            <v>46009</v>
          </cell>
          <cell r="F1662">
            <v>209</v>
          </cell>
          <cell r="G1662" t="str">
            <v>ENJ0018-01 KAPAK OPAK SIYAH 24MM YIVLI 8GR</v>
          </cell>
          <cell r="J1662">
            <v>8</v>
          </cell>
          <cell r="K1662">
            <v>6</v>
          </cell>
          <cell r="L1662">
            <v>32.200000000000003</v>
          </cell>
        </row>
        <row r="1663">
          <cell r="A1663">
            <v>46009</v>
          </cell>
          <cell r="F1663">
            <v>210</v>
          </cell>
          <cell r="G1663" t="str">
            <v>ENJ0022-05 KAVANOZ KAPAK OPAK GOLD 110MM YIVLI 17GR</v>
          </cell>
          <cell r="J1663">
            <v>4</v>
          </cell>
          <cell r="K1663">
            <v>4</v>
          </cell>
          <cell r="L1663">
            <v>20.100000000000001</v>
          </cell>
        </row>
        <row r="1664">
          <cell r="A1664">
            <v>46009</v>
          </cell>
          <cell r="F1664">
            <v>211</v>
          </cell>
          <cell r="G1664" t="str">
            <v>ENJ0027-02 PIM SEFFAF 024MM YIVLI 1GR</v>
          </cell>
          <cell r="J1664">
            <v>24</v>
          </cell>
          <cell r="K1664">
            <v>21</v>
          </cell>
          <cell r="L1664">
            <v>19.600000000000001</v>
          </cell>
        </row>
        <row r="1665">
          <cell r="A1665">
            <v>46009</v>
          </cell>
          <cell r="F1665">
            <v>301</v>
          </cell>
          <cell r="G1665" t="str">
            <v>ENJ0024-01 KAVANOZ KAPAK OPAK SARI 100MM YIVLI 30GR</v>
          </cell>
          <cell r="J1665">
            <v>2</v>
          </cell>
          <cell r="K1665">
            <v>2</v>
          </cell>
          <cell r="L1665">
            <v>37.1</v>
          </cell>
        </row>
        <row r="1666">
          <cell r="A1666">
            <v>46009</v>
          </cell>
          <cell r="F1666">
            <v>303</v>
          </cell>
          <cell r="G1666" t="str">
            <v>PRE0003 90 MM 4 GOZ YIVLI PREFORM 61GR SEFFAF SEFFAF KOLI STANDART</v>
          </cell>
          <cell r="J1666">
            <v>8</v>
          </cell>
          <cell r="K1666">
            <v>8</v>
          </cell>
          <cell r="L1666">
            <v>34</v>
          </cell>
        </row>
        <row r="1667">
          <cell r="A1667">
            <v>46010</v>
          </cell>
          <cell r="F1667">
            <v>203</v>
          </cell>
          <cell r="G1667" t="str">
            <v>ENJ0057-01 KAPAK SEFFAF SARI 44MM CAKMA 6GR</v>
          </cell>
          <cell r="J1667">
            <v>8</v>
          </cell>
          <cell r="K1667">
            <v>8</v>
          </cell>
          <cell r="L1667">
            <v>18.899999999999999</v>
          </cell>
        </row>
        <row r="1668">
          <cell r="A1668">
            <v>46010</v>
          </cell>
          <cell r="F1668">
            <v>204</v>
          </cell>
          <cell r="G1668" t="str">
            <v>ENJ0035-02 TIPA SEFFAF 28MM YIVLI 1GR ( KOLONYA )</v>
          </cell>
          <cell r="J1668">
            <v>24</v>
          </cell>
          <cell r="K1668">
            <v>21</v>
          </cell>
          <cell r="L1668">
            <v>25.8</v>
          </cell>
        </row>
        <row r="1669">
          <cell r="A1669">
            <v>46010</v>
          </cell>
          <cell r="F1669">
            <v>205</v>
          </cell>
          <cell r="G1669" t="str">
            <v>ENJ0031-04 KAPAK OPAK YESIL 24MM YIVLI 3GR</v>
          </cell>
          <cell r="J1669">
            <v>12</v>
          </cell>
          <cell r="K1669">
            <v>12</v>
          </cell>
          <cell r="L1669">
            <v>26.5</v>
          </cell>
        </row>
        <row r="1670">
          <cell r="A1670">
            <v>46010</v>
          </cell>
          <cell r="F1670">
            <v>206</v>
          </cell>
          <cell r="G1670" t="str">
            <v>ENJ0063-01 BAHARAT FLIPTOP OPAK KIRMIZI 62MM YIVLI 12GR</v>
          </cell>
          <cell r="J1670">
            <v>4</v>
          </cell>
          <cell r="K1670">
            <v>4</v>
          </cell>
          <cell r="L1670">
            <v>19.100000000000001</v>
          </cell>
        </row>
        <row r="1671">
          <cell r="A1671">
            <v>46010</v>
          </cell>
          <cell r="F1671">
            <v>207</v>
          </cell>
          <cell r="G1671" t="str">
            <v>ENJ0038-10 KAPAK OPAK KIRMIZI 28MM YIVLI 10GR</v>
          </cell>
          <cell r="J1671">
            <v>12</v>
          </cell>
          <cell r="K1671">
            <v>9</v>
          </cell>
          <cell r="L1671">
            <v>25.53</v>
          </cell>
        </row>
        <row r="1672">
          <cell r="A1672">
            <v>46010</v>
          </cell>
          <cell r="F1672">
            <v>209</v>
          </cell>
          <cell r="G1672" t="str">
            <v>ENJ0018-01 KAPAK OPAK SIYAH 24MM YIVLI 8GR</v>
          </cell>
          <cell r="J1672">
            <v>8</v>
          </cell>
          <cell r="K1672">
            <v>6</v>
          </cell>
          <cell r="L1672">
            <v>31.9</v>
          </cell>
        </row>
        <row r="1673">
          <cell r="A1673">
            <v>46010</v>
          </cell>
          <cell r="F1673">
            <v>210</v>
          </cell>
          <cell r="G1673" t="str">
            <v>ENJ0022-05 KAVANOZ KAPAK OPAK GOLD 110MM YIVLI 17GR</v>
          </cell>
          <cell r="J1673">
            <v>4</v>
          </cell>
          <cell r="K1673">
            <v>4</v>
          </cell>
          <cell r="L1673">
            <v>20.100000000000001</v>
          </cell>
        </row>
        <row r="1674">
          <cell r="A1674">
            <v>46010</v>
          </cell>
          <cell r="F1674">
            <v>211</v>
          </cell>
          <cell r="G1674" t="str">
            <v>ENJ0027-02 PIM SEFFAF 024MM YIVLI 1GR</v>
          </cell>
          <cell r="J1674">
            <v>24</v>
          </cell>
          <cell r="K1674">
            <v>21</v>
          </cell>
          <cell r="L1674">
            <v>19.8</v>
          </cell>
        </row>
        <row r="1675">
          <cell r="A1675">
            <v>46010</v>
          </cell>
          <cell r="F1675">
            <v>301</v>
          </cell>
          <cell r="G1675" t="str">
            <v>ENJ0024-01 KAVANOZ KAPAK OPAK SARI 100MM YIVLI 30GR</v>
          </cell>
          <cell r="J1675">
            <v>2</v>
          </cell>
          <cell r="K1675">
            <v>2</v>
          </cell>
          <cell r="L1675">
            <v>36.5</v>
          </cell>
        </row>
        <row r="1676">
          <cell r="A1676">
            <v>46010</v>
          </cell>
          <cell r="F1676">
            <v>302</v>
          </cell>
          <cell r="G1676" t="str">
            <v>BLW0023-01 3000ML SEFFAF 38MM YIVLI 74GR (S059)</v>
          </cell>
          <cell r="J1676">
            <v>12</v>
          </cell>
          <cell r="K1676">
            <v>10</v>
          </cell>
          <cell r="L1676">
            <v>51.4</v>
          </cell>
        </row>
        <row r="1677">
          <cell r="A1677">
            <v>46010</v>
          </cell>
          <cell r="F1677">
            <v>303</v>
          </cell>
          <cell r="G1677" t="str">
            <v>PRE0010 100MM 45GR TWIST OFF OPAK SIYAH PREFORM KOLI STANDART 8GÖZ</v>
          </cell>
          <cell r="J1677">
            <v>8</v>
          </cell>
          <cell r="K1677">
            <v>8</v>
          </cell>
          <cell r="L1677">
            <v>34.1</v>
          </cell>
        </row>
        <row r="1678">
          <cell r="A1678">
            <v>46011</v>
          </cell>
          <cell r="F1678">
            <v>203</v>
          </cell>
          <cell r="G1678" t="str">
            <v>ENJ0057-01 KAPAK SEFFAF SARI 44MM CAKMA 6GR</v>
          </cell>
          <cell r="J1678">
            <v>8</v>
          </cell>
          <cell r="K1678">
            <v>8</v>
          </cell>
          <cell r="L1678">
            <v>19.5</v>
          </cell>
        </row>
        <row r="1679">
          <cell r="A1679">
            <v>46011</v>
          </cell>
          <cell r="F1679">
            <v>204</v>
          </cell>
          <cell r="G1679" t="str">
            <v>ENJ0035-02 TIPA SEFFAF 28MM YIVLI 1GR ( KOLONYA )</v>
          </cell>
          <cell r="J1679">
            <v>24</v>
          </cell>
          <cell r="K1679">
            <v>24</v>
          </cell>
          <cell r="L1679">
            <v>27.9</v>
          </cell>
        </row>
        <row r="1680">
          <cell r="A1680">
            <v>46011</v>
          </cell>
          <cell r="F1680">
            <v>205</v>
          </cell>
          <cell r="G1680" t="str">
            <v>ENJ0031-04 KAPAK OPAK YESIL 24MM YIVLI 3GR</v>
          </cell>
          <cell r="J1680">
            <v>12</v>
          </cell>
          <cell r="K1680">
            <v>12</v>
          </cell>
          <cell r="L1680">
            <v>28</v>
          </cell>
        </row>
        <row r="1681">
          <cell r="A1681">
            <v>46011</v>
          </cell>
          <cell r="F1681">
            <v>206</v>
          </cell>
          <cell r="G1681" t="str">
            <v>ENJ0063-01 BAHARAT FLIPTOP OPAK KIRMIZI 62MM YIVLI 12GR</v>
          </cell>
          <cell r="J1681">
            <v>4</v>
          </cell>
          <cell r="K1681">
            <v>4</v>
          </cell>
          <cell r="L1681">
            <v>15.1</v>
          </cell>
        </row>
        <row r="1682">
          <cell r="A1682">
            <v>46011</v>
          </cell>
          <cell r="F1682">
            <v>207</v>
          </cell>
          <cell r="G1682" t="str">
            <v>ENJ0038-10 KAPAK OPAK KIRMIZI 28MM YIVLI 10GR</v>
          </cell>
          <cell r="J1682">
            <v>12</v>
          </cell>
          <cell r="K1682">
            <v>9</v>
          </cell>
          <cell r="L1682">
            <v>25.15</v>
          </cell>
        </row>
        <row r="1683">
          <cell r="A1683">
            <v>46011</v>
          </cell>
          <cell r="F1683">
            <v>209</v>
          </cell>
          <cell r="G1683" t="str">
            <v>ENJ0018-01 KAPAK OPAK SIYAH 24MM YIVLI 8GR</v>
          </cell>
          <cell r="J1683">
            <v>8</v>
          </cell>
          <cell r="K1683">
            <v>6</v>
          </cell>
          <cell r="L1683">
            <v>32.1</v>
          </cell>
        </row>
        <row r="1684">
          <cell r="A1684">
            <v>46011</v>
          </cell>
          <cell r="F1684">
            <v>210</v>
          </cell>
          <cell r="G1684" t="str">
            <v>ENJ0022-05 KAVANOZ KAPAK OPAK GOLD 110MM YIVLI 17GR</v>
          </cell>
          <cell r="J1684">
            <v>4</v>
          </cell>
          <cell r="K1684">
            <v>4</v>
          </cell>
          <cell r="L1684">
            <v>20.100000000000001</v>
          </cell>
        </row>
        <row r="1685">
          <cell r="A1685">
            <v>46011</v>
          </cell>
          <cell r="F1685">
            <v>211</v>
          </cell>
          <cell r="G1685" t="str">
            <v>ENJ0027-02 PIM SEFFAF 024MM YIVLI 1GR</v>
          </cell>
          <cell r="J1685">
            <v>24</v>
          </cell>
          <cell r="K1685">
            <v>21</v>
          </cell>
          <cell r="L1685">
            <v>21.1</v>
          </cell>
        </row>
        <row r="1686">
          <cell r="A1686">
            <v>46011</v>
          </cell>
          <cell r="F1686">
            <v>301</v>
          </cell>
          <cell r="G1686" t="str">
            <v>ENJ0024-01 KAVANOZ KAPAK OPAK SARI 100MM YIVLI 30GR</v>
          </cell>
          <cell r="J1686">
            <v>2</v>
          </cell>
          <cell r="K1686">
            <v>2</v>
          </cell>
          <cell r="L1686">
            <v>36.6</v>
          </cell>
        </row>
        <row r="1687">
          <cell r="A1687">
            <v>46011</v>
          </cell>
          <cell r="F1687">
            <v>303</v>
          </cell>
          <cell r="G1687" t="str">
            <v>PRE0010 100MM 45GR TWIST OFF OPAK SIYAH PREFORM KOLI STANDART 8GÖZ</v>
          </cell>
          <cell r="J1687">
            <v>8</v>
          </cell>
          <cell r="K1687">
            <v>8</v>
          </cell>
          <cell r="L1687">
            <v>34.4</v>
          </cell>
        </row>
        <row r="1688">
          <cell r="A1688">
            <v>46013</v>
          </cell>
          <cell r="F1688">
            <v>101</v>
          </cell>
          <cell r="G1688" t="str">
            <v>PET0003-01 500ML SEFFAF SEFFAF 28MM YIVLI 29GR</v>
          </cell>
          <cell r="J1688">
            <v>4</v>
          </cell>
          <cell r="K1688">
            <v>4</v>
          </cell>
          <cell r="L1688">
            <v>13.64</v>
          </cell>
        </row>
        <row r="1689">
          <cell r="A1689">
            <v>46013</v>
          </cell>
          <cell r="F1689">
            <v>103</v>
          </cell>
          <cell r="G1689" t="str">
            <v>PET0005-01 700ML SEFFAF SARI 28MM YIVLI 40GR</v>
          </cell>
          <cell r="J1689">
            <v>5</v>
          </cell>
          <cell r="K1689">
            <v>5</v>
          </cell>
          <cell r="L1689">
            <v>16.010000000000002</v>
          </cell>
        </row>
        <row r="1690">
          <cell r="A1690">
            <v>46013</v>
          </cell>
          <cell r="F1690">
            <v>161</v>
          </cell>
          <cell r="G1690" t="str">
            <v>PET0181-03 960ML OPAK KIRMIZI 38MM YIVLI 47GR</v>
          </cell>
          <cell r="J1690">
            <v>6</v>
          </cell>
          <cell r="K1690">
            <v>6</v>
          </cell>
          <cell r="L1690">
            <v>22.51</v>
          </cell>
        </row>
        <row r="1691">
          <cell r="A1691">
            <v>46013</v>
          </cell>
          <cell r="F1691">
            <v>162</v>
          </cell>
          <cell r="G1691" t="str">
            <v>PET0293-01 1500ML SEFFAF SEFFAF 28MM YIVLI 52GR</v>
          </cell>
          <cell r="J1691">
            <v>6</v>
          </cell>
          <cell r="K1691">
            <v>6</v>
          </cell>
          <cell r="L1691">
            <v>24</v>
          </cell>
        </row>
        <row r="1692">
          <cell r="A1692">
            <v>46013</v>
          </cell>
          <cell r="F1692">
            <v>163</v>
          </cell>
          <cell r="G1692" t="str">
            <v>PET0253-01 500ML SEFFAF SEFFAF 28MM YIVLI 35GR</v>
          </cell>
          <cell r="J1692">
            <v>6</v>
          </cell>
          <cell r="K1692">
            <v>6</v>
          </cell>
          <cell r="L1692">
            <v>19.79</v>
          </cell>
        </row>
        <row r="1693">
          <cell r="A1693">
            <v>46013</v>
          </cell>
          <cell r="F1693">
            <v>168</v>
          </cell>
          <cell r="G1693" t="str">
            <v xml:space="preserve"> PET0210-02 500ML SEFFAF TURKUAZ 28MM YIVLI 40GR</v>
          </cell>
          <cell r="J1693">
            <v>6</v>
          </cell>
          <cell r="K1693">
            <v>6</v>
          </cell>
          <cell r="L1693">
            <v>18.100000000000001</v>
          </cell>
        </row>
        <row r="1694">
          <cell r="A1694">
            <v>46013</v>
          </cell>
          <cell r="F1694">
            <v>181</v>
          </cell>
          <cell r="G1694" t="str">
            <v>PET0180-01 750ML SEFFAF SEFFAF 28MM YIVLI 28GR</v>
          </cell>
          <cell r="J1694">
            <v>8</v>
          </cell>
          <cell r="K1694">
            <v>8</v>
          </cell>
          <cell r="L1694">
            <v>15.37</v>
          </cell>
        </row>
        <row r="1695">
          <cell r="A1695">
            <v>46013</v>
          </cell>
          <cell r="F1695">
            <v>172</v>
          </cell>
          <cell r="G1695" t="str">
            <v>PET0202-02 900ML SEFFAF SARI 28MM YIVLI 45GR</v>
          </cell>
          <cell r="J1695">
            <v>4</v>
          </cell>
          <cell r="K1695">
            <v>4</v>
          </cell>
          <cell r="L1695">
            <v>16.11</v>
          </cell>
        </row>
        <row r="1696">
          <cell r="A1696">
            <v>46013</v>
          </cell>
          <cell r="F1696">
            <v>173</v>
          </cell>
          <cell r="G1696" t="str">
            <v>PET0005-01 700ML SEFFAF SARI 28MM YIVLI 40GR</v>
          </cell>
          <cell r="J1696">
            <v>5</v>
          </cell>
          <cell r="K1696">
            <v>5</v>
          </cell>
          <cell r="L1696">
            <v>16.46</v>
          </cell>
        </row>
        <row r="1697">
          <cell r="A1697">
            <v>46013</v>
          </cell>
          <cell r="F1697">
            <v>175</v>
          </cell>
          <cell r="G1697" t="str">
            <v>PET0219-07 500ML OPAK SIYAH 28MM YIVLI 35GR</v>
          </cell>
          <cell r="J1697">
            <v>5</v>
          </cell>
          <cell r="K1697">
            <v>5</v>
          </cell>
          <cell r="L1697">
            <v>14.21</v>
          </cell>
        </row>
        <row r="1698">
          <cell r="A1698">
            <v>46013</v>
          </cell>
          <cell r="F1698">
            <v>176</v>
          </cell>
          <cell r="G1698" t="str">
            <v>PET0015-02 1000ML OPAK YESIL 28MM YIVLI 52GR</v>
          </cell>
          <cell r="J1698">
            <v>5</v>
          </cell>
          <cell r="K1698">
            <v>5</v>
          </cell>
          <cell r="L1698">
            <v>18.14</v>
          </cell>
        </row>
        <row r="1699">
          <cell r="A1699">
            <v>46013</v>
          </cell>
          <cell r="F1699">
            <v>177</v>
          </cell>
          <cell r="G1699" t="str">
            <v>PET0274-02 1000ML SEFFAF SEFFAF 28MM YIVLI 52GR</v>
          </cell>
          <cell r="J1699">
            <v>4</v>
          </cell>
          <cell r="K1699">
            <v>3</v>
          </cell>
          <cell r="L1699">
            <v>16.64</v>
          </cell>
        </row>
        <row r="1700">
          <cell r="A1700">
            <v>46013</v>
          </cell>
          <cell r="F1700">
            <v>131</v>
          </cell>
          <cell r="G1700" t="str">
            <v>PET0110-01 100ML SEFFAF TURUNCU 24MM YIVLI 25GR</v>
          </cell>
          <cell r="J1700">
            <v>3</v>
          </cell>
          <cell r="K1700">
            <v>3</v>
          </cell>
          <cell r="L1700">
            <v>19.66</v>
          </cell>
        </row>
        <row r="1701">
          <cell r="A1701">
            <v>46013</v>
          </cell>
          <cell r="F1701">
            <v>132</v>
          </cell>
          <cell r="G1701" t="str">
            <v>PET0137-01 500ML SEFFAF SEFFAF 24MM YIVLI 29GR</v>
          </cell>
          <cell r="J1701">
            <v>3</v>
          </cell>
          <cell r="K1701">
            <v>3</v>
          </cell>
          <cell r="L1701">
            <v>22.08</v>
          </cell>
        </row>
        <row r="1702">
          <cell r="A1702">
            <v>46013</v>
          </cell>
          <cell r="F1702">
            <v>134</v>
          </cell>
          <cell r="G1702" t="str">
            <v>PET0059-07 200ML OPAK BEYAZ 24MM YIVLI 25GR</v>
          </cell>
          <cell r="J1702">
            <v>2</v>
          </cell>
          <cell r="K1702">
            <v>2</v>
          </cell>
          <cell r="L1702">
            <v>17.59</v>
          </cell>
        </row>
        <row r="1703">
          <cell r="A1703">
            <v>46013</v>
          </cell>
          <cell r="F1703">
            <v>138</v>
          </cell>
          <cell r="G1703" t="str">
            <v>PET0311-01 300ML SEFFAF SEFFAF 62MM YIVLI 26GR</v>
          </cell>
          <cell r="J1703">
            <v>3</v>
          </cell>
          <cell r="K1703">
            <v>3</v>
          </cell>
          <cell r="L1703">
            <v>12.49</v>
          </cell>
        </row>
        <row r="1704">
          <cell r="A1704">
            <v>46013</v>
          </cell>
          <cell r="F1704">
            <v>204</v>
          </cell>
          <cell r="G1704" t="str">
            <v>ENJ0035-02 TIPA SEFFAF 28MM YIVLI 1GR ( KOLONYA )</v>
          </cell>
          <cell r="J1704">
            <v>24</v>
          </cell>
          <cell r="K1704">
            <v>24</v>
          </cell>
          <cell r="L1704">
            <v>27.9</v>
          </cell>
        </row>
        <row r="1705">
          <cell r="A1705">
            <v>46013</v>
          </cell>
          <cell r="F1705">
            <v>205</v>
          </cell>
          <cell r="G1705" t="str">
            <v>ENJ0031-04 KAPAK OPAK YESIL 24MM YIVLI 3GR</v>
          </cell>
          <cell r="J1705">
            <v>12</v>
          </cell>
          <cell r="K1705">
            <v>12</v>
          </cell>
          <cell r="L1705">
            <v>27.5</v>
          </cell>
        </row>
        <row r="1706">
          <cell r="A1706">
            <v>46013</v>
          </cell>
          <cell r="F1706">
            <v>206</v>
          </cell>
          <cell r="G1706" t="str">
            <v>ENJ0063-01 BAHARAT FLIPTOP OPAK KIRMIZI 62MM YIVLI 12GR</v>
          </cell>
          <cell r="J1706">
            <v>4</v>
          </cell>
          <cell r="K1706">
            <v>4</v>
          </cell>
          <cell r="L1706">
            <v>19.100000000000001</v>
          </cell>
        </row>
        <row r="1707">
          <cell r="A1707">
            <v>46013</v>
          </cell>
          <cell r="F1707">
            <v>207</v>
          </cell>
          <cell r="G1707" t="str">
            <v>ENJ0038-10 KAPAK OPAK KIRMIZI 28MM YIVLI 10GR</v>
          </cell>
          <cell r="J1707">
            <v>12</v>
          </cell>
          <cell r="K1707">
            <v>9</v>
          </cell>
          <cell r="L1707">
            <v>25.78</v>
          </cell>
        </row>
        <row r="1708">
          <cell r="A1708">
            <v>46013</v>
          </cell>
          <cell r="F1708">
            <v>209</v>
          </cell>
          <cell r="G1708" t="str">
            <v>ENJ0018-01 KAPAK OPAK SIYAH 24MM YIVLI 8GR</v>
          </cell>
          <cell r="J1708">
            <v>8</v>
          </cell>
          <cell r="K1708">
            <v>6</v>
          </cell>
          <cell r="L1708">
            <v>32.4</v>
          </cell>
        </row>
        <row r="1709">
          <cell r="A1709">
            <v>46013</v>
          </cell>
          <cell r="F1709">
            <v>210</v>
          </cell>
          <cell r="G1709" t="str">
            <v>ENJ0022-02 KAVANOZ KAPAK OPAK YESIL 110MM YIVLI 17GR</v>
          </cell>
          <cell r="J1709">
            <v>4</v>
          </cell>
          <cell r="K1709">
            <v>4</v>
          </cell>
          <cell r="L1709">
            <v>20.100000000000001</v>
          </cell>
        </row>
        <row r="1710">
          <cell r="A1710">
            <v>46013</v>
          </cell>
          <cell r="F1710">
            <v>211</v>
          </cell>
          <cell r="G1710" t="str">
            <v>ENJ0027-02 PIM SEFFAF 024MM YIVLI 1GR</v>
          </cell>
          <cell r="J1710">
            <v>24</v>
          </cell>
          <cell r="K1710">
            <v>21</v>
          </cell>
          <cell r="L1710">
            <v>21</v>
          </cell>
        </row>
        <row r="1711">
          <cell r="A1711">
            <v>46013</v>
          </cell>
          <cell r="F1711">
            <v>301</v>
          </cell>
          <cell r="G1711" t="str">
            <v>ENJ0024-01 KAVANOZ KAPAK OPAK SARI 100MM YIVLI 30GR</v>
          </cell>
          <cell r="J1711">
            <v>2</v>
          </cell>
          <cell r="K1711">
            <v>2</v>
          </cell>
          <cell r="L1711">
            <v>37.799999999999997</v>
          </cell>
        </row>
        <row r="1712">
          <cell r="A1712">
            <v>46013</v>
          </cell>
          <cell r="F1712">
            <v>302</v>
          </cell>
          <cell r="G1712" t="str">
            <v>PRE0008 38 MM 12 GOZ YIVLI PREFORM  73 OPAK BEYAZ KOLI STANDART</v>
          </cell>
          <cell r="J1712">
            <v>12</v>
          </cell>
          <cell r="K1712">
            <v>10</v>
          </cell>
          <cell r="L1712">
            <v>49.43</v>
          </cell>
        </row>
        <row r="1713">
          <cell r="A1713">
            <v>46013</v>
          </cell>
          <cell r="F1713">
            <v>303</v>
          </cell>
          <cell r="G1713" t="str">
            <v>PRE0010 100MM 45GR TWIST OFF OPAK SIYAH PREFORM KOLI STANDART 8GÖZ</v>
          </cell>
          <cell r="J1713">
            <v>8</v>
          </cell>
          <cell r="K1713">
            <v>8</v>
          </cell>
          <cell r="L1713">
            <v>34.4</v>
          </cell>
        </row>
        <row r="1714">
          <cell r="A1714">
            <v>46014</v>
          </cell>
          <cell r="F1714">
            <v>103</v>
          </cell>
          <cell r="G1714" t="str">
            <v>PET0181-03 960ML OPAK KIRMIZI 38MM YIVLI 47GR</v>
          </cell>
          <cell r="J1714">
            <v>5</v>
          </cell>
          <cell r="K1714">
            <v>5</v>
          </cell>
          <cell r="L1714">
            <v>15.94</v>
          </cell>
        </row>
        <row r="1715">
          <cell r="A1715">
            <v>46014</v>
          </cell>
          <cell r="F1715">
            <v>161</v>
          </cell>
          <cell r="G1715" t="str">
            <v>PET0293-01 1500ML SEFFAF SEFFAF 28MM YIVLI 52GR</v>
          </cell>
          <cell r="J1715">
            <v>6</v>
          </cell>
          <cell r="K1715">
            <v>6</v>
          </cell>
          <cell r="L1715">
            <v>22.51</v>
          </cell>
        </row>
        <row r="1716">
          <cell r="A1716">
            <v>46014</v>
          </cell>
          <cell r="F1716">
            <v>162</v>
          </cell>
          <cell r="G1716" t="str">
            <v>PET0253-01 500ML SEFFAF SEFFAF 28MM YIVLI 35GR</v>
          </cell>
          <cell r="J1716">
            <v>6</v>
          </cell>
          <cell r="K1716">
            <v>6</v>
          </cell>
          <cell r="L1716">
            <v>24</v>
          </cell>
        </row>
        <row r="1717">
          <cell r="A1717">
            <v>46014</v>
          </cell>
          <cell r="F1717">
            <v>163</v>
          </cell>
          <cell r="G1717" t="str">
            <v>PET0268-01 1000ML SEFFAF SEFFAF 28MM YIVLI 45GR</v>
          </cell>
          <cell r="J1717">
            <v>6</v>
          </cell>
          <cell r="K1717">
            <v>6</v>
          </cell>
          <cell r="L1717">
            <v>19.79</v>
          </cell>
        </row>
        <row r="1718">
          <cell r="A1718">
            <v>46014</v>
          </cell>
          <cell r="F1718">
            <v>165</v>
          </cell>
          <cell r="G1718" t="str">
            <v>PET0180-01 750ML SEFFAF SEFFAF 28MM YIVLI 28GR</v>
          </cell>
          <cell r="J1718">
            <v>6</v>
          </cell>
          <cell r="K1718">
            <v>6</v>
          </cell>
          <cell r="L1718">
            <v>20.99</v>
          </cell>
        </row>
        <row r="1719">
          <cell r="A1719">
            <v>46014</v>
          </cell>
          <cell r="F1719">
            <v>181</v>
          </cell>
          <cell r="G1719" t="str">
            <v>PET0180-01 750ML SEFFAF SEFFAF 28MM YIVLI 28GR</v>
          </cell>
          <cell r="J1719">
            <v>8</v>
          </cell>
          <cell r="K1719">
            <v>8</v>
          </cell>
          <cell r="L1719">
            <v>18.93</v>
          </cell>
        </row>
        <row r="1720">
          <cell r="A1720">
            <v>46014</v>
          </cell>
          <cell r="F1720">
            <v>172</v>
          </cell>
          <cell r="G1720" t="str">
            <v>PET0202-01 900ML SEFFAF SARI 28MM YIVLI 45GR</v>
          </cell>
          <cell r="J1720">
            <v>4</v>
          </cell>
          <cell r="K1720">
            <v>4</v>
          </cell>
          <cell r="L1720">
            <v>15.95</v>
          </cell>
        </row>
        <row r="1721">
          <cell r="A1721">
            <v>46014</v>
          </cell>
          <cell r="F1721">
            <v>175</v>
          </cell>
          <cell r="G1721" t="str">
            <v>PET0219-07 500ML OPAK SIYAH 28MM YIVLI 35GR</v>
          </cell>
          <cell r="J1721">
            <v>5</v>
          </cell>
          <cell r="K1721">
            <v>5</v>
          </cell>
          <cell r="L1721">
            <v>14.15</v>
          </cell>
        </row>
        <row r="1722">
          <cell r="A1722">
            <v>46014</v>
          </cell>
          <cell r="F1722">
            <v>176</v>
          </cell>
          <cell r="G1722" t="str">
            <v>PET0015-02 1000ML OPAK YESIL 28MM YIVLI 52GR</v>
          </cell>
          <cell r="J1722">
            <v>5</v>
          </cell>
          <cell r="K1722">
            <v>5</v>
          </cell>
          <cell r="L1722">
            <v>17.63</v>
          </cell>
        </row>
        <row r="1723">
          <cell r="A1723">
            <v>46014</v>
          </cell>
          <cell r="F1723">
            <v>177</v>
          </cell>
          <cell r="G1723" t="str">
            <v>PET0274-02 1000ML SEFFAF SEFFAF 28MM YIVLI 52GR</v>
          </cell>
          <cell r="J1723">
            <v>4</v>
          </cell>
          <cell r="K1723">
            <v>3</v>
          </cell>
          <cell r="L1723">
            <v>16.66</v>
          </cell>
        </row>
        <row r="1724">
          <cell r="A1724">
            <v>46014</v>
          </cell>
          <cell r="F1724">
            <v>131</v>
          </cell>
          <cell r="G1724" t="str">
            <v>PET0070-01 250ML SEFFAF MOR 24MM YIVLI 25GR</v>
          </cell>
          <cell r="J1724">
            <v>3</v>
          </cell>
          <cell r="K1724">
            <v>3</v>
          </cell>
          <cell r="L1724">
            <v>19.670000000000002</v>
          </cell>
        </row>
        <row r="1725">
          <cell r="A1725">
            <v>46014</v>
          </cell>
          <cell r="F1725">
            <v>138</v>
          </cell>
          <cell r="G1725" t="str">
            <v>PET0311-01 300ML SEFFAF SEFFAF 62MM YIVLI 26GR</v>
          </cell>
          <cell r="J1725">
            <v>3</v>
          </cell>
          <cell r="K1725">
            <v>3</v>
          </cell>
          <cell r="L1725">
            <v>13.33</v>
          </cell>
        </row>
        <row r="1726">
          <cell r="A1726">
            <v>46014</v>
          </cell>
          <cell r="F1726">
            <v>204</v>
          </cell>
          <cell r="G1726" t="str">
            <v>ENJ0035-02 TIPA SEFFAF 28MM YIVLI 1GR ( KOLONYA )</v>
          </cell>
          <cell r="J1726">
            <v>24</v>
          </cell>
          <cell r="K1726">
            <v>24</v>
          </cell>
          <cell r="L1726">
            <v>27.9</v>
          </cell>
        </row>
        <row r="1727">
          <cell r="A1727">
            <v>46014</v>
          </cell>
          <cell r="F1727">
            <v>205</v>
          </cell>
          <cell r="G1727" t="str">
            <v>ENJ0031-04 KAPAK OPAK YESIL 24MM YIVLI 3GR</v>
          </cell>
          <cell r="J1727">
            <v>12</v>
          </cell>
          <cell r="K1727">
            <v>12</v>
          </cell>
          <cell r="L1727">
            <v>27.7</v>
          </cell>
        </row>
        <row r="1728">
          <cell r="A1728">
            <v>46014</v>
          </cell>
          <cell r="F1728">
            <v>207</v>
          </cell>
          <cell r="G1728" t="str">
            <v>ENJ0038-10 KAPAK OPAK KIRMIZI 28MM YIVLI 10GR</v>
          </cell>
          <cell r="J1728">
            <v>12</v>
          </cell>
          <cell r="K1728">
            <v>9</v>
          </cell>
          <cell r="L1728">
            <v>26.04</v>
          </cell>
        </row>
        <row r="1729">
          <cell r="A1729">
            <v>46014</v>
          </cell>
          <cell r="F1729">
            <v>209</v>
          </cell>
          <cell r="G1729" t="str">
            <v>ENJ0018-01 KAPAK OPAK SIYAH 24MM YIVLI 8GR</v>
          </cell>
          <cell r="J1729">
            <v>8</v>
          </cell>
          <cell r="K1729">
            <v>5</v>
          </cell>
          <cell r="L1729">
            <v>32.200000000000003</v>
          </cell>
        </row>
        <row r="1730">
          <cell r="A1730">
            <v>46014</v>
          </cell>
          <cell r="F1730">
            <v>211</v>
          </cell>
          <cell r="G1730" t="str">
            <v>ENJ0027-02 PIM SEFFAF 024MM YIVLI 1GR</v>
          </cell>
          <cell r="J1730">
            <v>24</v>
          </cell>
          <cell r="K1730">
            <v>21</v>
          </cell>
          <cell r="L1730">
            <v>21.9</v>
          </cell>
        </row>
        <row r="1731">
          <cell r="A1731">
            <v>46014</v>
          </cell>
          <cell r="F1731">
            <v>302</v>
          </cell>
          <cell r="G1731" t="str">
            <v>PRE0008 38 MM 12 GOZ YIVLI PREFORM  73 OPAK BEYAZ KOLI STANDART</v>
          </cell>
          <cell r="J1731">
            <v>12</v>
          </cell>
          <cell r="K1731">
            <v>9</v>
          </cell>
          <cell r="L1731">
            <v>49.39</v>
          </cell>
        </row>
        <row r="1732">
          <cell r="A1732">
            <v>46014</v>
          </cell>
          <cell r="F1732">
            <v>303</v>
          </cell>
          <cell r="G1732" t="str">
            <v>PRE0010 100MM 45GR TWIST OFF OPAK SIYAH PREFORM KOLI STANDART 8GÖZ</v>
          </cell>
          <cell r="J1732">
            <v>8</v>
          </cell>
          <cell r="K1732">
            <v>8</v>
          </cell>
          <cell r="L1732">
            <v>34.299999999999997</v>
          </cell>
        </row>
        <row r="1733">
          <cell r="A1733">
            <v>46016</v>
          </cell>
          <cell r="F1733">
            <v>101</v>
          </cell>
          <cell r="G1733" t="str">
            <v>PET0238-03 450ML SEFFAF UV 28MM CAKMA 33GR</v>
          </cell>
          <cell r="J1733">
            <v>4</v>
          </cell>
          <cell r="K1733">
            <v>4</v>
          </cell>
          <cell r="L1733">
            <v>18.64</v>
          </cell>
        </row>
        <row r="1734">
          <cell r="A1734">
            <v>46016</v>
          </cell>
          <cell r="F1734">
            <v>103</v>
          </cell>
          <cell r="G1734" t="str">
            <v>PET0005-01 700ML SEFFAF SARI 28MM YIVLI 40GR</v>
          </cell>
          <cell r="J1734">
            <v>5</v>
          </cell>
          <cell r="K1734">
            <v>5</v>
          </cell>
          <cell r="L1734">
            <v>15.63</v>
          </cell>
        </row>
        <row r="1735">
          <cell r="A1735">
            <v>46016</v>
          </cell>
          <cell r="F1735">
            <v>161</v>
          </cell>
          <cell r="G1735" t="str">
            <v>PET0181-02 960ML OPAK SARI 38MM YIVLI 47GR</v>
          </cell>
          <cell r="J1735">
            <v>6</v>
          </cell>
          <cell r="K1735">
            <v>6</v>
          </cell>
          <cell r="L1735">
            <v>22.51</v>
          </cell>
        </row>
        <row r="1736">
          <cell r="A1736">
            <v>46016</v>
          </cell>
          <cell r="F1736">
            <v>162</v>
          </cell>
          <cell r="G1736" t="str">
            <v>1500ML SEFFAF SEFFAF 28MM YIVLI 52GR</v>
          </cell>
          <cell r="J1736">
            <v>6</v>
          </cell>
          <cell r="K1736">
            <v>6</v>
          </cell>
          <cell r="L1736">
            <v>24</v>
          </cell>
        </row>
        <row r="1737">
          <cell r="A1737">
            <v>46016</v>
          </cell>
          <cell r="F1737">
            <v>163</v>
          </cell>
          <cell r="G1737" t="str">
            <v xml:space="preserve"> PET0253-01 500ML SEFFAF SEFFAF 28MM YIVLI 35GR</v>
          </cell>
          <cell r="J1737">
            <v>6</v>
          </cell>
          <cell r="K1737">
            <v>6</v>
          </cell>
          <cell r="L1737">
            <v>19.79</v>
          </cell>
        </row>
        <row r="1738">
          <cell r="A1738">
            <v>46016</v>
          </cell>
          <cell r="F1738">
            <v>181</v>
          </cell>
          <cell r="G1738" t="str">
            <v>PET0180-01 750ML SEFFAF SEFFAF 28MM YIVLI 28GR</v>
          </cell>
          <cell r="J1738">
            <v>8</v>
          </cell>
          <cell r="K1738">
            <v>8</v>
          </cell>
          <cell r="L1738">
            <v>15.28</v>
          </cell>
        </row>
        <row r="1739">
          <cell r="A1739">
            <v>46016</v>
          </cell>
          <cell r="F1739">
            <v>172</v>
          </cell>
          <cell r="G1739" t="str">
            <v>PET0202-01 900ML SEFFAF SARI 28MM YIVLI 45GR</v>
          </cell>
          <cell r="J1739">
            <v>4</v>
          </cell>
          <cell r="K1739">
            <v>4</v>
          </cell>
          <cell r="L1739">
            <v>16.059999999999999</v>
          </cell>
        </row>
        <row r="1740">
          <cell r="A1740">
            <v>46016</v>
          </cell>
          <cell r="F1740">
            <v>173</v>
          </cell>
          <cell r="G1740" t="str">
            <v xml:space="preserve"> PET0019-01 650ML SEFFAF UV 28MM CAKMA 40GR</v>
          </cell>
          <cell r="J1740">
            <v>5</v>
          </cell>
          <cell r="K1740">
            <v>5</v>
          </cell>
          <cell r="L1740">
            <v>16.760000000000002</v>
          </cell>
        </row>
        <row r="1741">
          <cell r="A1741">
            <v>46016</v>
          </cell>
          <cell r="F1741">
            <v>174</v>
          </cell>
          <cell r="G1741" t="str">
            <v>PET0224-01 500ML SEFFAF SEFFAF 28MM YIVLI 28GR</v>
          </cell>
          <cell r="J1741">
            <v>5</v>
          </cell>
          <cell r="K1741">
            <v>5</v>
          </cell>
          <cell r="L1741">
            <v>12.14</v>
          </cell>
        </row>
        <row r="1742">
          <cell r="A1742">
            <v>46016</v>
          </cell>
          <cell r="F1742">
            <v>175</v>
          </cell>
          <cell r="G1742" t="str">
            <v>PET0219-07 500ML OPAK SIYAH 28MM YIVLI 35GR</v>
          </cell>
          <cell r="J1742">
            <v>5</v>
          </cell>
          <cell r="K1742">
            <v>5</v>
          </cell>
          <cell r="L1742">
            <v>14.33</v>
          </cell>
        </row>
        <row r="1743">
          <cell r="A1743">
            <v>46016</v>
          </cell>
          <cell r="F1743">
            <v>176</v>
          </cell>
          <cell r="G1743" t="str">
            <v>PET0015-01 1000ML OPAK SIYAH 28MM YIVLI 52GR</v>
          </cell>
          <cell r="J1743">
            <v>5</v>
          </cell>
          <cell r="K1743">
            <v>5</v>
          </cell>
          <cell r="L1743">
            <v>18.03</v>
          </cell>
        </row>
        <row r="1744">
          <cell r="A1744">
            <v>46016</v>
          </cell>
          <cell r="F1744">
            <v>131</v>
          </cell>
          <cell r="G1744" t="str">
            <v>PET0070-01 250ML SEFFAF MOR 24MM YIVLI 25GR</v>
          </cell>
          <cell r="J1744">
            <v>3</v>
          </cell>
          <cell r="K1744">
            <v>3</v>
          </cell>
          <cell r="L1744">
            <v>19.579999999999998</v>
          </cell>
        </row>
        <row r="1745">
          <cell r="A1745">
            <v>46016</v>
          </cell>
          <cell r="F1745">
            <v>132</v>
          </cell>
          <cell r="G1745" t="str">
            <v>PET0017-01 200ML SEFFAF SEFFAF 24MM YIVLI 25GR</v>
          </cell>
          <cell r="J1745">
            <v>3</v>
          </cell>
          <cell r="K1745">
            <v>3</v>
          </cell>
          <cell r="L1745">
            <v>18.46</v>
          </cell>
        </row>
        <row r="1746">
          <cell r="A1746">
            <v>46016</v>
          </cell>
          <cell r="F1746">
            <v>135</v>
          </cell>
          <cell r="G1746" t="str">
            <v>PET0324-01 110ML OPAK KIRMIZI 38MM YIVLI 25GR</v>
          </cell>
          <cell r="J1746">
            <v>2</v>
          </cell>
          <cell r="K1746">
            <v>2</v>
          </cell>
          <cell r="L1746">
            <v>18.420000000000002</v>
          </cell>
        </row>
        <row r="1747">
          <cell r="A1747">
            <v>46016</v>
          </cell>
          <cell r="F1747">
            <v>138</v>
          </cell>
          <cell r="G1747" t="str">
            <v>310ML SEFFAF SEFFAF 62MM YIVLI 26GR</v>
          </cell>
          <cell r="J1747">
            <v>3</v>
          </cell>
          <cell r="K1747">
            <v>3</v>
          </cell>
          <cell r="L1747">
            <v>13.39</v>
          </cell>
        </row>
        <row r="1748">
          <cell r="A1748">
            <v>46016</v>
          </cell>
          <cell r="F1748">
            <v>402</v>
          </cell>
          <cell r="G1748" t="str">
            <v>BLW0011-01 1500ML OPAK BEYAZ 38MM YIVLI 74GR</v>
          </cell>
          <cell r="J1748">
            <v>2</v>
          </cell>
          <cell r="K1748">
            <v>2</v>
          </cell>
          <cell r="L1748">
            <v>8.5</v>
          </cell>
        </row>
        <row r="1749">
          <cell r="A1749">
            <v>46016</v>
          </cell>
          <cell r="F1749">
            <v>405</v>
          </cell>
          <cell r="G1749" t="str">
            <v>PET0187-01 350ML OPAK SIYAH 100MM YIVLI 45GR</v>
          </cell>
          <cell r="J1749">
            <v>2</v>
          </cell>
          <cell r="K1749">
            <v>2</v>
          </cell>
          <cell r="L1749">
            <v>7</v>
          </cell>
        </row>
        <row r="1750">
          <cell r="A1750">
            <v>46016</v>
          </cell>
          <cell r="F1750">
            <v>205</v>
          </cell>
          <cell r="G1750" t="str">
            <v>05 KAPAK OPAK MAVI 24MM YIVLI 3GR</v>
          </cell>
          <cell r="J1750">
            <v>12</v>
          </cell>
          <cell r="K1750">
            <v>12</v>
          </cell>
          <cell r="L1750">
            <v>27.4</v>
          </cell>
        </row>
        <row r="1751">
          <cell r="A1751">
            <v>46016</v>
          </cell>
          <cell r="F1751">
            <v>207</v>
          </cell>
          <cell r="G1751" t="str">
            <v>ENJ0038-10 KAPAK OPAK KIRMIZI 28MM YIVLI 10GR</v>
          </cell>
          <cell r="J1751">
            <v>12</v>
          </cell>
          <cell r="K1751">
            <v>9</v>
          </cell>
          <cell r="L1751">
            <v>27.79</v>
          </cell>
        </row>
        <row r="1752">
          <cell r="A1752">
            <v>46016</v>
          </cell>
          <cell r="F1752">
            <v>209</v>
          </cell>
          <cell r="G1752" t="str">
            <v xml:space="preserve"> ENJ0018-01 KAPAK OPAK SIYAH 24MM YIVLI 8GR</v>
          </cell>
          <cell r="J1752">
            <v>8</v>
          </cell>
          <cell r="K1752">
            <v>6</v>
          </cell>
          <cell r="L1752">
            <v>31.7</v>
          </cell>
        </row>
        <row r="1753">
          <cell r="A1753">
            <v>46016</v>
          </cell>
          <cell r="F1753">
            <v>210</v>
          </cell>
          <cell r="G1753" t="str">
            <v>ENJ0023-01 KAVANOZ KAPAK OPAK SARI 100MM YIVLI 13GR</v>
          </cell>
          <cell r="J1753">
            <v>4</v>
          </cell>
          <cell r="K1753">
            <v>4</v>
          </cell>
          <cell r="L1753">
            <v>19.8</v>
          </cell>
        </row>
        <row r="1754">
          <cell r="A1754">
            <v>46016</v>
          </cell>
          <cell r="F1754">
            <v>211</v>
          </cell>
          <cell r="G1754" t="str">
            <v>ENJ0027-02 PIM SEFFAF 024MM YIVLI 1GR</v>
          </cell>
          <cell r="J1754">
            <v>24</v>
          </cell>
          <cell r="K1754">
            <v>21</v>
          </cell>
          <cell r="L1754">
            <v>21.7</v>
          </cell>
        </row>
        <row r="1755">
          <cell r="A1755">
            <v>46016</v>
          </cell>
          <cell r="F1755">
            <v>301</v>
          </cell>
          <cell r="G1755" t="str">
            <v>ENJ0024-01 KAVANOZ KAPAK OPAK SARI 100MM YIVLI 30GR</v>
          </cell>
          <cell r="J1755">
            <v>2</v>
          </cell>
          <cell r="K1755">
            <v>2</v>
          </cell>
          <cell r="L1755">
            <v>41.1</v>
          </cell>
        </row>
        <row r="1756">
          <cell r="A1756">
            <v>46016</v>
          </cell>
          <cell r="F1756">
            <v>302</v>
          </cell>
          <cell r="G1756" t="str">
            <v>PRE0008 38 MM 12 GOZ YIVLI PREFORM  73 OPAK BEYAZ KOLI STANDART</v>
          </cell>
          <cell r="J1756">
            <v>12</v>
          </cell>
          <cell r="K1756">
            <v>9</v>
          </cell>
          <cell r="L1756">
            <v>49.41</v>
          </cell>
        </row>
        <row r="1757">
          <cell r="A1757">
            <v>46016</v>
          </cell>
          <cell r="F1757">
            <v>303</v>
          </cell>
          <cell r="G1757" t="str">
            <v xml:space="preserve"> PRE0010 100MM 45GR TWIST OFF OPAK SIYAH PREFORM KOLI STANDART 8GÖZ</v>
          </cell>
          <cell r="J1757">
            <v>8</v>
          </cell>
          <cell r="K1757">
            <v>8</v>
          </cell>
          <cell r="L1757">
            <v>34.200000000000003</v>
          </cell>
        </row>
        <row r="1758">
          <cell r="A1758">
            <v>46016</v>
          </cell>
          <cell r="F1758">
            <v>501</v>
          </cell>
          <cell r="G1758" t="str">
            <v>EBM0020-05 200ML OPAK SEDEFLI MOR 24MM YIVLI 17GR</v>
          </cell>
          <cell r="J1758">
            <v>6</v>
          </cell>
          <cell r="K1758">
            <v>6</v>
          </cell>
          <cell r="L1758">
            <v>16.02</v>
          </cell>
        </row>
        <row r="1759">
          <cell r="A1759">
            <v>46016</v>
          </cell>
          <cell r="F1759">
            <v>502</v>
          </cell>
          <cell r="G1759" t="str">
            <v>EBM0006-01 265ML OPAK BEYAZ 38MM YIVLI 30GR</v>
          </cell>
          <cell r="J1759">
            <v>4</v>
          </cell>
          <cell r="K1759">
            <v>4</v>
          </cell>
          <cell r="L1759">
            <v>16.940000000000001</v>
          </cell>
        </row>
        <row r="1760">
          <cell r="A1760">
            <v>46020</v>
          </cell>
          <cell r="F1760">
            <v>101</v>
          </cell>
          <cell r="G1760" t="str">
            <v>PET0238-03 450ML SEFFAF UV 28MM CAKMA 33GR</v>
          </cell>
          <cell r="J1760">
            <v>4</v>
          </cell>
          <cell r="K1760">
            <v>4</v>
          </cell>
          <cell r="L1760">
            <v>17.96</v>
          </cell>
        </row>
        <row r="1761">
          <cell r="A1761">
            <v>46020</v>
          </cell>
          <cell r="F1761">
            <v>102</v>
          </cell>
          <cell r="G1761" t="str">
            <v>PET0011-03 150ML SEFFAF SEFFAF 24MM YIVLI 20GR</v>
          </cell>
          <cell r="J1761">
            <v>9</v>
          </cell>
          <cell r="K1761">
            <v>8</v>
          </cell>
          <cell r="L1761">
            <v>12.2</v>
          </cell>
        </row>
        <row r="1762">
          <cell r="A1762">
            <v>46020</v>
          </cell>
          <cell r="F1762">
            <v>103</v>
          </cell>
          <cell r="G1762" t="str">
            <v>PET0005-01 700ML SEFFAF SARI 28MM YIVLI 40GR</v>
          </cell>
          <cell r="J1762">
            <v>5</v>
          </cell>
          <cell r="K1762">
            <v>5</v>
          </cell>
          <cell r="L1762">
            <v>15.59</v>
          </cell>
        </row>
        <row r="1763">
          <cell r="A1763">
            <v>46020</v>
          </cell>
          <cell r="F1763">
            <v>104</v>
          </cell>
          <cell r="G1763" t="str">
            <v xml:space="preserve"> PET0007-08 400ML OPAK YESIL 28MM YIVLI 25GR</v>
          </cell>
          <cell r="J1763">
            <v>6</v>
          </cell>
          <cell r="K1763">
            <v>5</v>
          </cell>
          <cell r="L1763">
            <v>15.92</v>
          </cell>
        </row>
        <row r="1764">
          <cell r="A1764">
            <v>46020</v>
          </cell>
          <cell r="F1764">
            <v>161</v>
          </cell>
          <cell r="G1764" t="str">
            <v>PET0181-02 960ML OPAK SARI 38MM YIVLI 47GR</v>
          </cell>
          <cell r="J1764">
            <v>6</v>
          </cell>
          <cell r="K1764">
            <v>6</v>
          </cell>
          <cell r="L1764">
            <v>22.51</v>
          </cell>
        </row>
        <row r="1765">
          <cell r="A1765">
            <v>46020</v>
          </cell>
          <cell r="F1765">
            <v>162</v>
          </cell>
          <cell r="G1765" t="str">
            <v>PET0014-01 1000ML SEFFAF SEFFAF 28MM YIVLI 52GR</v>
          </cell>
          <cell r="J1765">
            <v>6</v>
          </cell>
          <cell r="K1765">
            <v>6</v>
          </cell>
          <cell r="L1765">
            <v>24</v>
          </cell>
        </row>
        <row r="1766">
          <cell r="A1766">
            <v>46020</v>
          </cell>
          <cell r="F1766">
            <v>141</v>
          </cell>
          <cell r="G1766" t="str">
            <v>PET0156-01 4000ML SEFFAF SEFFAF 45MM YIVLI 85GR</v>
          </cell>
          <cell r="J1766">
            <v>4</v>
          </cell>
          <cell r="K1766">
            <v>4</v>
          </cell>
          <cell r="L1766">
            <v>28</v>
          </cell>
        </row>
        <row r="1767">
          <cell r="A1767">
            <v>46020</v>
          </cell>
          <cell r="F1767">
            <v>172</v>
          </cell>
          <cell r="G1767" t="str">
            <v xml:space="preserve"> PET0202-01 900ML SEFFAF SARI 28MM YIVLI 45GR</v>
          </cell>
          <cell r="J1767">
            <v>4</v>
          </cell>
          <cell r="K1767">
            <v>4</v>
          </cell>
          <cell r="L1767">
            <v>15.74</v>
          </cell>
        </row>
        <row r="1768">
          <cell r="A1768">
            <v>46020</v>
          </cell>
          <cell r="F1768">
            <v>173</v>
          </cell>
          <cell r="G1768" t="str">
            <v>PET0019-01 650ML SEFFAF UV 28MM CAKMA 40GR</v>
          </cell>
          <cell r="J1768">
            <v>5</v>
          </cell>
          <cell r="K1768">
            <v>5</v>
          </cell>
          <cell r="L1768">
            <v>16.89</v>
          </cell>
        </row>
        <row r="1769">
          <cell r="A1769">
            <v>46020</v>
          </cell>
          <cell r="F1769">
            <v>176</v>
          </cell>
          <cell r="G1769" t="str">
            <v>PET0015-05 1000ML OPAK TURKUAZ 28MM YIVLI 52GR</v>
          </cell>
          <cell r="J1769">
            <v>5</v>
          </cell>
          <cell r="K1769">
            <v>5</v>
          </cell>
          <cell r="L1769">
            <v>18.5</v>
          </cell>
        </row>
        <row r="1770">
          <cell r="A1770">
            <v>46020</v>
          </cell>
          <cell r="F1770">
            <v>177</v>
          </cell>
          <cell r="G1770" t="str">
            <v>PET0015-06 1000ML OPAK SEDEFLI MOR 28MM YIVLI 52GR</v>
          </cell>
          <cell r="J1770">
            <v>4</v>
          </cell>
          <cell r="K1770">
            <v>4</v>
          </cell>
          <cell r="L1770">
            <v>17.760000000000002</v>
          </cell>
        </row>
        <row r="1771">
          <cell r="A1771">
            <v>46020</v>
          </cell>
          <cell r="F1771">
            <v>132</v>
          </cell>
          <cell r="G1771" t="str">
            <v>PET0017-01 200ML SEFFAF SEFFAF 24MM YIVLI 25GR</v>
          </cell>
          <cell r="J1771">
            <v>3</v>
          </cell>
          <cell r="K1771">
            <v>3</v>
          </cell>
          <cell r="L1771">
            <v>18.59</v>
          </cell>
        </row>
        <row r="1772">
          <cell r="A1772">
            <v>46020</v>
          </cell>
          <cell r="F1772">
            <v>135</v>
          </cell>
          <cell r="G1772" t="str">
            <v xml:space="preserve"> PET0324-01 110ML OPAK KIRMIZI 38MM YIVLI 25GR</v>
          </cell>
          <cell r="J1772">
            <v>2</v>
          </cell>
          <cell r="K1772">
            <v>2</v>
          </cell>
          <cell r="L1772">
            <v>18.690000000000001</v>
          </cell>
        </row>
        <row r="1773">
          <cell r="A1773">
            <v>46020</v>
          </cell>
          <cell r="F1773">
            <v>203</v>
          </cell>
          <cell r="G1773" t="str">
            <v>ENJ0065-01 KULP OPAK SİYAH 45MM 5,5GR</v>
          </cell>
          <cell r="J1773">
            <v>4</v>
          </cell>
          <cell r="K1773">
            <v>4</v>
          </cell>
          <cell r="L1773">
            <v>15.6</v>
          </cell>
        </row>
        <row r="1774">
          <cell r="A1774">
            <v>46020</v>
          </cell>
          <cell r="F1774">
            <v>204</v>
          </cell>
          <cell r="G1774" t="str">
            <v>ENJ0006-01 KAPAK OPAK SIYAH 24MM YIVLI 9GR</v>
          </cell>
          <cell r="J1774">
            <v>8</v>
          </cell>
          <cell r="K1774">
            <v>6</v>
          </cell>
          <cell r="L1774">
            <v>27</v>
          </cell>
        </row>
        <row r="1775">
          <cell r="A1775">
            <v>46020</v>
          </cell>
          <cell r="F1775">
            <v>205</v>
          </cell>
          <cell r="G1775" t="str">
            <v>ENJ0031-04 KAPAK OPAK YESIL 24MM YIVLI 3GR</v>
          </cell>
          <cell r="J1775">
            <v>12</v>
          </cell>
          <cell r="K1775">
            <v>12</v>
          </cell>
          <cell r="L1775">
            <v>28.2</v>
          </cell>
        </row>
        <row r="1776">
          <cell r="A1776">
            <v>46020</v>
          </cell>
          <cell r="F1776">
            <v>206</v>
          </cell>
          <cell r="G1776" t="str">
            <v>ENJ0010-03 FLIPTOP OPAK SIYAH 45MM YIVLI 10GR</v>
          </cell>
          <cell r="J1776">
            <v>8</v>
          </cell>
          <cell r="K1776">
            <v>5</v>
          </cell>
          <cell r="L1776">
            <v>33.1</v>
          </cell>
        </row>
        <row r="1777">
          <cell r="A1777">
            <v>46020</v>
          </cell>
          <cell r="F1777">
            <v>209</v>
          </cell>
          <cell r="G1777" t="str">
            <v>ENJ0018-01 KAPAK OPAK SIYAH 24MM YIVLI 8GR</v>
          </cell>
          <cell r="J1777">
            <v>16</v>
          </cell>
          <cell r="K1777">
            <v>12</v>
          </cell>
          <cell r="L1777">
            <v>29.5</v>
          </cell>
        </row>
        <row r="1778">
          <cell r="A1778">
            <v>46020</v>
          </cell>
          <cell r="F1778">
            <v>210</v>
          </cell>
          <cell r="G1778" t="str">
            <v>ENJ0023-02 KAVANOZ KAPAK OPAK YESIL 100MM YIVLI 13GR</v>
          </cell>
          <cell r="J1778">
            <v>4</v>
          </cell>
          <cell r="K1778">
            <v>4</v>
          </cell>
          <cell r="L1778">
            <v>19.8</v>
          </cell>
        </row>
        <row r="1779">
          <cell r="A1779">
            <v>46020</v>
          </cell>
          <cell r="F1779">
            <v>211</v>
          </cell>
          <cell r="G1779" t="str">
            <v>ENJ0027-02 PIM SEFFAF 024MM YIVLI 1GR</v>
          </cell>
          <cell r="J1779">
            <v>24</v>
          </cell>
          <cell r="K1779">
            <v>21</v>
          </cell>
          <cell r="L1779">
            <v>21.7</v>
          </cell>
        </row>
        <row r="1780">
          <cell r="A1780">
            <v>46020</v>
          </cell>
          <cell r="F1780">
            <v>301</v>
          </cell>
          <cell r="G1780" t="str">
            <v>ENJ0024-01 KAVANOZ KAPAK OPAK SARI 100MM YIVLI 30GR</v>
          </cell>
          <cell r="J1780">
            <v>2</v>
          </cell>
          <cell r="K1780">
            <v>2</v>
          </cell>
          <cell r="L1780">
            <v>38.799999999999997</v>
          </cell>
        </row>
        <row r="1781">
          <cell r="A1781">
            <v>46020</v>
          </cell>
          <cell r="F1781">
            <v>302</v>
          </cell>
          <cell r="G1781" t="str">
            <v>PRE0008 38 MM 12 GOZ YIVLI PREFORM  73 OPAK BEYAZ KOLI STANDART</v>
          </cell>
          <cell r="J1781">
            <v>12</v>
          </cell>
          <cell r="K1781">
            <v>9</v>
          </cell>
          <cell r="L1781">
            <v>49.45</v>
          </cell>
        </row>
        <row r="1782">
          <cell r="A1782">
            <v>46020</v>
          </cell>
          <cell r="F1782">
            <v>303</v>
          </cell>
          <cell r="G1782" t="str">
            <v>PRE0010 100MM 45GR TWIST OFF OPAK SIYAH PREFORM KOLI STANDART 8GÖZ</v>
          </cell>
          <cell r="J1782">
            <v>8</v>
          </cell>
          <cell r="K1782">
            <v>8</v>
          </cell>
          <cell r="L1782">
            <v>34.200000000000003</v>
          </cell>
        </row>
        <row r="1783">
          <cell r="A1783">
            <v>46020</v>
          </cell>
          <cell r="F1783">
            <v>402</v>
          </cell>
          <cell r="G1783" t="str">
            <v>BLW0011-01 1500ML OPAK BEYAZ 38MM YIVLI 74GR</v>
          </cell>
          <cell r="J1783">
            <v>2</v>
          </cell>
          <cell r="K1783">
            <v>2</v>
          </cell>
          <cell r="L1783">
            <v>8.5</v>
          </cell>
        </row>
        <row r="1784">
          <cell r="A1784">
            <v>46020</v>
          </cell>
          <cell r="F1784">
            <v>405</v>
          </cell>
          <cell r="G1784" t="str">
            <v>PET0187-01 350ML OPAK SIYAH 100MM YIVLI 45GR</v>
          </cell>
          <cell r="J1784"/>
          <cell r="K1784"/>
          <cell r="L1784"/>
        </row>
        <row r="1785">
          <cell r="A1785">
            <v>46020</v>
          </cell>
          <cell r="F1785">
            <v>501</v>
          </cell>
          <cell r="G1785" t="str">
            <v>EBM0020-01 200ML OPAK SARI 24MM YIVLI 17GR</v>
          </cell>
          <cell r="J1785"/>
          <cell r="K1785"/>
          <cell r="L1785"/>
        </row>
        <row r="1786">
          <cell r="A1786">
            <v>46020</v>
          </cell>
          <cell r="F1786">
            <v>502</v>
          </cell>
          <cell r="G1786" t="str">
            <v>EBM0006-01 265ML OPAK BEYAZ 38MM YIVLI 30GR</v>
          </cell>
          <cell r="J1786"/>
          <cell r="K1786"/>
          <cell r="L1786"/>
        </row>
        <row r="1787">
          <cell r="A1787">
            <v>46024</v>
          </cell>
          <cell r="F1787">
            <v>103</v>
          </cell>
          <cell r="G1787" t="str">
            <v>PET0005-01 700ML SEFFAF SARI 28MM YIVLI 40GR</v>
          </cell>
          <cell r="J1787">
            <v>5</v>
          </cell>
          <cell r="K1787">
            <v>5</v>
          </cell>
          <cell r="L1787">
            <v>15.65</v>
          </cell>
        </row>
        <row r="1788">
          <cell r="A1788">
            <v>46024</v>
          </cell>
          <cell r="F1788">
            <v>104</v>
          </cell>
          <cell r="G1788" t="str">
            <v>PET0007-08 400ML OPAK YESIL 28MM YIVLI 25GR</v>
          </cell>
          <cell r="J1788">
            <v>6</v>
          </cell>
          <cell r="K1788">
            <v>5</v>
          </cell>
          <cell r="L1788">
            <v>15.73</v>
          </cell>
        </row>
        <row r="1789">
          <cell r="A1789">
            <v>46024</v>
          </cell>
          <cell r="F1789">
            <v>161</v>
          </cell>
          <cell r="G1789" t="str">
            <v>PET0181-02 960ML OPAK SARI 38MM YIVLI 47GR</v>
          </cell>
          <cell r="J1789">
            <v>6</v>
          </cell>
          <cell r="K1789">
            <v>6</v>
          </cell>
          <cell r="L1789">
            <v>22.51</v>
          </cell>
        </row>
        <row r="1790">
          <cell r="A1790">
            <v>46024</v>
          </cell>
          <cell r="F1790">
            <v>162</v>
          </cell>
          <cell r="G1790" t="str">
            <v>PET0014-01 1000ML SEFFAF SEFFAF 28MM YIVLI 52GR</v>
          </cell>
          <cell r="J1790">
            <v>6</v>
          </cell>
          <cell r="K1790">
            <v>6</v>
          </cell>
          <cell r="L1790">
            <v>24</v>
          </cell>
        </row>
        <row r="1791">
          <cell r="A1791">
            <v>46024</v>
          </cell>
          <cell r="F1791">
            <v>164</v>
          </cell>
          <cell r="G1791" t="str">
            <v>PET0250-01 1000ML SEFFAF SEFFAF 28MM YIVLI 45GR</v>
          </cell>
          <cell r="J1791">
            <v>6</v>
          </cell>
          <cell r="K1791">
            <v>6</v>
          </cell>
          <cell r="L1791">
            <v>21.59</v>
          </cell>
        </row>
        <row r="1792">
          <cell r="A1792">
            <v>46024</v>
          </cell>
          <cell r="F1792">
            <v>141</v>
          </cell>
          <cell r="G1792" t="str">
            <v>PET0156-01 4000ML SEFFAF SEFFAF 45MM YIVLI 85GR</v>
          </cell>
          <cell r="J1792">
            <v>4</v>
          </cell>
          <cell r="K1792">
            <v>4</v>
          </cell>
          <cell r="L1792">
            <v>28</v>
          </cell>
        </row>
        <row r="1793">
          <cell r="A1793">
            <v>46024</v>
          </cell>
          <cell r="F1793">
            <v>172</v>
          </cell>
          <cell r="G1793" t="str">
            <v>PET0202-01 900ML SEFFAF SARI 28MM YIVLI 45GR</v>
          </cell>
          <cell r="J1793">
            <v>4</v>
          </cell>
          <cell r="K1793">
            <v>4</v>
          </cell>
          <cell r="L1793">
            <v>15.85</v>
          </cell>
        </row>
        <row r="1794">
          <cell r="A1794">
            <v>46024</v>
          </cell>
          <cell r="F1794">
            <v>173</v>
          </cell>
          <cell r="G1794" t="str">
            <v>PET0210-02 500ML SEFFAF TURKUAZ 28MM YIVLI 40GR</v>
          </cell>
          <cell r="J1794">
            <v>5</v>
          </cell>
          <cell r="K1794">
            <v>5</v>
          </cell>
          <cell r="L1794">
            <v>19.23</v>
          </cell>
        </row>
        <row r="1795">
          <cell r="A1795">
            <v>46024</v>
          </cell>
          <cell r="F1795">
            <v>175</v>
          </cell>
          <cell r="G1795" t="str">
            <v>PET0238-01 450ML SEFFAF UV 28MM CAKMA 35GR</v>
          </cell>
          <cell r="J1795">
            <v>5</v>
          </cell>
          <cell r="K1795">
            <v>5</v>
          </cell>
          <cell r="L1795">
            <v>14.94</v>
          </cell>
        </row>
        <row r="1796">
          <cell r="A1796">
            <v>46024</v>
          </cell>
          <cell r="F1796">
            <v>176</v>
          </cell>
          <cell r="G1796" t="str">
            <v>PET0015-05 1000ML OPAK TURKUAZ 28MM YIVLI 52GR</v>
          </cell>
          <cell r="J1796">
            <v>5</v>
          </cell>
          <cell r="K1796">
            <v>5</v>
          </cell>
          <cell r="L1796">
            <v>20.3</v>
          </cell>
        </row>
        <row r="1797">
          <cell r="A1797">
            <v>46024</v>
          </cell>
          <cell r="F1797">
            <v>177</v>
          </cell>
          <cell r="G1797" t="str">
            <v>PET0015-06 1000ML OPAK SEDEFLI MOR 28MM YIVLI 52GR</v>
          </cell>
          <cell r="J1797">
            <v>4</v>
          </cell>
          <cell r="K1797">
            <v>4</v>
          </cell>
          <cell r="L1797">
            <v>17.989999999999998</v>
          </cell>
        </row>
        <row r="1798">
          <cell r="A1798">
            <v>46024</v>
          </cell>
          <cell r="F1798">
            <v>131</v>
          </cell>
          <cell r="G1798" t="str">
            <v>PET0135-03 300ML OPAK BEYAZ 24MM YIVLI 25GR</v>
          </cell>
          <cell r="J1798">
            <v>3</v>
          </cell>
          <cell r="K1798">
            <v>3</v>
          </cell>
          <cell r="L1798">
            <v>19.07</v>
          </cell>
        </row>
        <row r="1799">
          <cell r="A1799">
            <v>46024</v>
          </cell>
          <cell r="F1799">
            <v>135</v>
          </cell>
          <cell r="G1799" t="str">
            <v>PET0145-01 150ML SEFFAF KAHVE 38MM YIVLI 25GR</v>
          </cell>
          <cell r="J1799">
            <v>2</v>
          </cell>
          <cell r="K1799">
            <v>2</v>
          </cell>
          <cell r="L1799">
            <v>20.58</v>
          </cell>
        </row>
        <row r="1800">
          <cell r="A1800">
            <v>46024</v>
          </cell>
          <cell r="F1800">
            <v>138</v>
          </cell>
          <cell r="G1800" t="str">
            <v>PET0310-01 310ML SEFFAF SEFFAF 62MM YIVLI 26GR</v>
          </cell>
          <cell r="J1800">
            <v>3</v>
          </cell>
          <cell r="K1800">
            <v>3</v>
          </cell>
          <cell r="L1800">
            <v>12.85</v>
          </cell>
        </row>
        <row r="1801">
          <cell r="A1801">
            <v>46024</v>
          </cell>
          <cell r="F1801">
            <v>202</v>
          </cell>
          <cell r="G1801" t="str">
            <v>ENJ0029-04 TIPA OPAK BEYAZ 20MM YIVLI 1GR</v>
          </cell>
          <cell r="J1801">
            <v>24</v>
          </cell>
          <cell r="K1801">
            <v>24</v>
          </cell>
          <cell r="L1801">
            <v>212</v>
          </cell>
        </row>
        <row r="1802">
          <cell r="A1802">
            <v>46024</v>
          </cell>
          <cell r="F1802">
            <v>203</v>
          </cell>
          <cell r="G1802" t="str">
            <v>ENJ0065-01 KULP OPAK SİYAH 45MM 5,5GR</v>
          </cell>
          <cell r="J1802">
            <v>4</v>
          </cell>
          <cell r="K1802">
            <v>4</v>
          </cell>
          <cell r="L1802">
            <v>16.100000000000001</v>
          </cell>
        </row>
        <row r="1803">
          <cell r="A1803">
            <v>46024</v>
          </cell>
          <cell r="F1803">
            <v>204</v>
          </cell>
          <cell r="G1803" t="str">
            <v>ENJ0035-02 TIPA SEFFAF 28MM YIVLI 1GR ( KOLONYA )</v>
          </cell>
          <cell r="J1803">
            <v>24</v>
          </cell>
          <cell r="K1803">
            <v>24</v>
          </cell>
          <cell r="L1803">
            <v>25.5</v>
          </cell>
        </row>
        <row r="1804">
          <cell r="A1804">
            <v>46024</v>
          </cell>
          <cell r="F1804">
            <v>205</v>
          </cell>
          <cell r="G1804" t="str">
            <v>ENJ0031-04 KAPAK OPAK YESIL 24MM YIVLI 3GR</v>
          </cell>
          <cell r="J1804">
            <v>12</v>
          </cell>
          <cell r="K1804">
            <v>12</v>
          </cell>
          <cell r="L1804">
            <v>26.9</v>
          </cell>
        </row>
        <row r="1805">
          <cell r="A1805">
            <v>46024</v>
          </cell>
          <cell r="F1805">
            <v>206</v>
          </cell>
          <cell r="G1805" t="str">
            <v>ENJ0010-03 FLIPTOP OPAK SIYAH 45MM YIVLI 10GR</v>
          </cell>
          <cell r="J1805">
            <v>8</v>
          </cell>
          <cell r="K1805">
            <v>6</v>
          </cell>
          <cell r="L1805">
            <v>33.200000000000003</v>
          </cell>
        </row>
        <row r="1806">
          <cell r="A1806">
            <v>46024</v>
          </cell>
          <cell r="F1806">
            <v>207</v>
          </cell>
          <cell r="G1806" t="str">
            <v>ENJ0038-10 KAPAK OPAK KIRMIZI 28MM YIVLI 10GR</v>
          </cell>
          <cell r="J1806">
            <v>12</v>
          </cell>
          <cell r="K1806">
            <v>9</v>
          </cell>
          <cell r="L1806">
            <v>27.85</v>
          </cell>
        </row>
        <row r="1807">
          <cell r="A1807">
            <v>46024</v>
          </cell>
          <cell r="F1807">
            <v>209</v>
          </cell>
          <cell r="G1807" t="str">
            <v>ENJ0012-03 DAMLALIK OPAK BEYAZ 20MM YIVLI 2GR</v>
          </cell>
          <cell r="J1807">
            <v>16</v>
          </cell>
          <cell r="K1807">
            <v>10</v>
          </cell>
          <cell r="L1807">
            <v>27.5</v>
          </cell>
        </row>
        <row r="1808">
          <cell r="A1808">
            <v>46024</v>
          </cell>
          <cell r="F1808">
            <v>210</v>
          </cell>
          <cell r="G1808" t="str">
            <v>ENJ0023-03 KAVANOZ KAPAK OPAK MAVI 100MM YIVLI 13GR</v>
          </cell>
          <cell r="J1808">
            <v>4</v>
          </cell>
          <cell r="K1808">
            <v>4</v>
          </cell>
          <cell r="L1808">
            <v>19.8</v>
          </cell>
        </row>
        <row r="1809">
          <cell r="A1809">
            <v>46024</v>
          </cell>
          <cell r="F1809">
            <v>211</v>
          </cell>
          <cell r="G1809" t="str">
            <v>ENJ0023-05 KAVANOZ KAPAK OPAK GOLD 100MM YIVLI 13GR</v>
          </cell>
          <cell r="J1809">
            <v>24</v>
          </cell>
          <cell r="K1809">
            <v>21</v>
          </cell>
          <cell r="L1809">
            <v>21.4</v>
          </cell>
        </row>
        <row r="1810">
          <cell r="A1810">
            <v>46024</v>
          </cell>
          <cell r="F1810">
            <v>301</v>
          </cell>
          <cell r="G1810" t="str">
            <v>PRE0002 62MM 8 GOZ PREFORM 43GR SEFFAF SEFFAF KOLI STANDART</v>
          </cell>
          <cell r="J1810">
            <v>8</v>
          </cell>
          <cell r="K1810">
            <v>8</v>
          </cell>
          <cell r="L1810">
            <v>36.700000000000003</v>
          </cell>
        </row>
        <row r="1811">
          <cell r="A1811">
            <v>46024</v>
          </cell>
          <cell r="F1811">
            <v>303</v>
          </cell>
          <cell r="G1811" t="str">
            <v>PRE0010 100MM 45GR TWIST OFF OPAK SIYAH PREFORM KOLI STANDART 8GÖZ</v>
          </cell>
          <cell r="J1811">
            <v>8</v>
          </cell>
          <cell r="K1811">
            <v>8</v>
          </cell>
          <cell r="L1811">
            <v>34.200000000000003</v>
          </cell>
        </row>
        <row r="1812">
          <cell r="A1812">
            <v>46028</v>
          </cell>
          <cell r="F1812">
            <v>102</v>
          </cell>
          <cell r="G1812" t="str">
            <v>PET0016-01 1500ML SEFFAF SEFFAF 28MM YIVLI 52GR</v>
          </cell>
          <cell r="J1812">
            <v>5</v>
          </cell>
          <cell r="K1812">
            <v>4</v>
          </cell>
          <cell r="L1812">
            <v>18.559999999999999</v>
          </cell>
        </row>
        <row r="1813">
          <cell r="A1813">
            <v>46028</v>
          </cell>
          <cell r="F1813">
            <v>103</v>
          </cell>
          <cell r="G1813" t="str">
            <v>PET0005-01 700ML SEFFAF SARI 28MM YIVLI 40GR</v>
          </cell>
          <cell r="J1813">
            <v>5</v>
          </cell>
          <cell r="K1813">
            <v>5</v>
          </cell>
          <cell r="L1813">
            <v>15.94</v>
          </cell>
        </row>
        <row r="1814">
          <cell r="A1814">
            <v>46028</v>
          </cell>
          <cell r="F1814">
            <v>104</v>
          </cell>
          <cell r="G1814" t="str">
            <v>PET0025-01 400ML SEFFAF SEFFAF 28MM YIVLI 25GR</v>
          </cell>
          <cell r="J1814">
            <v>6</v>
          </cell>
          <cell r="K1814">
            <v>5</v>
          </cell>
          <cell r="L1814">
            <v>13.28</v>
          </cell>
        </row>
        <row r="1815">
          <cell r="A1815">
            <v>46028</v>
          </cell>
          <cell r="F1815">
            <v>164</v>
          </cell>
          <cell r="G1815" t="str">
            <v>PET0024-01 1000ML SEFFAF SEFFAF 28MM YIVLI 45GR</v>
          </cell>
          <cell r="J1815">
            <v>6</v>
          </cell>
          <cell r="K1815">
            <v>6</v>
          </cell>
          <cell r="L1815">
            <v>21.59</v>
          </cell>
        </row>
        <row r="1816">
          <cell r="A1816">
            <v>46028</v>
          </cell>
          <cell r="F1816">
            <v>182</v>
          </cell>
          <cell r="G1816" t="str">
            <v>PET0165-04 450ML SEFFAF MAVI 28MM YIVLI 26GR</v>
          </cell>
          <cell r="J1816">
            <v>8</v>
          </cell>
          <cell r="K1816">
            <v>8</v>
          </cell>
          <cell r="L1816">
            <v>16</v>
          </cell>
        </row>
        <row r="1817">
          <cell r="A1817">
            <v>46028</v>
          </cell>
          <cell r="F1817">
            <v>172</v>
          </cell>
          <cell r="G1817" t="str">
            <v>PET0129-01 750ML SEFFAF MAVI 28MM YIVLI 45GR</v>
          </cell>
          <cell r="J1817">
            <v>4</v>
          </cell>
          <cell r="K1817">
            <v>4</v>
          </cell>
          <cell r="L1817">
            <v>16.059999999999999</v>
          </cell>
        </row>
        <row r="1818">
          <cell r="A1818">
            <v>46028</v>
          </cell>
          <cell r="F1818">
            <v>173</v>
          </cell>
          <cell r="G1818" t="str">
            <v>PET0019-01 650ML SEFFAF UV 28MM CAKMA 40GR</v>
          </cell>
          <cell r="J1818">
            <v>5</v>
          </cell>
          <cell r="K1818">
            <v>5</v>
          </cell>
          <cell r="L1818">
            <v>17.16</v>
          </cell>
        </row>
        <row r="1819">
          <cell r="A1819">
            <v>46028</v>
          </cell>
          <cell r="F1819">
            <v>174</v>
          </cell>
          <cell r="G1819" t="str">
            <v>PET0239-01 1000ML SEFFAF SEFFAF 110MM YIVLI 95GR</v>
          </cell>
          <cell r="J1819">
            <v>3</v>
          </cell>
          <cell r="K1819">
            <v>3</v>
          </cell>
          <cell r="L1819">
            <v>18.190000000000001</v>
          </cell>
        </row>
        <row r="1820">
          <cell r="A1820">
            <v>46028</v>
          </cell>
          <cell r="F1820">
            <v>175</v>
          </cell>
          <cell r="G1820" t="str">
            <v>PET0238-01 450ML SEFFAF UV 28MM CAKMA 35GR</v>
          </cell>
          <cell r="J1820">
            <v>5</v>
          </cell>
          <cell r="K1820">
            <v>5</v>
          </cell>
          <cell r="L1820">
            <v>14.42</v>
          </cell>
        </row>
        <row r="1821">
          <cell r="A1821">
            <v>46028</v>
          </cell>
          <cell r="F1821">
            <v>176</v>
          </cell>
          <cell r="G1821" t="str">
            <v>PET0015-02 1000ML OPAK YESIL 28MM YIVLI 52GR</v>
          </cell>
          <cell r="J1821">
            <v>5</v>
          </cell>
          <cell r="K1821">
            <v>5</v>
          </cell>
          <cell r="L1821">
            <v>17.809999999999999</v>
          </cell>
        </row>
        <row r="1822">
          <cell r="A1822">
            <v>46028</v>
          </cell>
          <cell r="F1822">
            <v>177</v>
          </cell>
          <cell r="G1822" t="str">
            <v>PET0015-03 1000ML OPAK BEYAZ 28MM YIVLI 52GR</v>
          </cell>
          <cell r="J1822">
            <v>4</v>
          </cell>
          <cell r="K1822">
            <v>4</v>
          </cell>
          <cell r="L1822">
            <v>18.739999999999998</v>
          </cell>
        </row>
        <row r="1823">
          <cell r="A1823">
            <v>46028</v>
          </cell>
          <cell r="F1823">
            <v>135</v>
          </cell>
          <cell r="G1823" t="str">
            <v>PET0145-01 150ML SEFFAF KAHVE 38MM YIVLI 25GR</v>
          </cell>
          <cell r="J1823">
            <v>2</v>
          </cell>
          <cell r="K1823">
            <v>2</v>
          </cell>
          <cell r="L1823">
            <v>20.47</v>
          </cell>
        </row>
        <row r="1824">
          <cell r="A1824">
            <v>46028</v>
          </cell>
          <cell r="F1824">
            <v>138</v>
          </cell>
          <cell r="G1824" t="str">
            <v>PET0312-01 370ML SEFFAF SEFFAF 62MM YIVLI 26GR</v>
          </cell>
          <cell r="J1824">
            <v>3</v>
          </cell>
          <cell r="K1824">
            <v>3</v>
          </cell>
          <cell r="L1824">
            <v>12.72</v>
          </cell>
        </row>
        <row r="1825">
          <cell r="A1825">
            <v>46028</v>
          </cell>
          <cell r="F1825">
            <v>401</v>
          </cell>
          <cell r="G1825" t="str">
            <v>BLW0015-01 1000ML SEFFAF SEFFAF 90MM YIVLI 60GR (KAPAK+SISE)</v>
          </cell>
          <cell r="J1825">
            <v>1</v>
          </cell>
          <cell r="K1825">
            <v>1</v>
          </cell>
          <cell r="L1825">
            <v>9.08</v>
          </cell>
        </row>
        <row r="1826">
          <cell r="A1826">
            <v>46028</v>
          </cell>
          <cell r="F1826">
            <v>202</v>
          </cell>
          <cell r="G1826" t="str">
            <v>ENJ0029-04 TIPA OPAK BEYAZ 20MM YIVLI 1GR</v>
          </cell>
          <cell r="J1826">
            <v>24</v>
          </cell>
          <cell r="K1826">
            <v>22</v>
          </cell>
          <cell r="L1826">
            <v>21.1</v>
          </cell>
        </row>
        <row r="1827">
          <cell r="A1827">
            <v>46028</v>
          </cell>
          <cell r="F1827">
            <v>203</v>
          </cell>
          <cell r="G1827" t="str">
            <v>ENJ0057-01 KAPAK SEFFAF SARI 44MM CAKMA 6GR</v>
          </cell>
          <cell r="J1827">
            <v>8</v>
          </cell>
          <cell r="K1827">
            <v>8</v>
          </cell>
          <cell r="L1827">
            <v>17.600000000000001</v>
          </cell>
        </row>
        <row r="1828">
          <cell r="A1828">
            <v>46028</v>
          </cell>
          <cell r="F1828">
            <v>204</v>
          </cell>
          <cell r="G1828" t="str">
            <v>ENJ0035-02 TIPA SEFFAF 28MM YIVLI 1GR ( KOLONYA )</v>
          </cell>
          <cell r="J1828">
            <v>24</v>
          </cell>
          <cell r="K1828">
            <v>24</v>
          </cell>
          <cell r="L1828">
            <v>25.5</v>
          </cell>
        </row>
        <row r="1829">
          <cell r="A1829">
            <v>46028</v>
          </cell>
          <cell r="F1829">
            <v>205</v>
          </cell>
          <cell r="G1829" t="str">
            <v>ENJ0031-04 KAPAK OPAK YESIL 24MM YIVLI 3GR</v>
          </cell>
          <cell r="J1829">
            <v>12</v>
          </cell>
          <cell r="K1829">
            <v>12</v>
          </cell>
          <cell r="L1829">
            <v>15.52</v>
          </cell>
        </row>
        <row r="1830">
          <cell r="A1830">
            <v>46028</v>
          </cell>
          <cell r="F1830">
            <v>207</v>
          </cell>
          <cell r="G1830" t="str">
            <v>ENJ0038-10 KAPAK OPAK KIRMIZI 28MM YIVLI 10GR</v>
          </cell>
          <cell r="J1830">
            <v>12</v>
          </cell>
          <cell r="K1830">
            <v>9</v>
          </cell>
          <cell r="L1830">
            <v>28.95</v>
          </cell>
        </row>
        <row r="1831">
          <cell r="A1831">
            <v>46028</v>
          </cell>
          <cell r="F1831">
            <v>209</v>
          </cell>
          <cell r="G1831" t="str">
            <v>ENJ0012-07 DAMLALIK OPAK TURUNCU 20MM YIVLI 2GR</v>
          </cell>
          <cell r="J1831">
            <v>12</v>
          </cell>
          <cell r="K1831">
            <v>7</v>
          </cell>
          <cell r="L1831">
            <v>26.9</v>
          </cell>
        </row>
        <row r="1832">
          <cell r="A1832">
            <v>46028</v>
          </cell>
          <cell r="F1832">
            <v>210</v>
          </cell>
          <cell r="G1832" t="str">
            <v>ENJ0023-01 KAVANOZ KAPAK OPAK SARI 100MM YIVLI 13GR</v>
          </cell>
          <cell r="J1832">
            <v>4</v>
          </cell>
          <cell r="K1832">
            <v>3</v>
          </cell>
          <cell r="L1832">
            <v>19.8</v>
          </cell>
        </row>
        <row r="1833">
          <cell r="A1833">
            <v>46028</v>
          </cell>
          <cell r="F1833">
            <v>211</v>
          </cell>
          <cell r="G1833" t="str">
            <v>ENJ0027-02 PIM SEFFAF 024MM YIVLI 1GR</v>
          </cell>
          <cell r="J1833">
            <v>24</v>
          </cell>
          <cell r="K1833">
            <v>24</v>
          </cell>
          <cell r="L1833">
            <v>22.1</v>
          </cell>
        </row>
        <row r="1834">
          <cell r="A1834">
            <v>46028</v>
          </cell>
          <cell r="F1834">
            <v>212</v>
          </cell>
          <cell r="G1834" t="str">
            <v>ENJ0058-06 FLIPTOP SEFFAF LILA 28MM YIVLI 13GR</v>
          </cell>
          <cell r="J1834">
            <v>12</v>
          </cell>
          <cell r="K1834">
            <v>11</v>
          </cell>
          <cell r="L1834">
            <v>21.4</v>
          </cell>
        </row>
        <row r="1835">
          <cell r="A1835">
            <v>46028</v>
          </cell>
          <cell r="F1835">
            <v>301</v>
          </cell>
          <cell r="G1835" t="str">
            <v>ENJ0042-01 KAVANOZ KAPAK OPAK SARI 90MM YIVLI 17GR</v>
          </cell>
          <cell r="J1835">
            <v>4</v>
          </cell>
          <cell r="K1835">
            <v>4</v>
          </cell>
          <cell r="L1835">
            <v>24.4</v>
          </cell>
        </row>
        <row r="1836">
          <cell r="A1836">
            <v>46028</v>
          </cell>
          <cell r="F1836">
            <v>303</v>
          </cell>
          <cell r="G1836" t="str">
            <v>PRE0003 90 MM 4 GOZ YIVLI PREFORM 61GR SEFFAF SEFFAF KOLI STANDART</v>
          </cell>
          <cell r="J1836">
            <v>4</v>
          </cell>
          <cell r="K1836">
            <v>3</v>
          </cell>
          <cell r="L1836">
            <v>28.7</v>
          </cell>
        </row>
        <row r="1837">
          <cell r="A1837">
            <v>46028</v>
          </cell>
          <cell r="F1837">
            <v>501</v>
          </cell>
          <cell r="G1837" t="str">
            <v>EBM0021-05 350ML OPAK SEDEFLI MOR 24MM YIVLI 28GR</v>
          </cell>
          <cell r="J1837">
            <v>6</v>
          </cell>
          <cell r="K1837"/>
          <cell r="L1837">
            <v>15.62</v>
          </cell>
        </row>
        <row r="1838">
          <cell r="A1838">
            <v>46028</v>
          </cell>
          <cell r="F1838">
            <v>102</v>
          </cell>
          <cell r="G1838" t="str">
            <v xml:space="preserve"> PET0016-01 1500ML SEFFAF SEFFAF 28MM YIVLI 52GR</v>
          </cell>
          <cell r="J1838">
            <v>5</v>
          </cell>
          <cell r="K1838">
            <v>4</v>
          </cell>
          <cell r="L1838">
            <v>18.73</v>
          </cell>
        </row>
        <row r="1839">
          <cell r="A1839">
            <v>46028</v>
          </cell>
          <cell r="F1839">
            <v>103</v>
          </cell>
          <cell r="G1839" t="str">
            <v xml:space="preserve"> PET0005-01 700ML SEFFAF SARI 28MM YIVLI 40GR</v>
          </cell>
          <cell r="J1839">
            <v>5</v>
          </cell>
          <cell r="K1839">
            <v>5</v>
          </cell>
          <cell r="L1839">
            <v>15.87</v>
          </cell>
        </row>
        <row r="1840">
          <cell r="A1840">
            <v>46028</v>
          </cell>
          <cell r="F1840">
            <v>104</v>
          </cell>
          <cell r="G1840" t="str">
            <v xml:space="preserve"> PET0166-02 400ML SEFFAF SEFFAF 28MM YIVLI 25GR</v>
          </cell>
          <cell r="J1840">
            <v>6</v>
          </cell>
          <cell r="K1840">
            <v>6</v>
          </cell>
          <cell r="L1840">
            <v>12.63</v>
          </cell>
        </row>
        <row r="1841">
          <cell r="A1841">
            <v>46028</v>
          </cell>
          <cell r="F1841">
            <v>161</v>
          </cell>
          <cell r="G1841" t="str">
            <v>PET0181-02 960ML OPAK SARI 38MM YIVLI 47GR</v>
          </cell>
          <cell r="J1841">
            <v>6</v>
          </cell>
          <cell r="K1841">
            <v>6</v>
          </cell>
          <cell r="L1841">
            <v>22.51</v>
          </cell>
        </row>
        <row r="1842">
          <cell r="A1842">
            <v>46028</v>
          </cell>
          <cell r="F1842">
            <v>171</v>
          </cell>
          <cell r="G1842" t="str">
            <v>PET0185-01 500ML SEFFAF SEFFAF 100MM YIVLI 45GR</v>
          </cell>
          <cell r="J1842">
            <v>3</v>
          </cell>
          <cell r="K1842">
            <v>3</v>
          </cell>
          <cell r="L1842">
            <v>14.78</v>
          </cell>
        </row>
        <row r="1843">
          <cell r="A1843">
            <v>46028</v>
          </cell>
          <cell r="F1843">
            <v>172</v>
          </cell>
          <cell r="G1843" t="str">
            <v>PET0057-01 1000ML SEFFAF SEFFAF 28MM YIVLI 45GR</v>
          </cell>
          <cell r="J1843">
            <v>4</v>
          </cell>
          <cell r="K1843">
            <v>4</v>
          </cell>
          <cell r="L1843">
            <v>16.64</v>
          </cell>
        </row>
        <row r="1844">
          <cell r="A1844">
            <v>46028</v>
          </cell>
          <cell r="F1844">
            <v>173</v>
          </cell>
          <cell r="G1844" t="str">
            <v>PET0019-01 650ML SEFFAF UV 28MM CAKMA 40GR</v>
          </cell>
          <cell r="J1844">
            <v>5</v>
          </cell>
          <cell r="K1844">
            <v>5</v>
          </cell>
          <cell r="L1844">
            <v>17.82</v>
          </cell>
        </row>
        <row r="1845">
          <cell r="A1845">
            <v>46028</v>
          </cell>
          <cell r="F1845">
            <v>174</v>
          </cell>
          <cell r="G1845" t="str">
            <v>PET0239-01 1000ML SEFFAF SEFFAF 110MM YIVLI 95GR</v>
          </cell>
          <cell r="J1845">
            <v>3</v>
          </cell>
          <cell r="K1845">
            <v>3</v>
          </cell>
          <cell r="L1845">
            <v>18.170000000000002</v>
          </cell>
        </row>
        <row r="1846">
          <cell r="A1846">
            <v>46028</v>
          </cell>
          <cell r="F1846">
            <v>176</v>
          </cell>
          <cell r="G1846" t="str">
            <v>PET0015-06 1000ML OPAK SEDEFLI MOR 28MM YIVLI 52GR</v>
          </cell>
          <cell r="J1846">
            <v>5</v>
          </cell>
          <cell r="K1846">
            <v>5</v>
          </cell>
          <cell r="L1846">
            <v>18.63</v>
          </cell>
        </row>
        <row r="1847">
          <cell r="A1847">
            <v>46028</v>
          </cell>
          <cell r="F1847">
            <v>177</v>
          </cell>
          <cell r="G1847" t="str">
            <v>PET0015-03 1000ML OPAK BEYAZ 28MM YIVLI 52GR</v>
          </cell>
          <cell r="J1847">
            <v>4</v>
          </cell>
          <cell r="K1847">
            <v>4</v>
          </cell>
          <cell r="L1847">
            <v>18.43</v>
          </cell>
        </row>
        <row r="1848">
          <cell r="A1848">
            <v>46028</v>
          </cell>
          <cell r="F1848">
            <v>131</v>
          </cell>
          <cell r="G1848" t="str">
            <v>PET0110-01 100ML SEFFAF TURUNCU 24MM YIVLI 25GR</v>
          </cell>
          <cell r="J1848">
            <v>3</v>
          </cell>
          <cell r="K1848">
            <v>3</v>
          </cell>
          <cell r="L1848">
            <v>20.27</v>
          </cell>
        </row>
        <row r="1849">
          <cell r="A1849">
            <v>46028</v>
          </cell>
          <cell r="F1849">
            <v>132</v>
          </cell>
          <cell r="G1849" t="str">
            <v>PET0035-01 400ML SEFFAF SEFFAF 24MM YIVLI 29GR</v>
          </cell>
          <cell r="J1849">
            <v>3</v>
          </cell>
          <cell r="K1849">
            <v>3</v>
          </cell>
          <cell r="L1849">
            <v>20.67</v>
          </cell>
        </row>
        <row r="1850">
          <cell r="A1850">
            <v>46028</v>
          </cell>
          <cell r="F1850">
            <v>134</v>
          </cell>
          <cell r="G1850" t="str">
            <v>PET0104-01 100ML OPAK BEYAZ 24MM YIVLI 16GR</v>
          </cell>
          <cell r="J1850">
            <v>3</v>
          </cell>
          <cell r="K1850">
            <v>3</v>
          </cell>
          <cell r="L1850">
            <v>15.27</v>
          </cell>
        </row>
        <row r="1851">
          <cell r="A1851">
            <v>46028</v>
          </cell>
          <cell r="F1851">
            <v>135</v>
          </cell>
          <cell r="G1851" t="str">
            <v>PET0145-01 150ML SEFFAF KAHVE 38MM YIVLI 25GR</v>
          </cell>
          <cell r="J1851">
            <v>2</v>
          </cell>
          <cell r="K1851">
            <v>2</v>
          </cell>
          <cell r="L1851">
            <v>19.89</v>
          </cell>
        </row>
        <row r="1852">
          <cell r="A1852">
            <v>46028</v>
          </cell>
          <cell r="F1852">
            <v>138</v>
          </cell>
          <cell r="G1852" t="str">
            <v>PET0312-01 370ML SEFFAF SEFFAF 62MM YIVLI 26GR</v>
          </cell>
          <cell r="J1852">
            <v>3</v>
          </cell>
          <cell r="K1852">
            <v>3</v>
          </cell>
          <cell r="L1852">
            <v>12.61</v>
          </cell>
        </row>
        <row r="1853">
          <cell r="A1853">
            <v>46030</v>
          </cell>
          <cell r="F1853">
            <v>102</v>
          </cell>
          <cell r="G1853" t="str">
            <v xml:space="preserve"> PET0016-01 1500ML SEFFAF SEFFAF 28MM YIVLI 52GR</v>
          </cell>
          <cell r="J1853">
            <v>5</v>
          </cell>
          <cell r="K1853">
            <v>4</v>
          </cell>
          <cell r="L1853">
            <v>18.73</v>
          </cell>
        </row>
        <row r="1854">
          <cell r="A1854">
            <v>46030</v>
          </cell>
          <cell r="F1854">
            <v>103</v>
          </cell>
          <cell r="G1854" t="str">
            <v xml:space="preserve"> PET0005-01 700ML SEFFAF SARI 28MM YIVLI 40GR</v>
          </cell>
          <cell r="J1854">
            <v>5</v>
          </cell>
          <cell r="K1854">
            <v>5</v>
          </cell>
          <cell r="L1854">
            <v>15.87</v>
          </cell>
        </row>
        <row r="1855">
          <cell r="A1855">
            <v>46030</v>
          </cell>
          <cell r="F1855">
            <v>104</v>
          </cell>
          <cell r="G1855" t="str">
            <v xml:space="preserve"> PET0166-02 400ML SEFFAF SEFFAF 28MM YIVLI 25GR</v>
          </cell>
          <cell r="J1855">
            <v>6</v>
          </cell>
          <cell r="K1855">
            <v>6</v>
          </cell>
          <cell r="L1855">
            <v>12.63</v>
          </cell>
        </row>
        <row r="1856">
          <cell r="A1856">
            <v>46030</v>
          </cell>
          <cell r="F1856">
            <v>161</v>
          </cell>
          <cell r="G1856" t="str">
            <v>PET0181-02 960ML OPAK SARI 38MM YIVLI 47GR</v>
          </cell>
          <cell r="J1856">
            <v>6</v>
          </cell>
          <cell r="K1856">
            <v>6</v>
          </cell>
          <cell r="L1856">
            <v>22.51</v>
          </cell>
        </row>
        <row r="1857">
          <cell r="A1857">
            <v>46030</v>
          </cell>
          <cell r="F1857">
            <v>171</v>
          </cell>
          <cell r="G1857" t="str">
            <v>PET0185-01 500ML SEFFAF SEFFAF 100MM YIVLI 45GR</v>
          </cell>
          <cell r="J1857">
            <v>3</v>
          </cell>
          <cell r="K1857">
            <v>3</v>
          </cell>
          <cell r="L1857">
            <v>14.78</v>
          </cell>
        </row>
        <row r="1858">
          <cell r="A1858">
            <v>46030</v>
          </cell>
          <cell r="F1858">
            <v>172</v>
          </cell>
          <cell r="G1858" t="str">
            <v>PET0057-01 1000ML SEFFAF SEFFAF 28MM YIVLI 45GR</v>
          </cell>
          <cell r="J1858">
            <v>4</v>
          </cell>
          <cell r="K1858">
            <v>4</v>
          </cell>
          <cell r="L1858">
            <v>16.64</v>
          </cell>
        </row>
        <row r="1859">
          <cell r="A1859">
            <v>46030</v>
          </cell>
          <cell r="F1859">
            <v>173</v>
          </cell>
          <cell r="G1859" t="str">
            <v>PET0019-01 650ML SEFFAF UV 28MM CAKMA 40GR</v>
          </cell>
          <cell r="J1859">
            <v>5</v>
          </cell>
          <cell r="K1859">
            <v>5</v>
          </cell>
          <cell r="L1859">
            <v>17.82</v>
          </cell>
        </row>
        <row r="1860">
          <cell r="A1860">
            <v>46030</v>
          </cell>
          <cell r="F1860">
            <v>174</v>
          </cell>
          <cell r="G1860" t="str">
            <v>PET0239-01 1000ML SEFFAF SEFFAF 110MM YIVLI 95GR</v>
          </cell>
          <cell r="J1860">
            <v>3</v>
          </cell>
          <cell r="K1860">
            <v>3</v>
          </cell>
          <cell r="L1860">
            <v>18.170000000000002</v>
          </cell>
        </row>
        <row r="1861">
          <cell r="A1861">
            <v>46030</v>
          </cell>
          <cell r="F1861">
            <v>176</v>
          </cell>
          <cell r="G1861" t="str">
            <v>PET0015-06 1000ML OPAK SEDEFLI MOR 28MM YIVLI 52GR</v>
          </cell>
          <cell r="J1861">
            <v>5</v>
          </cell>
          <cell r="K1861">
            <v>5</v>
          </cell>
          <cell r="L1861">
            <v>18.63</v>
          </cell>
        </row>
        <row r="1862">
          <cell r="A1862">
            <v>46030</v>
          </cell>
          <cell r="F1862">
            <v>177</v>
          </cell>
          <cell r="G1862" t="str">
            <v>PET0015-03 1000ML OPAK BEYAZ 28MM YIVLI 52GR</v>
          </cell>
          <cell r="J1862">
            <v>4</v>
          </cell>
          <cell r="K1862">
            <v>4</v>
          </cell>
          <cell r="L1862">
            <v>18.43</v>
          </cell>
        </row>
        <row r="1863">
          <cell r="A1863">
            <v>46030</v>
          </cell>
          <cell r="F1863">
            <v>131</v>
          </cell>
          <cell r="G1863" t="str">
            <v>PET0110-01 100ML SEFFAF TURUNCU 24MM YIVLI 25GR</v>
          </cell>
          <cell r="J1863">
            <v>3</v>
          </cell>
          <cell r="K1863">
            <v>3</v>
          </cell>
          <cell r="L1863">
            <v>20.27</v>
          </cell>
        </row>
        <row r="1864">
          <cell r="A1864">
            <v>46030</v>
          </cell>
          <cell r="F1864">
            <v>132</v>
          </cell>
          <cell r="G1864" t="str">
            <v>PET0035-01 400ML SEFFAF SEFFAF 24MM YIVLI 29GR</v>
          </cell>
          <cell r="J1864">
            <v>3</v>
          </cell>
          <cell r="K1864">
            <v>3</v>
          </cell>
          <cell r="L1864">
            <v>20.67</v>
          </cell>
        </row>
        <row r="1865">
          <cell r="A1865">
            <v>46030</v>
          </cell>
          <cell r="F1865">
            <v>134</v>
          </cell>
          <cell r="G1865" t="str">
            <v>PET0104-01 100ML OPAK BEYAZ 24MM YIVLI 16GR</v>
          </cell>
          <cell r="J1865">
            <v>3</v>
          </cell>
          <cell r="K1865">
            <v>3</v>
          </cell>
          <cell r="L1865">
            <v>15.27</v>
          </cell>
        </row>
        <row r="1866">
          <cell r="A1866">
            <v>46030</v>
          </cell>
          <cell r="F1866">
            <v>135</v>
          </cell>
          <cell r="G1866" t="str">
            <v>PET0145-01 150ML SEFFAF KAHVE 38MM YIVLI 25GR</v>
          </cell>
          <cell r="J1866">
            <v>2</v>
          </cell>
          <cell r="K1866">
            <v>2</v>
          </cell>
          <cell r="L1866">
            <v>19.89</v>
          </cell>
        </row>
        <row r="1867">
          <cell r="A1867">
            <v>46030</v>
          </cell>
          <cell r="F1867">
            <v>138</v>
          </cell>
          <cell r="G1867" t="str">
            <v>PET0312-01 370ML SEFFAF SEFFAF 62MM YIVLI 26GR</v>
          </cell>
          <cell r="J1867">
            <v>3</v>
          </cell>
          <cell r="K1867">
            <v>3</v>
          </cell>
          <cell r="L1867">
            <v>12.61</v>
          </cell>
        </row>
        <row r="1868">
          <cell r="A1868">
            <v>46030</v>
          </cell>
          <cell r="F1868"/>
          <cell r="G1868"/>
          <cell r="J1868"/>
          <cell r="K1868"/>
          <cell r="L1868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A7704-7F4B-4E85-9B80-52830619F9BF}">
  <dimension ref="A1:AE90"/>
  <sheetViews>
    <sheetView topLeftCell="A55" zoomScale="30" zoomScaleNormal="30" zoomScalePageLayoutView="10" workbookViewId="0">
      <selection activeCell="H2" sqref="H2"/>
    </sheetView>
  </sheetViews>
  <sheetFormatPr defaultRowHeight="14.4" x14ac:dyDescent="0.3"/>
  <cols>
    <col min="1" max="1" width="17.6640625" bestFit="1" customWidth="1"/>
    <col min="2" max="2" width="8.88671875" style="31" hidden="1" customWidth="1"/>
    <col min="3" max="3" width="10.109375" style="31" hidden="1" customWidth="1"/>
    <col min="4" max="5" width="8.88671875" style="31" hidden="1" customWidth="1"/>
    <col min="6" max="7" width="10.109375" style="31" hidden="1" customWidth="1"/>
    <col min="8" max="8" width="63.88671875" style="32" customWidth="1"/>
    <col min="9" max="10" width="8.6640625" style="32" customWidth="1"/>
    <col min="11" max="11" width="17.109375" style="31" customWidth="1"/>
    <col min="12" max="12" width="64.33203125" style="31" customWidth="1"/>
    <col min="13" max="14" width="8.5546875" style="31" customWidth="1"/>
    <col min="15" max="15" width="14.5546875" style="31" customWidth="1"/>
    <col min="16" max="16" width="64.33203125" style="31" customWidth="1"/>
    <col min="17" max="18" width="9.33203125" style="31" customWidth="1"/>
    <col min="19" max="19" width="15.33203125" style="31" customWidth="1"/>
    <col min="20" max="20" width="64.33203125" style="31" customWidth="1"/>
    <col min="21" max="22" width="9.33203125" style="31" customWidth="1"/>
    <col min="23" max="23" width="15.33203125" style="31" customWidth="1"/>
    <col min="24" max="24" width="68.5546875" style="31" customWidth="1"/>
    <col min="25" max="26" width="9.6640625" style="31" customWidth="1"/>
    <col min="27" max="27" width="15.6640625" style="31" customWidth="1"/>
    <col min="28" max="28" width="29.33203125" customWidth="1"/>
    <col min="29" max="30" width="8.6640625" customWidth="1"/>
    <col min="31" max="31" width="13.109375" bestFit="1" customWidth="1"/>
  </cols>
  <sheetData>
    <row r="1" spans="1:31" ht="49.2" customHeight="1" thickBot="1" x14ac:dyDescent="0.35">
      <c r="H1" s="112" t="s">
        <v>1914</v>
      </c>
      <c r="I1" s="112"/>
      <c r="J1" s="112"/>
      <c r="K1" s="112"/>
      <c r="L1" s="112" t="s">
        <v>1915</v>
      </c>
      <c r="M1" s="112"/>
      <c r="N1" s="112"/>
      <c r="O1" s="112"/>
      <c r="P1" s="112" t="s">
        <v>1916</v>
      </c>
      <c r="Q1" s="112"/>
      <c r="R1" s="112"/>
      <c r="S1" s="112"/>
      <c r="T1" s="112" t="s">
        <v>1917</v>
      </c>
      <c r="U1" s="112"/>
      <c r="V1" s="112"/>
      <c r="W1" s="112"/>
      <c r="X1" s="112" t="s">
        <v>1918</v>
      </c>
      <c r="Y1" s="112"/>
      <c r="Z1" s="112"/>
      <c r="AA1" s="112"/>
      <c r="AB1" s="111" t="s">
        <v>1961</v>
      </c>
      <c r="AC1" s="111"/>
      <c r="AD1" s="111"/>
      <c r="AE1" s="111"/>
    </row>
    <row r="2" spans="1:31" ht="70.95" customHeight="1" thickBot="1" x14ac:dyDescent="0.35">
      <c r="A2" s="47" t="s">
        <v>3</v>
      </c>
      <c r="B2" s="5">
        <v>45936</v>
      </c>
      <c r="C2" s="5">
        <v>45937</v>
      </c>
      <c r="D2" s="5">
        <v>45938</v>
      </c>
      <c r="E2" s="5">
        <v>45939</v>
      </c>
      <c r="F2" s="5">
        <v>45940</v>
      </c>
      <c r="G2" s="33">
        <v>45941</v>
      </c>
      <c r="H2" s="90">
        <v>46020</v>
      </c>
      <c r="I2" s="49" t="s">
        <v>42</v>
      </c>
      <c r="J2" s="49" t="s">
        <v>43</v>
      </c>
      <c r="K2" s="50" t="s">
        <v>41</v>
      </c>
      <c r="L2" s="90">
        <v>46007</v>
      </c>
      <c r="M2" s="49" t="s">
        <v>42</v>
      </c>
      <c r="N2" s="49" t="s">
        <v>43</v>
      </c>
      <c r="O2" s="50" t="s">
        <v>41</v>
      </c>
      <c r="P2" s="90">
        <v>46008</v>
      </c>
      <c r="Q2" s="49" t="s">
        <v>42</v>
      </c>
      <c r="R2" s="49" t="s">
        <v>43</v>
      </c>
      <c r="S2" s="50" t="s">
        <v>41</v>
      </c>
      <c r="T2" s="90">
        <v>46009</v>
      </c>
      <c r="U2" s="49" t="s">
        <v>42</v>
      </c>
      <c r="V2" s="49" t="s">
        <v>43</v>
      </c>
      <c r="W2" s="50" t="s">
        <v>41</v>
      </c>
      <c r="X2" s="90">
        <v>46010</v>
      </c>
      <c r="Y2" s="49" t="s">
        <v>42</v>
      </c>
      <c r="Z2" s="49" t="s">
        <v>43</v>
      </c>
      <c r="AA2" s="50" t="s">
        <v>41</v>
      </c>
      <c r="AB2" s="48">
        <v>46011</v>
      </c>
      <c r="AC2" s="49" t="s">
        <v>42</v>
      </c>
      <c r="AD2" s="49" t="s">
        <v>43</v>
      </c>
      <c r="AE2" s="51" t="s">
        <v>41</v>
      </c>
    </row>
    <row r="3" spans="1:31" ht="29.4" hidden="1" customHeight="1" x14ac:dyDescent="0.3">
      <c r="A3" s="67">
        <v>101</v>
      </c>
      <c r="B3" s="31" t="str" cm="1">
        <f t="array" ref="B3">IFERROR(INDEX('[1]PROSES ENJEKSİYON'!$L:$L, MATCH(1,('[1]PROSES ENJEKSİYON'!$A:$A=$B$2)*('[1]PROSES ENJEKSİYON'!$F:$F=A3),0)), "")</f>
        <v/>
      </c>
      <c r="C3" s="31" t="str" cm="1">
        <f t="array" ref="C3">IFERROR(INDEX('[1]PROSES ENJEKSİYON'!$L:$L,MATCH(1,('[1]PROSES ENJEKSİYON'!$A:$A=$C$2)*('[1]PROSES ENJEKSİYON'!$F:$F=A3),0)),"")</f>
        <v/>
      </c>
      <c r="D3" s="31" t="str" cm="1">
        <f t="array" ref="D3">IFERROR(INDEX('[1]PROSES ENJEKSİYON'!$L:$L,MATCH(1,('[1]PROSES ENJEKSİYON'!$A:$A=$D$2)*('[1]PROSES ENJEKSİYON'!$F:$F=A3),0)),"")</f>
        <v/>
      </c>
      <c r="E3" s="31" t="str" cm="1">
        <f t="array" ref="E3">IFERROR(INDEX('[1]PROSES ENJEKSİYON'!$L:$L,MATCH(1,('[1]PROSES ENJEKSİYON'!$A:$A=$E$2)*('[1]PROSES ENJEKSİYON'!$F:$F=A3),0)),"")</f>
        <v/>
      </c>
      <c r="F3" s="31" t="str" cm="1">
        <f t="array" ref="F3">IFERROR(INDEX('[1]PROSES ENJEKSİYON'!$L:$L,MATCH(1,('[1]PROSES ENJEKSİYON'!$A:$A=$F$2)*('[1]PROSES ENJEKSİYON'!$F:$F=A3),0)),"")</f>
        <v/>
      </c>
      <c r="G3" s="31" t="str" cm="1">
        <f t="array" ref="G3">IFERROR(INDEX('[1]PROSES ENJEKSİYON'!$L:$L,MATCH(1,('[1]PROSES ENJEKSİYON'!$A:$A=$G$2)*('[1]PROSES ENJEKSİYON'!$F:$F=A3),0)),"")</f>
        <v/>
      </c>
      <c r="H3" s="56" t="str" cm="1">
        <f t="array" ref="H3">IFERROR(INDEX('[1]PROSES ENJEKSİYON'!$G:$G,MATCH(1,('[1]PROSES ENJEKSİYON'!$A:$A=$H$2)*('[1]PROSES ENJEKSİYON'!$F:$F=A3),0)),"")</f>
        <v>PET0238-03 450ML SEFFAF UV 28MM CAKMA 33GR</v>
      </c>
      <c r="I3" s="57" cm="1">
        <f t="array" ref="I3">IFERROR(INDEX('[1]PROSES ENJEKSİYON'!$J:$J,MATCH(1,('[1]PROSES ENJEKSİYON'!$A:$A=$H$2)*('[1]PROSES ENJEKSİYON'!$F:$F=A3),0)),"")</f>
        <v>4</v>
      </c>
      <c r="J3" s="57" cm="1">
        <f t="array" ref="J3">IFERROR(INDEX('[1]PROSES ENJEKSİYON'!$K:$K,MATCH(1,('[1]PROSES ENJEKSİYON'!$A:$A=$H$2)*('[1]PROSES ENJEKSİYON'!$F:$F=A3),0)),"")</f>
        <v>4</v>
      </c>
      <c r="K3" s="58" cm="1">
        <f t="array" ref="K3">IFERROR(INDEX('[1]PROSES ENJEKSİYON'!$L:$L,MATCH(1,('[1]PROSES ENJEKSİYON'!$A:$A=$H$2)*('[1]PROSES ENJEKSİYON'!$F:$F=A3),0)),"")</f>
        <v>17.96</v>
      </c>
      <c r="L3" s="59" t="str" cm="1">
        <f t="array" ref="L3">IFERROR(INDEX('[1]PROSES ENJEKSİYON'!$G:$G,MATCH(1,('[1]PROSES ENJEKSİYON'!$A:$A=$L$2)*('[1]PROSES ENJEKSİYON'!$F:$F=A3),0)),"")</f>
        <v/>
      </c>
      <c r="M3" s="57" t="str" cm="1">
        <f t="array" ref="M3">IFERROR(INDEX('[1]PROSES ENJEKSİYON'!$J:$J,MATCH(1,('[1]PROSES ENJEKSİYON'!$A:$A=$L$2)*('[1]PROSES ENJEKSİYON'!$F:$F=A3),0)),"")</f>
        <v/>
      </c>
      <c r="N3" s="57" t="str" cm="1">
        <f t="array" ref="N3">IFERROR(INDEX('[1]PROSES ENJEKSİYON'!$K:$K,MATCH(1,('[1]PROSES ENJEKSİYON'!$A:$A=$L$2)*('[1]PROSES ENJEKSİYON'!$F:$F=A3),0)),"")</f>
        <v/>
      </c>
      <c r="O3" s="58" t="str" cm="1">
        <f t="array" ref="O3">IFERROR(INDEX('[1]PROSES ENJEKSİYON'!$L:$L,MATCH(1,('[1]PROSES ENJEKSİYON'!$A:$A=$L$2)*('[1]PROSES ENJEKSİYON'!$F:$F=A3),0)),"")</f>
        <v/>
      </c>
      <c r="P3" s="60" t="str" cm="1">
        <f t="array" ref="P3">IFERROR(INDEX('[1]PROSES ENJEKSİYON'!$G:$G,MATCH(1,('[1]PROSES ENJEKSİYON'!$A:$A=$P$2)*('[1]PROSES ENJEKSİYON'!$F:$F=A3),0)),"")</f>
        <v/>
      </c>
      <c r="Q3" s="57" t="str" cm="1">
        <f t="array" ref="Q3">IFERROR(INDEX('[1]PROSES ENJEKSİYON'!$J:$J,MATCH(1,('[1]PROSES ENJEKSİYON'!$A:$A=$P$2)*('[1]PROSES ENJEKSİYON'!$F:$F=A3),0)),"")</f>
        <v/>
      </c>
      <c r="R3" s="57" t="str" cm="1">
        <f t="array" ref="R3">IFERROR(INDEX('[1]PROSES ENJEKSİYON'!$K:$K,MATCH(1,('[1]PROSES ENJEKSİYON'!$A:$A=$P$2)*('[1]PROSES ENJEKSİYON'!$F:$F=A3),0)),"")</f>
        <v/>
      </c>
      <c r="S3" s="58" t="str" cm="1">
        <f t="array" ref="S3">IFERROR(INDEX('[1]PROSES ENJEKSİYON'!$L:$L,MATCH(1,('[1]PROSES ENJEKSİYON'!$A:$A=$P$2)*('[1]PROSES ENJEKSİYON'!$F:$F=A3),0)),"")</f>
        <v/>
      </c>
      <c r="T3" s="60" t="str" cm="1">
        <f t="array" ref="T3">IFERROR(INDEX('[1]PROSES ENJEKSİYON'!$G:$G,MATCH(1,('[1]PROSES ENJEKSİYON'!$A:$A=$T$2)*('[1]PROSES ENJEKSİYON'!$F:$F=A3),0)),"")</f>
        <v>PET0003-01 500ML SEFFAF SEFFAF 28MM YIVLI 29GR</v>
      </c>
      <c r="U3" s="57" cm="1">
        <f t="array" ref="U3">IFERROR(INDEX('[1]PROSES ENJEKSİYON'!$J:$J,MATCH(1,('[1]PROSES ENJEKSİYON'!$A:$A=$T$2)*('[1]PROSES ENJEKSİYON'!$F:$F=A3),0)),"")</f>
        <v>4</v>
      </c>
      <c r="V3" s="57" cm="1">
        <f t="array" ref="V3">IFERROR(INDEX('[1]PROSES ENJEKSİYON'!$K:$K,MATCH(1,('[1]PROSES ENJEKSİYON'!$A:$A=$T$2)*('[1]PROSES ENJEKSİYON'!$F:$F=A3),0)),"")</f>
        <v>4</v>
      </c>
      <c r="W3" s="58" cm="1">
        <f t="array" ref="W3">IFERROR(INDEX('[1]PROSES ENJEKSİYON'!$L:$L,MATCH(1,('[1]PROSES ENJEKSİYON'!$A:$A=$T$2)*('[1]PROSES ENJEKSİYON'!$F:$F=A3),0)),"")</f>
        <v>13.2</v>
      </c>
      <c r="X3" s="61" t="str" cm="1">
        <f t="array" ref="X3">IFERROR(INDEX('[1]PROSES ENJEKSİYON'!$G:$G,MATCH(1,('[1]PROSES ENJEKSİYON'!$A:$A=$X$2)*('[1]PROSES ENJEKSİYON'!$F:$F=A3),0)),"")</f>
        <v/>
      </c>
      <c r="Y3" s="62" t="str" cm="1">
        <f t="array" ref="Y3">IFERROR(INDEX('[1]PROSES ENJEKSİYON'!$J:$J,MATCH(1,('[1]PROSES ENJEKSİYON'!$A:$A=$X$2)*('[1]PROSES ENJEKSİYON'!$F:$F=A3),0)),"")</f>
        <v/>
      </c>
      <c r="Z3" s="62" t="str" cm="1">
        <f t="array" ref="Z3">IFERROR(INDEX('[1]PROSES ENJEKSİYON'!$K:$K,MATCH(1,('[1]PROSES ENJEKSİYON'!$A:$A=$X$2)*('[1]PROSES ENJEKSİYON'!$F:$F=A3),0)),"")</f>
        <v/>
      </c>
      <c r="AA3" s="63" t="str" cm="1">
        <f t="array" ref="AA3">IFERROR(INDEX('[1]PROSES ENJEKSİYON'!$L:$L,MATCH(1,('[1]PROSES ENJEKSİYON'!$A:$A=$X$2)*('[1]PROSES ENJEKSİYON'!$F:$F=A3),0)),"")</f>
        <v/>
      </c>
      <c r="AB3" s="61" t="str" cm="1">
        <f t="array" ref="AB3">IFERROR(INDEX('[1]PROSES ENJEKSİYON'!$G:$G,MATCH(1,('[1]PROSES ENJEKSİYON'!$A:$A=$AB$2)*('[1]PROSES ENJEKSİYON'!$F:$F=A3),0)),"")</f>
        <v/>
      </c>
      <c r="AC3" s="62" t="str" cm="1">
        <f t="array" ref="AC3">IFERROR(INDEX('[1]PROSES ENJEKSİYON'!$J:$J,MATCH(1,('[1]PROSES ENJEKSİYON'!$A:$A=$AB$2)*('[1]PROSES ENJEKSİYON'!$F:$F=M3),0)),"")</f>
        <v/>
      </c>
      <c r="AD3" s="62" t="str" cm="1">
        <f t="array" ref="AD3">IFERROR(INDEX('[1]PROSES ENJEKSİYON'!$K:$K,MATCH(1,('[1]PROSES ENJEKSİYON'!$A:$A=$AD$2)*('[1]PROSES ENJEKSİYON'!$F:$F=M3),0)),"")</f>
        <v/>
      </c>
      <c r="AE3" s="63" t="str" cm="1">
        <f t="array" ref="AE3">IFERROR(INDEX('[1]PROSES ENJEKSİYON'!$L:$L,MATCH(1,('[1]PROSES ENJEKSİYON'!$A:$A=$AB$2)*('[1]PROSES ENJEKSİYON'!$F:$F=A3),0)),"")</f>
        <v/>
      </c>
    </row>
    <row r="4" spans="1:31" ht="29.4" hidden="1" customHeight="1" x14ac:dyDescent="0.3">
      <c r="A4" s="67">
        <v>102</v>
      </c>
      <c r="B4" s="31" t="str" cm="1">
        <f t="array" ref="B4">IFERROR(INDEX('[1]PROSES ENJEKSİYON'!$L:$L, MATCH(1,('[1]PROSES ENJEKSİYON'!$A:$A=$B$2)*('[1]PROSES ENJEKSİYON'!$F:$F=A4),0)), "")</f>
        <v/>
      </c>
      <c r="C4" s="31" t="str" cm="1">
        <f t="array" ref="C4">IFERROR(INDEX('[1]PROSES ENJEKSİYON'!$L:$L,MATCH(1,('[1]PROSES ENJEKSİYON'!$A:$A=$C$2)*('[1]PROSES ENJEKSİYON'!$F:$F=A4),0)),"")</f>
        <v/>
      </c>
      <c r="D4" s="31" t="str" cm="1">
        <f t="array" ref="D4">IFERROR(INDEX('[1]PROSES ENJEKSİYON'!$L:$L,MATCH(1,('[1]PROSES ENJEKSİYON'!$A:$A=$D$2)*('[1]PROSES ENJEKSİYON'!$F:$F=A4),0)),"")</f>
        <v/>
      </c>
      <c r="E4" s="31" t="str" cm="1">
        <f t="array" ref="E4">IFERROR(INDEX('[1]PROSES ENJEKSİYON'!$L:$L,MATCH(1,('[1]PROSES ENJEKSİYON'!$A:$A=$E$2)*('[1]PROSES ENJEKSİYON'!$F:$F=A4),0)),"")</f>
        <v/>
      </c>
      <c r="F4" s="31" t="str" cm="1">
        <f t="array" ref="F4">IFERROR(INDEX('[1]PROSES ENJEKSİYON'!$L:$L,MATCH(1,('[1]PROSES ENJEKSİYON'!$A:$A=$F$2)*('[1]PROSES ENJEKSİYON'!$F:$F=A4),0)),"")</f>
        <v/>
      </c>
      <c r="G4" s="31" t="str" cm="1">
        <f t="array" ref="G4">IFERROR(INDEX('[1]PROSES ENJEKSİYON'!$L:$L,MATCH(1,('[1]PROSES ENJEKSİYON'!$A:$A=$G$2)*('[1]PROSES ENJEKSİYON'!$F:$F=A4),0)),"")</f>
        <v/>
      </c>
      <c r="H4" s="53" t="str" cm="1">
        <f t="array" ref="H4">IFERROR(INDEX('[1]PROSES ENJEKSİYON'!$G:$G,MATCH(1,('[1]PROSES ENJEKSİYON'!$A:$A=$H$2)*('[1]PROSES ENJEKSİYON'!$F:$F=A4),0)),"")</f>
        <v>PET0011-03 150ML SEFFAF SEFFAF 24MM YIVLI 20GR</v>
      </c>
      <c r="I4" s="64" cm="1">
        <f t="array" ref="I4">IFERROR(INDEX('[1]PROSES ENJEKSİYON'!$J:$J,MATCH(1,('[1]PROSES ENJEKSİYON'!$A:$A=$H$2)*('[1]PROSES ENJEKSİYON'!$F:$F=A4),0)),"")</f>
        <v>9</v>
      </c>
      <c r="J4" s="64" cm="1">
        <f t="array" ref="J4">IFERROR(INDEX('[1]PROSES ENJEKSİYON'!$K:$K,MATCH(1,('[1]PROSES ENJEKSİYON'!$A:$A=$H$2)*('[1]PROSES ENJEKSİYON'!$F:$F=A4),0)),"")</f>
        <v>8</v>
      </c>
      <c r="K4" s="44" cm="1">
        <f t="array" ref="K4">IFERROR(INDEX('[1]PROSES ENJEKSİYON'!$L:$L,MATCH(1,('[1]PROSES ENJEKSİYON'!$A:$A=$H$2)*('[1]PROSES ENJEKSİYON'!$F:$F=A4),0)),"")</f>
        <v>12.2</v>
      </c>
      <c r="L4" s="65" t="str" cm="1">
        <f t="array" ref="L4">IFERROR(INDEX('[1]PROSES ENJEKSİYON'!$G:$G,MATCH(1,('[1]PROSES ENJEKSİYON'!$A:$A=$L$2)*('[1]PROSES ENJEKSİYON'!$F:$F=A4),0)),"")</f>
        <v/>
      </c>
      <c r="M4" s="64" t="str" cm="1">
        <f t="array" ref="M4">IFERROR(INDEX('[1]PROSES ENJEKSİYON'!$J:$J,MATCH(1,('[1]PROSES ENJEKSİYON'!$A:$A=$L$2)*('[1]PROSES ENJEKSİYON'!$F:$F=A4),0)),"")</f>
        <v/>
      </c>
      <c r="N4" s="64" t="str" cm="1">
        <f t="array" ref="N4">IFERROR(INDEX('[1]PROSES ENJEKSİYON'!$K:$K,MATCH(1,('[1]PROSES ENJEKSİYON'!$A:$A=$L$2)*('[1]PROSES ENJEKSİYON'!$F:$F=A4),0)),"")</f>
        <v/>
      </c>
      <c r="O4" s="44" t="str" cm="1">
        <f t="array" ref="O4">IFERROR(INDEX('[1]PROSES ENJEKSİYON'!$L:$L,MATCH(1,('[1]PROSES ENJEKSİYON'!$A:$A=$L$2)*('[1]PROSES ENJEKSİYON'!$F:$F=A4),0)),"")</f>
        <v/>
      </c>
      <c r="P4" s="52" t="str" cm="1">
        <f t="array" ref="P4">IFERROR(INDEX('[1]PROSES ENJEKSİYON'!$G:$G,MATCH(1,('[1]PROSES ENJEKSİYON'!$A:$A=$P$2)*('[1]PROSES ENJEKSİYON'!$F:$F=A4),0)),"")</f>
        <v/>
      </c>
      <c r="Q4" s="64" t="str" cm="1">
        <f t="array" ref="Q4">IFERROR(INDEX('[1]PROSES ENJEKSİYON'!$J:$J,MATCH(1,('[1]PROSES ENJEKSİYON'!$A:$A=$P$2)*('[1]PROSES ENJEKSİYON'!$F:$F=A4),0)),"")</f>
        <v/>
      </c>
      <c r="R4" s="64" t="str" cm="1">
        <f t="array" ref="R4">IFERROR(INDEX('[1]PROSES ENJEKSİYON'!$K:$K,MATCH(1,('[1]PROSES ENJEKSİYON'!$A:$A=$P$2)*('[1]PROSES ENJEKSİYON'!$F:$F=A4),0)),"")</f>
        <v/>
      </c>
      <c r="S4" s="44" t="str" cm="1">
        <f t="array" ref="S4">IFERROR(INDEX('[1]PROSES ENJEKSİYON'!$L:$L,MATCH(1,('[1]PROSES ENJEKSİYON'!$A:$A=$P$2)*('[1]PROSES ENJEKSİYON'!$F:$F=A4),0)),"")</f>
        <v/>
      </c>
      <c r="T4" s="52" t="str" cm="1">
        <f t="array" ref="T4">IFERROR(INDEX('[1]PROSES ENJEKSİYON'!$G:$G,MATCH(1,('[1]PROSES ENJEKSİYON'!$A:$A=$T$2)*('[1]PROSES ENJEKSİYON'!$F:$F=A4),0)),"")</f>
        <v/>
      </c>
      <c r="U4" s="64" t="str" cm="1">
        <f t="array" ref="U4">IFERROR(INDEX('[1]PROSES ENJEKSİYON'!$J:$J,MATCH(1,('[1]PROSES ENJEKSİYON'!$A:$A=$T$2)*('[1]PROSES ENJEKSİYON'!$F:$F=A4),0)),"")</f>
        <v/>
      </c>
      <c r="V4" s="64" t="str" cm="1">
        <f t="array" ref="V4">IFERROR(INDEX('[1]PROSES ENJEKSİYON'!$K:$K,MATCH(1,('[1]PROSES ENJEKSİYON'!$A:$A=$T$2)*('[1]PROSES ENJEKSİYON'!$F:$F=A4),0)),"")</f>
        <v/>
      </c>
      <c r="W4" s="44" t="str" cm="1">
        <f t="array" ref="W4">IFERROR(INDEX('[1]PROSES ENJEKSİYON'!$L:$L,MATCH(1,('[1]PROSES ENJEKSİYON'!$A:$A=$T$2)*('[1]PROSES ENJEKSİYON'!$F:$F=A4),0)),"")</f>
        <v/>
      </c>
      <c r="X4" s="34" t="str" cm="1">
        <f t="array" ref="X4">IFERROR(INDEX('[1]PROSES ENJEKSİYON'!$G:$G,MATCH(1,('[1]PROSES ENJEKSİYON'!$A:$A=$X$2)*('[1]PROSES ENJEKSİYON'!$F:$F=A4),0)),"")</f>
        <v/>
      </c>
      <c r="Y4" s="32" t="str" cm="1">
        <f t="array" ref="Y4">IFERROR(INDEX('[1]PROSES ENJEKSİYON'!$J:$J,MATCH(1,('[1]PROSES ENJEKSİYON'!$A:$A=$X$2)*('[1]PROSES ENJEKSİYON'!$F:$F=A4),0)),"")</f>
        <v/>
      </c>
      <c r="Z4" s="32" t="str" cm="1">
        <f t="array" ref="Z4">IFERROR(INDEX('[1]PROSES ENJEKSİYON'!$K:$K,MATCH(1,('[1]PROSES ENJEKSİYON'!$A:$A=$X$2)*('[1]PROSES ENJEKSİYON'!$F:$F=A4),0)),"")</f>
        <v/>
      </c>
      <c r="AA4" s="35" t="str" cm="1">
        <f t="array" ref="AA4">IFERROR(INDEX('[1]PROSES ENJEKSİYON'!$L:$L,MATCH(1,('[1]PROSES ENJEKSİYON'!$A:$A=$X$2)*('[1]PROSES ENJEKSİYON'!$F:$F=A4),0)),"")</f>
        <v/>
      </c>
      <c r="AB4" s="34" t="str" cm="1">
        <f t="array" ref="AB4">IFERROR(INDEX('[1]PROSES ENJEKSİYON'!$G:$G,MATCH(1,('[1]PROSES ENJEKSİYON'!$A:$A=$AB$2)*('[1]PROSES ENJEKSİYON'!$F:$F=A4),0)),"")</f>
        <v/>
      </c>
      <c r="AC4" s="32" t="str" cm="1">
        <f t="array" ref="AC4">IFERROR(INDEX('[1]PROSES ENJEKSİYON'!$J:$J,MATCH(1,('[1]PROSES ENJEKSİYON'!$A:$A=$AB$2)*('[1]PROSES ENJEKSİYON'!$F:$F=M4),0)),"")</f>
        <v/>
      </c>
      <c r="AD4" s="32" t="str" cm="1">
        <f t="array" ref="AD4">IFERROR(INDEX('[1]PROSES ENJEKSİYON'!$K:$K,MATCH(1,('[1]PROSES ENJEKSİYON'!$A:$A=$AD$2)*('[1]PROSES ENJEKSİYON'!$F:$F=M4),0)),"")</f>
        <v/>
      </c>
      <c r="AE4" s="35" t="str" cm="1">
        <f t="array" ref="AE4">IFERROR(INDEX('[1]PROSES ENJEKSİYON'!$L:$L,MATCH(1,('[1]PROSES ENJEKSİYON'!$A:$A=$AB$2)*('[1]PROSES ENJEKSİYON'!$F:$F=A4),0)),"")</f>
        <v/>
      </c>
    </row>
    <row r="5" spans="1:31" ht="29.4" hidden="1" customHeight="1" x14ac:dyDescent="0.3">
      <c r="A5" s="67">
        <v>103</v>
      </c>
      <c r="B5" s="31" t="str" cm="1">
        <f t="array" ref="B5">IFERROR(INDEX('[1]PROSES ENJEKSİYON'!$L:$L, MATCH(1,('[1]PROSES ENJEKSİYON'!$A:$A=$B$2)*('[1]PROSES ENJEKSİYON'!$F:$F=A5),0)), "")</f>
        <v/>
      </c>
      <c r="C5" s="31" t="str" cm="1">
        <f t="array" ref="C5">IFERROR(INDEX('[1]PROSES ENJEKSİYON'!$L:$L,MATCH(1,('[1]PROSES ENJEKSİYON'!$A:$A=$C$2)*('[1]PROSES ENJEKSİYON'!$F:$F=A5),0)),"")</f>
        <v/>
      </c>
      <c r="D5" s="31" t="str" cm="1">
        <f t="array" ref="D5">IFERROR(INDEX('[1]PROSES ENJEKSİYON'!$L:$L,MATCH(1,('[1]PROSES ENJEKSİYON'!$A:$A=$D$2)*('[1]PROSES ENJEKSİYON'!$F:$F=A5),0)),"")</f>
        <v/>
      </c>
      <c r="E5" s="31" t="str" cm="1">
        <f t="array" ref="E5">IFERROR(INDEX('[1]PROSES ENJEKSİYON'!$L:$L,MATCH(1,('[1]PROSES ENJEKSİYON'!$A:$A=$E$2)*('[1]PROSES ENJEKSİYON'!$F:$F=A5),0)),"")</f>
        <v/>
      </c>
      <c r="F5" s="31" t="str" cm="1">
        <f t="array" ref="F5">IFERROR(INDEX('[1]PROSES ENJEKSİYON'!$L:$L,MATCH(1,('[1]PROSES ENJEKSİYON'!$A:$A=$F$2)*('[1]PROSES ENJEKSİYON'!$F:$F=A5),0)),"")</f>
        <v/>
      </c>
      <c r="G5" s="31" t="str" cm="1">
        <f t="array" ref="G5">IFERROR(INDEX('[1]PROSES ENJEKSİYON'!$L:$L,MATCH(1,('[1]PROSES ENJEKSİYON'!$A:$A=$G$2)*('[1]PROSES ENJEKSİYON'!$F:$F=A5),0)),"")</f>
        <v/>
      </c>
      <c r="H5" s="53" t="str" cm="1">
        <f t="array" ref="H5">IFERROR(INDEX('[1]PROSES ENJEKSİYON'!$G:$G,MATCH(1,('[1]PROSES ENJEKSİYON'!$A:$A=$H$2)*('[1]PROSES ENJEKSİYON'!$F:$F=A5),0)),"")</f>
        <v>PET0005-01 700ML SEFFAF SARI 28MM YIVLI 40GR</v>
      </c>
      <c r="I5" s="64" cm="1">
        <f t="array" ref="I5">IFERROR(INDEX('[1]PROSES ENJEKSİYON'!$J:$J,MATCH(1,('[1]PROSES ENJEKSİYON'!$A:$A=$H$2)*('[1]PROSES ENJEKSİYON'!$F:$F=A5),0)),"")</f>
        <v>5</v>
      </c>
      <c r="J5" s="64" cm="1">
        <f t="array" ref="J5">IFERROR(INDEX('[1]PROSES ENJEKSİYON'!$K:$K,MATCH(1,('[1]PROSES ENJEKSİYON'!$A:$A=$H$2)*('[1]PROSES ENJEKSİYON'!$F:$F=A5),0)),"")</f>
        <v>5</v>
      </c>
      <c r="K5" s="44" cm="1">
        <f t="array" ref="K5">IFERROR(INDEX('[1]PROSES ENJEKSİYON'!$L:$L,MATCH(1,('[1]PROSES ENJEKSİYON'!$A:$A=$H$2)*('[1]PROSES ENJEKSİYON'!$F:$F=A5),0)),"")</f>
        <v>15.59</v>
      </c>
      <c r="L5" s="65" t="str" cm="1">
        <f t="array" ref="L5">IFERROR(INDEX('[1]PROSES ENJEKSİYON'!$G:$G,MATCH(1,('[1]PROSES ENJEKSİYON'!$A:$A=$L$2)*('[1]PROSES ENJEKSİYON'!$F:$F=A5),0)),"")</f>
        <v/>
      </c>
      <c r="M5" s="64" t="str" cm="1">
        <f t="array" ref="M5">IFERROR(INDEX('[1]PROSES ENJEKSİYON'!$J:$J,MATCH(1,('[1]PROSES ENJEKSİYON'!$A:$A=$L$2)*('[1]PROSES ENJEKSİYON'!$F:$F=A5),0)),"")</f>
        <v/>
      </c>
      <c r="N5" s="64" t="str" cm="1">
        <f t="array" ref="N5">IFERROR(INDEX('[1]PROSES ENJEKSİYON'!$K:$K,MATCH(1,('[1]PROSES ENJEKSİYON'!$A:$A=$L$2)*('[1]PROSES ENJEKSİYON'!$F:$F=A5),0)),"")</f>
        <v/>
      </c>
      <c r="O5" s="44" t="str" cm="1">
        <f t="array" ref="O5">IFERROR(INDEX('[1]PROSES ENJEKSİYON'!$L:$L,MATCH(1,('[1]PROSES ENJEKSİYON'!$A:$A=$L$2)*('[1]PROSES ENJEKSİYON'!$F:$F=A5),0)),"")</f>
        <v/>
      </c>
      <c r="P5" s="52" t="str" cm="1">
        <f t="array" ref="P5">IFERROR(INDEX('[1]PROSES ENJEKSİYON'!$G:$G,MATCH(1,('[1]PROSES ENJEKSİYON'!$A:$A=$P$2)*('[1]PROSES ENJEKSİYON'!$F:$F=A5),0)),"")</f>
        <v>MM-PET0005-03-028Y-040 - PET0005-03 700ML OPAK SARI 28MM YIVLI 40GR</v>
      </c>
      <c r="Q5" s="64" cm="1">
        <f t="array" ref="Q5">IFERROR(INDEX('[1]PROSES ENJEKSİYON'!$J:$J,MATCH(1,('[1]PROSES ENJEKSİYON'!$A:$A=$P$2)*('[1]PROSES ENJEKSİYON'!$F:$F=A5),0)),"")</f>
        <v>5</v>
      </c>
      <c r="R5" s="64" cm="1">
        <f t="array" ref="R5">IFERROR(INDEX('[1]PROSES ENJEKSİYON'!$K:$K,MATCH(1,('[1]PROSES ENJEKSİYON'!$A:$A=$P$2)*('[1]PROSES ENJEKSİYON'!$F:$F=A5),0)),"")</f>
        <v>5</v>
      </c>
      <c r="S5" s="44" cm="1">
        <f t="array" ref="S5">IFERROR(INDEX('[1]PROSES ENJEKSİYON'!$L:$L,MATCH(1,('[1]PROSES ENJEKSİYON'!$A:$A=$P$2)*('[1]PROSES ENJEKSİYON'!$F:$F=A5),0)),"")</f>
        <v>15.37</v>
      </c>
      <c r="T5" s="52" t="str" cm="1">
        <f t="array" ref="T5">IFERROR(INDEX('[1]PROSES ENJEKSİYON'!$G:$G,MATCH(1,('[1]PROSES ENJEKSİYON'!$A:$A=$T$2)*('[1]PROSES ENJEKSİYON'!$F:$F=A5),0)),"")</f>
        <v>PET0005-01 700ML SEFFAF SARI 28MM YIVLI 40GR</v>
      </c>
      <c r="U5" s="64" cm="1">
        <f t="array" ref="U5">IFERROR(INDEX('[1]PROSES ENJEKSİYON'!$J:$J,MATCH(1,('[1]PROSES ENJEKSİYON'!$A:$A=$T$2)*('[1]PROSES ENJEKSİYON'!$F:$F=A5),0)),"")</f>
        <v>5</v>
      </c>
      <c r="V5" s="64" cm="1">
        <f t="array" ref="V5">IFERROR(INDEX('[1]PROSES ENJEKSİYON'!$K:$K,MATCH(1,('[1]PROSES ENJEKSİYON'!$A:$A=$T$2)*('[1]PROSES ENJEKSİYON'!$F:$F=A5),0)),"")</f>
        <v>5</v>
      </c>
      <c r="W5" s="44" cm="1">
        <f t="array" ref="W5">IFERROR(INDEX('[1]PROSES ENJEKSİYON'!$L:$L,MATCH(1,('[1]PROSES ENJEKSİYON'!$A:$A=$T$2)*('[1]PROSES ENJEKSİYON'!$F:$F=A5),0)),"")</f>
        <v>15.52</v>
      </c>
      <c r="X5" s="34" t="str" cm="1">
        <f t="array" ref="X5">IFERROR(INDEX('[1]PROSES ENJEKSİYON'!$G:$G,MATCH(1,('[1]PROSES ENJEKSİYON'!$A:$A=$X$2)*('[1]PROSES ENJEKSİYON'!$F:$F=A5),0)),"")</f>
        <v/>
      </c>
      <c r="Y5" s="32" t="str" cm="1">
        <f t="array" ref="Y5">IFERROR(INDEX('[1]PROSES ENJEKSİYON'!$J:$J,MATCH(1,('[1]PROSES ENJEKSİYON'!$A:$A=$X$2)*('[1]PROSES ENJEKSİYON'!$F:$F=A5),0)),"")</f>
        <v/>
      </c>
      <c r="Z5" s="32" t="str" cm="1">
        <f t="array" ref="Z5">IFERROR(INDEX('[1]PROSES ENJEKSİYON'!$K:$K,MATCH(1,('[1]PROSES ENJEKSİYON'!$A:$A=$X$2)*('[1]PROSES ENJEKSİYON'!$F:$F=A5),0)),"")</f>
        <v/>
      </c>
      <c r="AA5" s="35" t="str" cm="1">
        <f t="array" ref="AA5">IFERROR(INDEX('[1]PROSES ENJEKSİYON'!$L:$L,MATCH(1,('[1]PROSES ENJEKSİYON'!$A:$A=$X$2)*('[1]PROSES ENJEKSİYON'!$F:$F=A5),0)),"")</f>
        <v/>
      </c>
      <c r="AB5" s="34" t="str" cm="1">
        <f t="array" ref="AB5">IFERROR(INDEX('[1]PROSES ENJEKSİYON'!$G:$G,MATCH(1,('[1]PROSES ENJEKSİYON'!$A:$A=$AB$2)*('[1]PROSES ENJEKSİYON'!$F:$F=A5),0)),"")</f>
        <v/>
      </c>
      <c r="AC5" s="32" t="str" cm="1">
        <f t="array" ref="AC5">IFERROR(INDEX('[1]PROSES ENJEKSİYON'!$J:$J,MATCH(1,('[1]PROSES ENJEKSİYON'!$A:$A=$AB$2)*('[1]PROSES ENJEKSİYON'!$F:$F=M5),0)),"")</f>
        <v/>
      </c>
      <c r="AD5" s="32" t="str" cm="1">
        <f t="array" ref="AD5">IFERROR(INDEX('[1]PROSES ENJEKSİYON'!$K:$K,MATCH(1,('[1]PROSES ENJEKSİYON'!$A:$A=$AD$2)*('[1]PROSES ENJEKSİYON'!$F:$F=M5),0)),"")</f>
        <v/>
      </c>
      <c r="AE5" s="35" t="str" cm="1">
        <f t="array" ref="AE5">IFERROR(INDEX('[1]PROSES ENJEKSİYON'!$L:$L,MATCH(1,('[1]PROSES ENJEKSİYON'!$A:$A=$AB$2)*('[1]PROSES ENJEKSİYON'!$F:$F=A5),0)),"")</f>
        <v/>
      </c>
    </row>
    <row r="6" spans="1:31" ht="29.4" hidden="1" customHeight="1" x14ac:dyDescent="0.3">
      <c r="A6" s="67">
        <v>104</v>
      </c>
      <c r="B6" s="31" t="str" cm="1">
        <f t="array" ref="B6">IFERROR(INDEX('[1]PROSES ENJEKSİYON'!$L:$L, MATCH(1,('[1]PROSES ENJEKSİYON'!$A:$A=$B$2)*('[1]PROSES ENJEKSİYON'!$F:$F=A6),0)), "")</f>
        <v/>
      </c>
      <c r="C6" s="31" t="str" cm="1">
        <f t="array" ref="C6">IFERROR(INDEX('[1]PROSES ENJEKSİYON'!$L:$L,MATCH(1,('[1]PROSES ENJEKSİYON'!$A:$A=$C$2)*('[1]PROSES ENJEKSİYON'!$F:$F=A6),0)),"")</f>
        <v/>
      </c>
      <c r="D6" s="31" t="str" cm="1">
        <f t="array" ref="D6">IFERROR(INDEX('[1]PROSES ENJEKSİYON'!$L:$L,MATCH(1,('[1]PROSES ENJEKSİYON'!$A:$A=$D$2)*('[1]PROSES ENJEKSİYON'!$F:$F=A6),0)),"")</f>
        <v/>
      </c>
      <c r="E6" s="31" t="str" cm="1">
        <f t="array" ref="E6">IFERROR(INDEX('[1]PROSES ENJEKSİYON'!$L:$L,MATCH(1,('[1]PROSES ENJEKSİYON'!$A:$A=$E$2)*('[1]PROSES ENJEKSİYON'!$F:$F=A6),0)),"")</f>
        <v/>
      </c>
      <c r="F6" s="31" t="str" cm="1">
        <f t="array" ref="F6">IFERROR(INDEX('[1]PROSES ENJEKSİYON'!$L:$L,MATCH(1,('[1]PROSES ENJEKSİYON'!$A:$A=$F$2)*('[1]PROSES ENJEKSİYON'!$F:$F=A6),0)),"")</f>
        <v/>
      </c>
      <c r="G6" s="31" t="str" cm="1">
        <f t="array" ref="G6">IFERROR(INDEX('[1]PROSES ENJEKSİYON'!$L:$L,MATCH(1,('[1]PROSES ENJEKSİYON'!$A:$A=$G$2)*('[1]PROSES ENJEKSİYON'!$F:$F=A6),0)),"")</f>
        <v/>
      </c>
      <c r="H6" s="53" t="str" cm="1">
        <f t="array" ref="H6">IFERROR(INDEX('[1]PROSES ENJEKSİYON'!$G:$G,MATCH(1,('[1]PROSES ENJEKSİYON'!$A:$A=$H$2)*('[1]PROSES ENJEKSİYON'!$F:$F=A6),0)),"")</f>
        <v xml:space="preserve"> PET0007-08 400ML OPAK YESIL 28MM YIVLI 25GR</v>
      </c>
      <c r="I6" s="64" cm="1">
        <f t="array" ref="I6">IFERROR(INDEX('[1]PROSES ENJEKSİYON'!$J:$J,MATCH(1,('[1]PROSES ENJEKSİYON'!$A:$A=$H$2)*('[1]PROSES ENJEKSİYON'!$F:$F=A6),0)),"")</f>
        <v>6</v>
      </c>
      <c r="J6" s="64" cm="1">
        <f t="array" ref="J6">IFERROR(INDEX('[1]PROSES ENJEKSİYON'!$K:$K,MATCH(1,('[1]PROSES ENJEKSİYON'!$A:$A=$H$2)*('[1]PROSES ENJEKSİYON'!$F:$F=A6),0)),"")</f>
        <v>5</v>
      </c>
      <c r="K6" s="44" cm="1">
        <f t="array" ref="K6">IFERROR(INDEX('[1]PROSES ENJEKSİYON'!$L:$L,MATCH(1,('[1]PROSES ENJEKSİYON'!$A:$A=$H$2)*('[1]PROSES ENJEKSİYON'!$F:$F=A6),0)),"")</f>
        <v>15.92</v>
      </c>
      <c r="L6" s="65" t="str" cm="1">
        <f t="array" ref="L6">IFERROR(INDEX('[1]PROSES ENJEKSİYON'!$G:$G,MATCH(1,('[1]PROSES ENJEKSİYON'!$A:$A=$L$2)*('[1]PROSES ENJEKSİYON'!$F:$F=A6),0)),"")</f>
        <v/>
      </c>
      <c r="M6" s="64" t="str" cm="1">
        <f t="array" ref="M6">IFERROR(INDEX('[1]PROSES ENJEKSİYON'!$J:$J,MATCH(1,('[1]PROSES ENJEKSİYON'!$A:$A=$L$2)*('[1]PROSES ENJEKSİYON'!$F:$F=A6),0)),"")</f>
        <v/>
      </c>
      <c r="N6" s="64" t="str" cm="1">
        <f t="array" ref="N6">IFERROR(INDEX('[1]PROSES ENJEKSİYON'!$K:$K,MATCH(1,('[1]PROSES ENJEKSİYON'!$A:$A=$L$2)*('[1]PROSES ENJEKSİYON'!$F:$F=A6),0)),"")</f>
        <v/>
      </c>
      <c r="O6" s="44" t="str" cm="1">
        <f t="array" ref="O6">IFERROR(INDEX('[1]PROSES ENJEKSİYON'!$L:$L,MATCH(1,('[1]PROSES ENJEKSİYON'!$A:$A=$L$2)*('[1]PROSES ENJEKSİYON'!$F:$F=A6),0)),"")</f>
        <v/>
      </c>
      <c r="P6" s="52" t="str" cm="1">
        <f t="array" ref="P6">IFERROR(INDEX('[1]PROSES ENJEKSİYON'!$G:$G,MATCH(1,('[1]PROSES ENJEKSİYON'!$A:$A=$P$2)*('[1]PROSES ENJEKSİYON'!$F:$F=A6),0)),"")</f>
        <v>MM-PET0166-02-028Y-025 - PET0166-02 400ML SEFFAF SEFFAF 28MM YIVLI 25GR</v>
      </c>
      <c r="Q6" s="64" cm="1">
        <f t="array" ref="Q6">IFERROR(INDEX('[1]PROSES ENJEKSİYON'!$J:$J,MATCH(1,('[1]PROSES ENJEKSİYON'!$A:$A=$P$2)*('[1]PROSES ENJEKSİYON'!$F:$F=A6),0)),"")</f>
        <v>6</v>
      </c>
      <c r="R6" s="64" cm="1">
        <f t="array" ref="R6">IFERROR(INDEX('[1]PROSES ENJEKSİYON'!$K:$K,MATCH(1,('[1]PROSES ENJEKSİYON'!$A:$A=$P$2)*('[1]PROSES ENJEKSİYON'!$F:$F=A6),0)),"")</f>
        <v>6</v>
      </c>
      <c r="S6" s="44" cm="1">
        <f t="array" ref="S6">IFERROR(INDEX('[1]PROSES ENJEKSİYON'!$L:$L,MATCH(1,('[1]PROSES ENJEKSİYON'!$A:$A=$P$2)*('[1]PROSES ENJEKSİYON'!$F:$F=A6),0)),"")</f>
        <v>13.4</v>
      </c>
      <c r="T6" s="52" t="str" cm="1">
        <f t="array" ref="T6">IFERROR(INDEX('[1]PROSES ENJEKSİYON'!$G:$G,MATCH(1,('[1]PROSES ENJEKSİYON'!$A:$A=$T$2)*('[1]PROSES ENJEKSİYON'!$F:$F=A6),0)),"")</f>
        <v/>
      </c>
      <c r="U6" s="64" t="str" cm="1">
        <f t="array" ref="U6">IFERROR(INDEX('[1]PROSES ENJEKSİYON'!$J:$J,MATCH(1,('[1]PROSES ENJEKSİYON'!$A:$A=$T$2)*('[1]PROSES ENJEKSİYON'!$F:$F=A6),0)),"")</f>
        <v/>
      </c>
      <c r="V6" s="64" t="str" cm="1">
        <f t="array" ref="V6">IFERROR(INDEX('[1]PROSES ENJEKSİYON'!$K:$K,MATCH(1,('[1]PROSES ENJEKSİYON'!$A:$A=$T$2)*('[1]PROSES ENJEKSİYON'!$F:$F=A6),0)),"")</f>
        <v/>
      </c>
      <c r="W6" s="44" t="str" cm="1">
        <f t="array" ref="W6">IFERROR(INDEX('[1]PROSES ENJEKSİYON'!$L:$L,MATCH(1,('[1]PROSES ENJEKSİYON'!$A:$A=$T$2)*('[1]PROSES ENJEKSİYON'!$F:$F=A6),0)),"")</f>
        <v/>
      </c>
      <c r="X6" s="34" t="str" cm="1">
        <f t="array" ref="X6">IFERROR(INDEX('[1]PROSES ENJEKSİYON'!$G:$G,MATCH(1,('[1]PROSES ENJEKSİYON'!$A:$A=$X$2)*('[1]PROSES ENJEKSİYON'!$F:$F=A6),0)),"")</f>
        <v/>
      </c>
      <c r="Y6" s="32" t="str" cm="1">
        <f t="array" ref="Y6">IFERROR(INDEX('[1]PROSES ENJEKSİYON'!$J:$J,MATCH(1,('[1]PROSES ENJEKSİYON'!$A:$A=$X$2)*('[1]PROSES ENJEKSİYON'!$F:$F=A6),0)),"")</f>
        <v/>
      </c>
      <c r="Z6" s="32" t="str" cm="1">
        <f t="array" ref="Z6">IFERROR(INDEX('[1]PROSES ENJEKSİYON'!$K:$K,MATCH(1,('[1]PROSES ENJEKSİYON'!$A:$A=$X$2)*('[1]PROSES ENJEKSİYON'!$F:$F=A6),0)),"")</f>
        <v/>
      </c>
      <c r="AA6" s="35" t="str" cm="1">
        <f t="array" ref="AA6">IFERROR(INDEX('[1]PROSES ENJEKSİYON'!$L:$L,MATCH(1,('[1]PROSES ENJEKSİYON'!$A:$A=$X$2)*('[1]PROSES ENJEKSİYON'!$F:$F=A6),0)),"")</f>
        <v/>
      </c>
      <c r="AB6" s="34" t="str" cm="1">
        <f t="array" ref="AB6">IFERROR(INDEX('[1]PROSES ENJEKSİYON'!$G:$G,MATCH(1,('[1]PROSES ENJEKSİYON'!$A:$A=$AB$2)*('[1]PROSES ENJEKSİYON'!$F:$F=A6),0)),"")</f>
        <v/>
      </c>
      <c r="AC6" s="32" t="str" cm="1">
        <f t="array" ref="AC6">IFERROR(INDEX('[1]PROSES ENJEKSİYON'!$J:$J,MATCH(1,('[1]PROSES ENJEKSİYON'!$A:$A=$AB$2)*('[1]PROSES ENJEKSİYON'!$F:$F=M6),0)),"")</f>
        <v/>
      </c>
      <c r="AD6" s="32" t="str" cm="1">
        <f t="array" ref="AD6">IFERROR(INDEX('[1]PROSES ENJEKSİYON'!$K:$K,MATCH(1,('[1]PROSES ENJEKSİYON'!$A:$A=$AD$2)*('[1]PROSES ENJEKSİYON'!$F:$F=M6),0)),"")</f>
        <v/>
      </c>
      <c r="AE6" s="35" t="str" cm="1">
        <f t="array" ref="AE6">IFERROR(INDEX('[1]PROSES ENJEKSİYON'!$L:$L,MATCH(1,('[1]PROSES ENJEKSİYON'!$A:$A=$AB$2)*('[1]PROSES ENJEKSİYON'!$F:$F=A6),0)),"")</f>
        <v/>
      </c>
    </row>
    <row r="7" spans="1:31" ht="29.4" hidden="1" customHeight="1" x14ac:dyDescent="0.3">
      <c r="A7" s="67">
        <v>161</v>
      </c>
      <c r="B7" s="31" t="str" cm="1">
        <f t="array" ref="B7">IFERROR(INDEX('[1]PROSES ENJEKSİYON'!$L:$L, MATCH(1,('[1]PROSES ENJEKSİYON'!$A:$A=$B$2)*('[1]PROSES ENJEKSİYON'!$F:$F=A7),0)), "")</f>
        <v/>
      </c>
      <c r="C7" s="31" t="str" cm="1">
        <f t="array" ref="C7">IFERROR(INDEX('[1]PROSES ENJEKSİYON'!$L:$L,MATCH(1,('[1]PROSES ENJEKSİYON'!$A:$A=$C$2)*('[1]PROSES ENJEKSİYON'!$F:$F=A7),0)),"")</f>
        <v/>
      </c>
      <c r="D7" s="31" t="str" cm="1">
        <f t="array" ref="D7">IFERROR(INDEX('[1]PROSES ENJEKSİYON'!$L:$L,MATCH(1,('[1]PROSES ENJEKSİYON'!$A:$A=$D$2)*('[1]PROSES ENJEKSİYON'!$F:$F=A7),0)),"")</f>
        <v/>
      </c>
      <c r="E7" s="31" t="str" cm="1">
        <f t="array" ref="E7">IFERROR(INDEX('[1]PROSES ENJEKSİYON'!$L:$L,MATCH(1,('[1]PROSES ENJEKSİYON'!$A:$A=$E$2)*('[1]PROSES ENJEKSİYON'!$F:$F=A7),0)),"")</f>
        <v/>
      </c>
      <c r="F7" s="31" t="str" cm="1">
        <f t="array" ref="F7">IFERROR(INDEX('[1]PROSES ENJEKSİYON'!$L:$L,MATCH(1,('[1]PROSES ENJEKSİYON'!$A:$A=$F$2)*('[1]PROSES ENJEKSİYON'!$F:$F=A7),0)),"")</f>
        <v/>
      </c>
      <c r="G7" s="31" t="str" cm="1">
        <f t="array" ref="G7">IFERROR(INDEX('[1]PROSES ENJEKSİYON'!$L:$L,MATCH(1,('[1]PROSES ENJEKSİYON'!$A:$A=$G$2)*('[1]PROSES ENJEKSİYON'!$F:$F=A7),0)),"")</f>
        <v/>
      </c>
      <c r="H7" s="53" t="str" cm="1">
        <f t="array" ref="H7">IFERROR(INDEX('[1]PROSES ENJEKSİYON'!$G:$G,MATCH(1,('[1]PROSES ENJEKSİYON'!$A:$A=$H$2)*('[1]PROSES ENJEKSİYON'!$F:$F=A7),0)),"")</f>
        <v>PET0181-02 960ML OPAK SARI 38MM YIVLI 47GR</v>
      </c>
      <c r="I7" s="64" cm="1">
        <f t="array" ref="I7">IFERROR(INDEX('[1]PROSES ENJEKSİYON'!$J:$J,MATCH(1,('[1]PROSES ENJEKSİYON'!$A:$A=$H$2)*('[1]PROSES ENJEKSİYON'!$F:$F=A7),0)),"")</f>
        <v>6</v>
      </c>
      <c r="J7" s="64" cm="1">
        <f t="array" ref="J7">IFERROR(INDEX('[1]PROSES ENJEKSİYON'!$K:$K,MATCH(1,('[1]PROSES ENJEKSİYON'!$A:$A=$H$2)*('[1]PROSES ENJEKSİYON'!$F:$F=A7),0)),"")</f>
        <v>6</v>
      </c>
      <c r="K7" s="44" cm="1">
        <f t="array" ref="K7">IFERROR(INDEX('[1]PROSES ENJEKSİYON'!$L:$L,MATCH(1,('[1]PROSES ENJEKSİYON'!$A:$A=$H$2)*('[1]PROSES ENJEKSİYON'!$F:$F=A7),0)),"")</f>
        <v>22.51</v>
      </c>
      <c r="L7" s="65" t="str" cm="1">
        <f t="array" ref="L7">IFERROR(INDEX('[1]PROSES ENJEKSİYON'!$G:$G,MATCH(1,('[1]PROSES ENJEKSİYON'!$A:$A=$L$2)*('[1]PROSES ENJEKSİYON'!$F:$F=A7),0)),"")</f>
        <v/>
      </c>
      <c r="M7" s="64" t="str" cm="1">
        <f t="array" ref="M7">IFERROR(INDEX('[1]PROSES ENJEKSİYON'!$J:$J,MATCH(1,('[1]PROSES ENJEKSİYON'!$A:$A=$L$2)*('[1]PROSES ENJEKSİYON'!$F:$F=A7),0)),"")</f>
        <v/>
      </c>
      <c r="N7" s="64" t="str" cm="1">
        <f t="array" ref="N7">IFERROR(INDEX('[1]PROSES ENJEKSİYON'!$K:$K,MATCH(1,('[1]PROSES ENJEKSİYON'!$A:$A=$L$2)*('[1]PROSES ENJEKSİYON'!$F:$F=A7),0)),"")</f>
        <v/>
      </c>
      <c r="O7" s="44" t="str" cm="1">
        <f t="array" ref="O7">IFERROR(INDEX('[1]PROSES ENJEKSİYON'!$L:$L,MATCH(1,('[1]PROSES ENJEKSİYON'!$A:$A=$L$2)*('[1]PROSES ENJEKSİYON'!$F:$F=A7),0)),"")</f>
        <v/>
      </c>
      <c r="P7" s="52" t="str" cm="1">
        <f t="array" ref="P7">IFERROR(INDEX('[1]PROSES ENJEKSİYON'!$G:$G,MATCH(1,('[1]PROSES ENJEKSİYON'!$A:$A=$P$2)*('[1]PROSES ENJEKSİYON'!$F:$F=A7),0)),"")</f>
        <v>MM-PET0181-03-038Y-047 - PET0181-03 960ML OPAK KIRMIZI 38MM YIVLI 47GR</v>
      </c>
      <c r="Q7" s="64" cm="1">
        <f t="array" ref="Q7">IFERROR(INDEX('[1]PROSES ENJEKSİYON'!$J:$J,MATCH(1,('[1]PROSES ENJEKSİYON'!$A:$A=$P$2)*('[1]PROSES ENJEKSİYON'!$F:$F=A7),0)),"")</f>
        <v>2</v>
      </c>
      <c r="R7" s="64" cm="1">
        <f t="array" ref="R7">IFERROR(INDEX('[1]PROSES ENJEKSİYON'!$K:$K,MATCH(1,('[1]PROSES ENJEKSİYON'!$A:$A=$P$2)*('[1]PROSES ENJEKSİYON'!$F:$F=A7),0)),"")</f>
        <v>2</v>
      </c>
      <c r="S7" s="44" cm="1">
        <f t="array" ref="S7">IFERROR(INDEX('[1]PROSES ENJEKSİYON'!$L:$L,MATCH(1,('[1]PROSES ENJEKSİYON'!$A:$A=$P$2)*('[1]PROSES ENJEKSİYON'!$F:$F=A7),0)),"")</f>
        <v>22.5</v>
      </c>
      <c r="T7" s="52" t="str" cm="1">
        <f t="array" ref="T7">IFERROR(INDEX('[1]PROSES ENJEKSİYON'!$G:$G,MATCH(1,('[1]PROSES ENJEKSİYON'!$A:$A=$T$2)*('[1]PROSES ENJEKSİYON'!$F:$F=A7),0)),"")</f>
        <v>PET0181-03 960ML OPAK KIRMIZI 38MM YIVLI 47GR</v>
      </c>
      <c r="U7" s="64" cm="1">
        <f t="array" ref="U7">IFERROR(INDEX('[1]PROSES ENJEKSİYON'!$J:$J,MATCH(1,('[1]PROSES ENJEKSİYON'!$A:$A=$T$2)*('[1]PROSES ENJEKSİYON'!$F:$F=A7),0)),"")</f>
        <v>2</v>
      </c>
      <c r="V7" s="64" cm="1">
        <f t="array" ref="V7">IFERROR(INDEX('[1]PROSES ENJEKSİYON'!$K:$K,MATCH(1,('[1]PROSES ENJEKSİYON'!$A:$A=$T$2)*('[1]PROSES ENJEKSİYON'!$F:$F=A7),0)),"")</f>
        <v>2</v>
      </c>
      <c r="W7" s="44" cm="1">
        <f t="array" ref="W7">IFERROR(INDEX('[1]PROSES ENJEKSİYON'!$L:$L,MATCH(1,('[1]PROSES ENJEKSİYON'!$A:$A=$T$2)*('[1]PROSES ENJEKSİYON'!$F:$F=A7),0)),"")</f>
        <v>22.51</v>
      </c>
      <c r="X7" s="34" t="str" cm="1">
        <f t="array" ref="X7">IFERROR(INDEX('[1]PROSES ENJEKSİYON'!$G:$G,MATCH(1,('[1]PROSES ENJEKSİYON'!$A:$A=$X$2)*('[1]PROSES ENJEKSİYON'!$F:$F=A7),0)),"")</f>
        <v/>
      </c>
      <c r="Y7" s="32" t="str" cm="1">
        <f t="array" ref="Y7">IFERROR(INDEX('[1]PROSES ENJEKSİYON'!$J:$J,MATCH(1,('[1]PROSES ENJEKSİYON'!$A:$A=$X$2)*('[1]PROSES ENJEKSİYON'!$F:$F=A7),0)),"")</f>
        <v/>
      </c>
      <c r="Z7" s="32" t="str" cm="1">
        <f t="array" ref="Z7">IFERROR(INDEX('[1]PROSES ENJEKSİYON'!$K:$K,MATCH(1,('[1]PROSES ENJEKSİYON'!$A:$A=$X$2)*('[1]PROSES ENJEKSİYON'!$F:$F=A7),0)),"")</f>
        <v/>
      </c>
      <c r="AA7" s="35" t="str" cm="1">
        <f t="array" ref="AA7">IFERROR(INDEX('[1]PROSES ENJEKSİYON'!$L:$L,MATCH(1,('[1]PROSES ENJEKSİYON'!$A:$A=$X$2)*('[1]PROSES ENJEKSİYON'!$F:$F=A7),0)),"")</f>
        <v/>
      </c>
      <c r="AB7" s="34" t="str" cm="1">
        <f t="array" ref="AB7">IFERROR(INDEX('[1]PROSES ENJEKSİYON'!$G:$G,MATCH(1,('[1]PROSES ENJEKSİYON'!$A:$A=$AB$2)*('[1]PROSES ENJEKSİYON'!$F:$F=A7),0)),"")</f>
        <v/>
      </c>
      <c r="AC7" s="32" t="str" cm="1">
        <f t="array" ref="AC7">IFERROR(INDEX('[1]PROSES ENJEKSİYON'!$J:$J,MATCH(1,('[1]PROSES ENJEKSİYON'!$A:$A=$AB$2)*('[1]PROSES ENJEKSİYON'!$F:$F=M7),0)),"")</f>
        <v/>
      </c>
      <c r="AD7" s="32" t="str" cm="1">
        <f t="array" ref="AD7">IFERROR(INDEX('[1]PROSES ENJEKSİYON'!$K:$K,MATCH(1,('[1]PROSES ENJEKSİYON'!$A:$A=$AD$2)*('[1]PROSES ENJEKSİYON'!$F:$F=M7),0)),"")</f>
        <v/>
      </c>
      <c r="AE7" s="35" t="str" cm="1">
        <f t="array" ref="AE7">IFERROR(INDEX('[1]PROSES ENJEKSİYON'!$L:$L,MATCH(1,('[1]PROSES ENJEKSİYON'!$A:$A=$AB$2)*('[1]PROSES ENJEKSİYON'!$F:$F=A7),0)),"")</f>
        <v/>
      </c>
    </row>
    <row r="8" spans="1:31" ht="29.4" hidden="1" customHeight="1" x14ac:dyDescent="0.3">
      <c r="A8" s="67">
        <v>162</v>
      </c>
      <c r="B8" s="31" t="str" cm="1">
        <f t="array" ref="B8">IFERROR(INDEX('[1]PROSES ENJEKSİYON'!$L:$L, MATCH(1,('[1]PROSES ENJEKSİYON'!$A:$A=$B$2)*('[1]PROSES ENJEKSİYON'!$F:$F=A8),0)), "")</f>
        <v/>
      </c>
      <c r="C8" s="31" t="str" cm="1">
        <f t="array" ref="C8">IFERROR(INDEX('[1]PROSES ENJEKSİYON'!$L:$L,MATCH(1,('[1]PROSES ENJEKSİYON'!$A:$A=$C$2)*('[1]PROSES ENJEKSİYON'!$F:$F=A8),0)),"")</f>
        <v/>
      </c>
      <c r="D8" s="31" t="str" cm="1">
        <f t="array" ref="D8">IFERROR(INDEX('[1]PROSES ENJEKSİYON'!$L:$L,MATCH(1,('[1]PROSES ENJEKSİYON'!$A:$A=$D$2)*('[1]PROSES ENJEKSİYON'!$F:$F=A8),0)),"")</f>
        <v/>
      </c>
      <c r="E8" s="31" t="str" cm="1">
        <f t="array" ref="E8">IFERROR(INDEX('[1]PROSES ENJEKSİYON'!$L:$L,MATCH(1,('[1]PROSES ENJEKSİYON'!$A:$A=$E$2)*('[1]PROSES ENJEKSİYON'!$F:$F=A8),0)),"")</f>
        <v/>
      </c>
      <c r="F8" s="31" t="str" cm="1">
        <f t="array" ref="F8">IFERROR(INDEX('[1]PROSES ENJEKSİYON'!$L:$L,MATCH(1,('[1]PROSES ENJEKSİYON'!$A:$A=$F$2)*('[1]PROSES ENJEKSİYON'!$F:$F=A8),0)),"")</f>
        <v/>
      </c>
      <c r="G8" s="31" t="str" cm="1">
        <f t="array" ref="G8">IFERROR(INDEX('[1]PROSES ENJEKSİYON'!$L:$L,MATCH(1,('[1]PROSES ENJEKSİYON'!$A:$A=$G$2)*('[1]PROSES ENJEKSİYON'!$F:$F=A8),0)),"")</f>
        <v/>
      </c>
      <c r="H8" s="53" t="str" cm="1">
        <f t="array" ref="H8">IFERROR(INDEX('[1]PROSES ENJEKSİYON'!$G:$G,MATCH(1,('[1]PROSES ENJEKSİYON'!$A:$A=$H$2)*('[1]PROSES ENJEKSİYON'!$F:$F=A8),0)),"")</f>
        <v>PET0014-01 1000ML SEFFAF SEFFAF 28MM YIVLI 52GR</v>
      </c>
      <c r="I8" s="64" cm="1">
        <f t="array" ref="I8">IFERROR(INDEX('[1]PROSES ENJEKSİYON'!$J:$J,MATCH(1,('[1]PROSES ENJEKSİYON'!$A:$A=$H$2)*('[1]PROSES ENJEKSİYON'!$F:$F=A8),0)),"")</f>
        <v>6</v>
      </c>
      <c r="J8" s="64" cm="1">
        <f t="array" ref="J8">IFERROR(INDEX('[1]PROSES ENJEKSİYON'!$K:$K,MATCH(1,('[1]PROSES ENJEKSİYON'!$A:$A=$H$2)*('[1]PROSES ENJEKSİYON'!$F:$F=A8),0)),"")</f>
        <v>6</v>
      </c>
      <c r="K8" s="44" cm="1">
        <f t="array" ref="K8">IFERROR(INDEX('[1]PROSES ENJEKSİYON'!$L:$L,MATCH(1,('[1]PROSES ENJEKSİYON'!$A:$A=$H$2)*('[1]PROSES ENJEKSİYON'!$F:$F=A8),0)),"")</f>
        <v>24</v>
      </c>
      <c r="L8" s="65" t="str" cm="1">
        <f t="array" ref="L8">IFERROR(INDEX('[1]PROSES ENJEKSİYON'!$G:$G,MATCH(1,('[1]PROSES ENJEKSİYON'!$A:$A=$L$2)*('[1]PROSES ENJEKSİYON'!$F:$F=A8),0)),"")</f>
        <v/>
      </c>
      <c r="M8" s="64" t="str" cm="1">
        <f t="array" ref="M8">IFERROR(INDEX('[1]PROSES ENJEKSİYON'!$J:$J,MATCH(1,('[1]PROSES ENJEKSİYON'!$A:$A=$L$2)*('[1]PROSES ENJEKSİYON'!$F:$F=A8),0)),"")</f>
        <v/>
      </c>
      <c r="N8" s="64" t="str" cm="1">
        <f t="array" ref="N8">IFERROR(INDEX('[1]PROSES ENJEKSİYON'!$K:$K,MATCH(1,('[1]PROSES ENJEKSİYON'!$A:$A=$L$2)*('[1]PROSES ENJEKSİYON'!$F:$F=A8),0)),"")</f>
        <v/>
      </c>
      <c r="O8" s="44" t="str" cm="1">
        <f t="array" ref="O8">IFERROR(INDEX('[1]PROSES ENJEKSİYON'!$L:$L,MATCH(1,('[1]PROSES ENJEKSİYON'!$A:$A=$L$2)*('[1]PROSES ENJEKSİYON'!$F:$F=A8),0)),"")</f>
        <v/>
      </c>
      <c r="P8" s="52" t="str" cm="1">
        <f t="array" ref="P8">IFERROR(INDEX('[1]PROSES ENJEKSİYON'!$G:$G,MATCH(1,('[1]PROSES ENJEKSİYON'!$A:$A=$P$2)*('[1]PROSES ENJEKSİYON'!$F:$F=A8),0)),"")</f>
        <v>MM-PET0013-02-028Y-052 - PET0013-02 1000ML OPAK BEYAZ 28MM YIVLI 52GR</v>
      </c>
      <c r="Q8" s="64" cm="1">
        <f t="array" ref="Q8">IFERROR(INDEX('[1]PROSES ENJEKSİYON'!$J:$J,MATCH(1,('[1]PROSES ENJEKSİYON'!$A:$A=$P$2)*('[1]PROSES ENJEKSİYON'!$F:$F=A8),0)),"")</f>
        <v>2</v>
      </c>
      <c r="R8" s="64" cm="1">
        <f t="array" ref="R8">IFERROR(INDEX('[1]PROSES ENJEKSİYON'!$K:$K,MATCH(1,('[1]PROSES ENJEKSİYON'!$A:$A=$P$2)*('[1]PROSES ENJEKSİYON'!$F:$F=A8),0)),"")</f>
        <v>2</v>
      </c>
      <c r="S8" s="44" cm="1">
        <f t="array" ref="S8">IFERROR(INDEX('[1]PROSES ENJEKSİYON'!$L:$L,MATCH(1,('[1]PROSES ENJEKSİYON'!$A:$A=$P$2)*('[1]PROSES ENJEKSİYON'!$F:$F=A8),0)),"")</f>
        <v>24</v>
      </c>
      <c r="T8" s="52" t="str" cm="1">
        <f t="array" ref="T8">IFERROR(INDEX('[1]PROSES ENJEKSİYON'!$G:$G,MATCH(1,('[1]PROSES ENJEKSİYON'!$A:$A=$T$2)*('[1]PROSES ENJEKSİYON'!$F:$F=A8),0)),"")</f>
        <v/>
      </c>
      <c r="U8" s="64" t="str" cm="1">
        <f t="array" ref="U8">IFERROR(INDEX('[1]PROSES ENJEKSİYON'!$J:$J,MATCH(1,('[1]PROSES ENJEKSİYON'!$A:$A=$T$2)*('[1]PROSES ENJEKSİYON'!$F:$F=A8),0)),"")</f>
        <v/>
      </c>
      <c r="V8" s="64" t="str" cm="1">
        <f t="array" ref="V8">IFERROR(INDEX('[1]PROSES ENJEKSİYON'!$K:$K,MATCH(1,('[1]PROSES ENJEKSİYON'!$A:$A=$T$2)*('[1]PROSES ENJEKSİYON'!$F:$F=A8),0)),"")</f>
        <v/>
      </c>
      <c r="W8" s="44" t="str" cm="1">
        <f t="array" ref="W8">IFERROR(INDEX('[1]PROSES ENJEKSİYON'!$L:$L,MATCH(1,('[1]PROSES ENJEKSİYON'!$A:$A=$T$2)*('[1]PROSES ENJEKSİYON'!$F:$F=A8),0)),"")</f>
        <v/>
      </c>
      <c r="X8" s="34" t="str" cm="1">
        <f t="array" ref="X8">IFERROR(INDEX('[1]PROSES ENJEKSİYON'!$G:$G,MATCH(1,('[1]PROSES ENJEKSİYON'!$A:$A=$X$2)*('[1]PROSES ENJEKSİYON'!$F:$F=A8),0)),"")</f>
        <v/>
      </c>
      <c r="Y8" s="32" t="str" cm="1">
        <f t="array" ref="Y8">IFERROR(INDEX('[1]PROSES ENJEKSİYON'!$J:$J,MATCH(1,('[1]PROSES ENJEKSİYON'!$A:$A=$X$2)*('[1]PROSES ENJEKSİYON'!$F:$F=A8),0)),"")</f>
        <v/>
      </c>
      <c r="Z8" s="32" t="str" cm="1">
        <f t="array" ref="Z8">IFERROR(INDEX('[1]PROSES ENJEKSİYON'!$K:$K,MATCH(1,('[1]PROSES ENJEKSİYON'!$A:$A=$X$2)*('[1]PROSES ENJEKSİYON'!$F:$F=A8),0)),"")</f>
        <v/>
      </c>
      <c r="AA8" s="35" t="str" cm="1">
        <f t="array" ref="AA8">IFERROR(INDEX('[1]PROSES ENJEKSİYON'!$L:$L,MATCH(1,('[1]PROSES ENJEKSİYON'!$A:$A=$X$2)*('[1]PROSES ENJEKSİYON'!$F:$F=A8),0)),"")</f>
        <v/>
      </c>
      <c r="AB8" s="34" t="str" cm="1">
        <f t="array" ref="AB8">IFERROR(INDEX('[1]PROSES ENJEKSİYON'!$G:$G,MATCH(1,('[1]PROSES ENJEKSİYON'!$A:$A=$AB$2)*('[1]PROSES ENJEKSİYON'!$F:$F=A8),0)),"")</f>
        <v/>
      </c>
      <c r="AC8" s="32" t="str" cm="1">
        <f t="array" ref="AC8">IFERROR(INDEX('[1]PROSES ENJEKSİYON'!$J:$J,MATCH(1,('[1]PROSES ENJEKSİYON'!$A:$A=$AB$2)*('[1]PROSES ENJEKSİYON'!$F:$F=M8),0)),"")</f>
        <v/>
      </c>
      <c r="AD8" s="32" t="str" cm="1">
        <f t="array" ref="AD8">IFERROR(INDEX('[1]PROSES ENJEKSİYON'!$K:$K,MATCH(1,('[1]PROSES ENJEKSİYON'!$A:$A=$AD$2)*('[1]PROSES ENJEKSİYON'!$F:$F=M8),0)),"")</f>
        <v/>
      </c>
      <c r="AE8" s="35" t="str" cm="1">
        <f t="array" ref="AE8">IFERROR(INDEX('[1]PROSES ENJEKSİYON'!$L:$L,MATCH(1,('[1]PROSES ENJEKSİYON'!$A:$A=$AB$2)*('[1]PROSES ENJEKSİYON'!$F:$F=A8),0)),"")</f>
        <v/>
      </c>
    </row>
    <row r="9" spans="1:31" ht="29.4" hidden="1" customHeight="1" x14ac:dyDescent="0.3">
      <c r="A9" s="67">
        <v>163</v>
      </c>
      <c r="B9" s="31" t="str" cm="1">
        <f t="array" ref="B9">IFERROR(INDEX('[1]PROSES ENJEKSİYON'!$L:$L, MATCH(1,('[1]PROSES ENJEKSİYON'!$A:$A=$B$2)*('[1]PROSES ENJEKSİYON'!$F:$F=A9),0)), "")</f>
        <v/>
      </c>
      <c r="C9" s="31" t="str" cm="1">
        <f t="array" ref="C9">IFERROR(INDEX('[1]PROSES ENJEKSİYON'!$L:$L,MATCH(1,('[1]PROSES ENJEKSİYON'!$A:$A=$C$2)*('[1]PROSES ENJEKSİYON'!$F:$F=A9),0)),"")</f>
        <v/>
      </c>
      <c r="D9" s="31" t="str" cm="1">
        <f t="array" ref="D9">IFERROR(INDEX('[1]PROSES ENJEKSİYON'!$L:$L,MATCH(1,('[1]PROSES ENJEKSİYON'!$A:$A=$D$2)*('[1]PROSES ENJEKSİYON'!$F:$F=A9),0)),"")</f>
        <v/>
      </c>
      <c r="E9" s="31" t="str" cm="1">
        <f t="array" ref="E9">IFERROR(INDEX('[1]PROSES ENJEKSİYON'!$L:$L,MATCH(1,('[1]PROSES ENJEKSİYON'!$A:$A=$E$2)*('[1]PROSES ENJEKSİYON'!$F:$F=A9),0)),"")</f>
        <v/>
      </c>
      <c r="F9" s="31" t="str" cm="1">
        <f t="array" ref="F9">IFERROR(INDEX('[1]PROSES ENJEKSİYON'!$L:$L,MATCH(1,('[1]PROSES ENJEKSİYON'!$A:$A=$F$2)*('[1]PROSES ENJEKSİYON'!$F:$F=A9),0)),"")</f>
        <v/>
      </c>
      <c r="G9" s="31" t="str" cm="1">
        <f t="array" ref="G9">IFERROR(INDEX('[1]PROSES ENJEKSİYON'!$L:$L,MATCH(1,('[1]PROSES ENJEKSİYON'!$A:$A=$G$2)*('[1]PROSES ENJEKSİYON'!$F:$F=A9),0)),"")</f>
        <v/>
      </c>
      <c r="H9" s="53" t="str" cm="1">
        <f t="array" ref="H9">IFERROR(INDEX('[1]PROSES ENJEKSİYON'!$G:$G,MATCH(1,('[1]PROSES ENJEKSİYON'!$A:$A=$H$2)*('[1]PROSES ENJEKSİYON'!$F:$F=A9),0)),"")</f>
        <v/>
      </c>
      <c r="I9" s="64" t="str" cm="1">
        <f t="array" ref="I9">IFERROR(INDEX('[1]PROSES ENJEKSİYON'!$J:$J,MATCH(1,('[1]PROSES ENJEKSİYON'!$A:$A=$H$2)*('[1]PROSES ENJEKSİYON'!$F:$F=A9),0)),"")</f>
        <v/>
      </c>
      <c r="J9" s="64" t="str" cm="1">
        <f t="array" ref="J9">IFERROR(INDEX('[1]PROSES ENJEKSİYON'!$K:$K,MATCH(1,('[1]PROSES ENJEKSİYON'!$A:$A=$H$2)*('[1]PROSES ENJEKSİYON'!$F:$F=A9),0)),"")</f>
        <v/>
      </c>
      <c r="K9" s="44" t="str" cm="1">
        <f t="array" ref="K9">IFERROR(INDEX('[1]PROSES ENJEKSİYON'!$L:$L,MATCH(1,('[1]PROSES ENJEKSİYON'!$A:$A=$H$2)*('[1]PROSES ENJEKSİYON'!$F:$F=A9),0)),"")</f>
        <v/>
      </c>
      <c r="L9" s="65" t="str" cm="1">
        <f t="array" ref="L9">IFERROR(INDEX('[1]PROSES ENJEKSİYON'!$G:$G,MATCH(1,('[1]PROSES ENJEKSİYON'!$A:$A=$L$2)*('[1]PROSES ENJEKSİYON'!$F:$F=A9),0)),"")</f>
        <v/>
      </c>
      <c r="M9" s="64" t="str" cm="1">
        <f t="array" ref="M9">IFERROR(INDEX('[1]PROSES ENJEKSİYON'!$J:$J,MATCH(1,('[1]PROSES ENJEKSİYON'!$A:$A=$L$2)*('[1]PROSES ENJEKSİYON'!$F:$F=A9),0)),"")</f>
        <v/>
      </c>
      <c r="N9" s="64" t="str" cm="1">
        <f t="array" ref="N9">IFERROR(INDEX('[1]PROSES ENJEKSİYON'!$K:$K,MATCH(1,('[1]PROSES ENJEKSİYON'!$A:$A=$L$2)*('[1]PROSES ENJEKSİYON'!$F:$F=A9),0)),"")</f>
        <v/>
      </c>
      <c r="O9" s="44" t="str" cm="1">
        <f t="array" ref="O9">IFERROR(INDEX('[1]PROSES ENJEKSİYON'!$L:$L,MATCH(1,('[1]PROSES ENJEKSİYON'!$A:$A=$L$2)*('[1]PROSES ENJEKSİYON'!$F:$F=A9),0)),"")</f>
        <v/>
      </c>
      <c r="P9" s="52" t="str" cm="1">
        <f t="array" ref="P9">IFERROR(INDEX('[1]PROSES ENJEKSİYON'!$G:$G,MATCH(1,('[1]PROSES ENJEKSİYON'!$A:$A=$P$2)*('[1]PROSES ENJEKSİYON'!$F:$F=A9),0)),"")</f>
        <v>MM-PET0295-01-028Y-040 - PET0295-01 739ML SEFFAF SEFFAF 28MM YIVLI 40GR</v>
      </c>
      <c r="Q9" s="64" cm="1">
        <f t="array" ref="Q9">IFERROR(INDEX('[1]PROSES ENJEKSİYON'!$J:$J,MATCH(1,('[1]PROSES ENJEKSİYON'!$A:$A=$P$2)*('[1]PROSES ENJEKSİYON'!$F:$F=A9),0)),"")</f>
        <v>2</v>
      </c>
      <c r="R9" s="64" cm="1">
        <f t="array" ref="R9">IFERROR(INDEX('[1]PROSES ENJEKSİYON'!$K:$K,MATCH(1,('[1]PROSES ENJEKSİYON'!$A:$A=$P$2)*('[1]PROSES ENJEKSİYON'!$F:$F=A9),0)),"")</f>
        <v>2</v>
      </c>
      <c r="S9" s="44" cm="1">
        <f t="array" ref="S9">IFERROR(INDEX('[1]PROSES ENJEKSİYON'!$L:$L,MATCH(1,('[1]PROSES ENJEKSİYON'!$A:$A=$P$2)*('[1]PROSES ENJEKSİYON'!$F:$F=A9),0)),"")</f>
        <v>0</v>
      </c>
      <c r="T9" s="52" t="str" cm="1">
        <f t="array" ref="T9">IFERROR(INDEX('[1]PROSES ENJEKSİYON'!$G:$G,MATCH(1,('[1]PROSES ENJEKSİYON'!$A:$A=$T$2)*('[1]PROSES ENJEKSİYON'!$F:$F=A9),0)),"")</f>
        <v>PET0295-01 739ML SEFFAF SEFFAF 28MM YIVLI 40GR</v>
      </c>
      <c r="U9" s="64" cm="1">
        <f t="array" ref="U9">IFERROR(INDEX('[1]PROSES ENJEKSİYON'!$J:$J,MATCH(1,('[1]PROSES ENJEKSİYON'!$A:$A=$T$2)*('[1]PROSES ENJEKSİYON'!$F:$F=A9),0)),"")</f>
        <v>2</v>
      </c>
      <c r="V9" s="64" cm="1">
        <f t="array" ref="V9">IFERROR(INDEX('[1]PROSES ENJEKSİYON'!$K:$K,MATCH(1,('[1]PROSES ENJEKSİYON'!$A:$A=$T$2)*('[1]PROSES ENJEKSİYON'!$F:$F=A9),0)),"")</f>
        <v>2</v>
      </c>
      <c r="W9" s="44" cm="1">
        <f t="array" ref="W9">IFERROR(INDEX('[1]PROSES ENJEKSİYON'!$L:$L,MATCH(1,('[1]PROSES ENJEKSİYON'!$A:$A=$T$2)*('[1]PROSES ENJEKSİYON'!$F:$F=A9),0)),"")</f>
        <v>19.79</v>
      </c>
      <c r="X9" s="34" t="str" cm="1">
        <f t="array" ref="X9">IFERROR(INDEX('[1]PROSES ENJEKSİYON'!$G:$G,MATCH(1,('[1]PROSES ENJEKSİYON'!$A:$A=$X$2)*('[1]PROSES ENJEKSİYON'!$F:$F=A9),0)),"")</f>
        <v/>
      </c>
      <c r="Y9" s="32" t="str" cm="1">
        <f t="array" ref="Y9">IFERROR(INDEX('[1]PROSES ENJEKSİYON'!$J:$J,MATCH(1,('[1]PROSES ENJEKSİYON'!$A:$A=$X$2)*('[1]PROSES ENJEKSİYON'!$F:$F=A9),0)),"")</f>
        <v/>
      </c>
      <c r="Z9" s="32" t="str" cm="1">
        <f t="array" ref="Z9">IFERROR(INDEX('[1]PROSES ENJEKSİYON'!$K:$K,MATCH(1,('[1]PROSES ENJEKSİYON'!$A:$A=$X$2)*('[1]PROSES ENJEKSİYON'!$F:$F=A9),0)),"")</f>
        <v/>
      </c>
      <c r="AA9" s="35" t="str" cm="1">
        <f t="array" ref="AA9">IFERROR(INDEX('[1]PROSES ENJEKSİYON'!$L:$L,MATCH(1,('[1]PROSES ENJEKSİYON'!$A:$A=$X$2)*('[1]PROSES ENJEKSİYON'!$F:$F=A9),0)),"")</f>
        <v/>
      </c>
      <c r="AB9" s="34" t="str" cm="1">
        <f t="array" ref="AB9">IFERROR(INDEX('[1]PROSES ENJEKSİYON'!$G:$G,MATCH(1,('[1]PROSES ENJEKSİYON'!$A:$A=$AB$2)*('[1]PROSES ENJEKSİYON'!$F:$F=A9),0)),"")</f>
        <v/>
      </c>
      <c r="AC9" s="32" t="str" cm="1">
        <f t="array" ref="AC9">IFERROR(INDEX('[1]PROSES ENJEKSİYON'!$J:$J,MATCH(1,('[1]PROSES ENJEKSİYON'!$A:$A=$AB$2)*('[1]PROSES ENJEKSİYON'!$F:$F=M9),0)),"")</f>
        <v/>
      </c>
      <c r="AD9" s="32" t="str" cm="1">
        <f t="array" ref="AD9">IFERROR(INDEX('[1]PROSES ENJEKSİYON'!$K:$K,MATCH(1,('[1]PROSES ENJEKSİYON'!$A:$A=$AD$2)*('[1]PROSES ENJEKSİYON'!$F:$F=M9),0)),"")</f>
        <v/>
      </c>
      <c r="AE9" s="35" t="str" cm="1">
        <f t="array" ref="AE9">IFERROR(INDEX('[1]PROSES ENJEKSİYON'!$L:$L,MATCH(1,('[1]PROSES ENJEKSİYON'!$A:$A=$AB$2)*('[1]PROSES ENJEKSİYON'!$F:$F=A9),0)),"")</f>
        <v/>
      </c>
    </row>
    <row r="10" spans="1:31" ht="29.4" hidden="1" customHeight="1" x14ac:dyDescent="0.3">
      <c r="A10" s="67">
        <v>164</v>
      </c>
      <c r="B10" s="31" t="str" cm="1">
        <f t="array" ref="B10">IFERROR(INDEX('[1]PROSES ENJEKSİYON'!$L:$L, MATCH(1,('[1]PROSES ENJEKSİYON'!$A:$A=$B$2)*('[1]PROSES ENJEKSİYON'!$F:$F=A10),0)), "")</f>
        <v/>
      </c>
      <c r="C10" s="31" t="str" cm="1">
        <f t="array" ref="C10">IFERROR(INDEX('[1]PROSES ENJEKSİYON'!$L:$L,MATCH(1,('[1]PROSES ENJEKSİYON'!$A:$A=$C$2)*('[1]PROSES ENJEKSİYON'!$F:$F=A10),0)),"")</f>
        <v/>
      </c>
      <c r="D10" s="31" t="str" cm="1">
        <f t="array" ref="D10">IFERROR(INDEX('[1]PROSES ENJEKSİYON'!$L:$L,MATCH(1,('[1]PROSES ENJEKSİYON'!$A:$A=$D$2)*('[1]PROSES ENJEKSİYON'!$F:$F=A10),0)),"")</f>
        <v/>
      </c>
      <c r="E10" s="31" t="str" cm="1">
        <f t="array" ref="E10">IFERROR(INDEX('[1]PROSES ENJEKSİYON'!$L:$L,MATCH(1,('[1]PROSES ENJEKSİYON'!$A:$A=$E$2)*('[1]PROSES ENJEKSİYON'!$F:$F=A10),0)),"")</f>
        <v/>
      </c>
      <c r="F10" s="31" t="str" cm="1">
        <f t="array" ref="F10">IFERROR(INDEX('[1]PROSES ENJEKSİYON'!$L:$L,MATCH(1,('[1]PROSES ENJEKSİYON'!$A:$A=$F$2)*('[1]PROSES ENJEKSİYON'!$F:$F=A10),0)),"")</f>
        <v/>
      </c>
      <c r="G10" s="31" t="str" cm="1">
        <f t="array" ref="G10">IFERROR(INDEX('[1]PROSES ENJEKSİYON'!$L:$L,MATCH(1,('[1]PROSES ENJEKSİYON'!$A:$A=$G$2)*('[1]PROSES ENJEKSİYON'!$F:$F=A10),0)),"")</f>
        <v/>
      </c>
      <c r="H10" s="53" t="str" cm="1">
        <f t="array" ref="H10">IFERROR(INDEX('[1]PROSES ENJEKSİYON'!$G:$G,MATCH(1,('[1]PROSES ENJEKSİYON'!$A:$A=$H$2)*('[1]PROSES ENJEKSİYON'!$F:$F=A10),0)),"")</f>
        <v/>
      </c>
      <c r="I10" s="64" t="str" cm="1">
        <f t="array" ref="I10">IFERROR(INDEX('[1]PROSES ENJEKSİYON'!$J:$J,MATCH(1,('[1]PROSES ENJEKSİYON'!$A:$A=$H$2)*('[1]PROSES ENJEKSİYON'!$F:$F=A10),0)),"")</f>
        <v/>
      </c>
      <c r="J10" s="64" t="str" cm="1">
        <f t="array" ref="J10">IFERROR(INDEX('[1]PROSES ENJEKSİYON'!$K:$K,MATCH(1,('[1]PROSES ENJEKSİYON'!$A:$A=$H$2)*('[1]PROSES ENJEKSİYON'!$F:$F=A10),0)),"")</f>
        <v/>
      </c>
      <c r="K10" s="44" t="str" cm="1">
        <f t="array" ref="K10">IFERROR(INDEX('[1]PROSES ENJEKSİYON'!$L:$L,MATCH(1,('[1]PROSES ENJEKSİYON'!$A:$A=$H$2)*('[1]PROSES ENJEKSİYON'!$F:$F=A10),0)),"")</f>
        <v/>
      </c>
      <c r="L10" s="65" t="str" cm="1">
        <f t="array" ref="L10">IFERROR(INDEX('[1]PROSES ENJEKSİYON'!$G:$G,MATCH(1,('[1]PROSES ENJEKSİYON'!$A:$A=$L$2)*('[1]PROSES ENJEKSİYON'!$F:$F=A10),0)),"")</f>
        <v/>
      </c>
      <c r="M10" s="64" t="str" cm="1">
        <f t="array" ref="M10">IFERROR(INDEX('[1]PROSES ENJEKSİYON'!$J:$J,MATCH(1,('[1]PROSES ENJEKSİYON'!$A:$A=$L$2)*('[1]PROSES ENJEKSİYON'!$F:$F=A10),0)),"")</f>
        <v/>
      </c>
      <c r="N10" s="64" t="str" cm="1">
        <f t="array" ref="N10">IFERROR(INDEX('[1]PROSES ENJEKSİYON'!$K:$K,MATCH(1,('[1]PROSES ENJEKSİYON'!$A:$A=$L$2)*('[1]PROSES ENJEKSİYON'!$F:$F=A10),0)),"")</f>
        <v/>
      </c>
      <c r="O10" s="44" t="str" cm="1">
        <f t="array" ref="O10">IFERROR(INDEX('[1]PROSES ENJEKSİYON'!$L:$L,MATCH(1,('[1]PROSES ENJEKSİYON'!$A:$A=$L$2)*('[1]PROSES ENJEKSİYON'!$F:$F=A10),0)),"")</f>
        <v/>
      </c>
      <c r="P10" s="52" t="str" cm="1">
        <f t="array" ref="P10">IFERROR(INDEX('[1]PROSES ENJEKSİYON'!$G:$G,MATCH(1,('[1]PROSES ENJEKSİYON'!$A:$A=$P$2)*('[1]PROSES ENJEKSİYON'!$F:$F=A10),0)),"")</f>
        <v>MM-PET0014-01-028Y-052 - PET0014-01 1000ML SEFFAF SEFFAF 28MM YIVLI 52GR</v>
      </c>
      <c r="Q10" s="64" cm="1">
        <f t="array" ref="Q10">IFERROR(INDEX('[1]PROSES ENJEKSİYON'!$J:$J,MATCH(1,('[1]PROSES ENJEKSİYON'!$A:$A=$P$2)*('[1]PROSES ENJEKSİYON'!$F:$F=A10),0)),"")</f>
        <v>2</v>
      </c>
      <c r="R10" s="64" cm="1">
        <f t="array" ref="R10">IFERROR(INDEX('[1]PROSES ENJEKSİYON'!$K:$K,MATCH(1,('[1]PROSES ENJEKSİYON'!$A:$A=$P$2)*('[1]PROSES ENJEKSİYON'!$F:$F=A10),0)),"")</f>
        <v>2</v>
      </c>
      <c r="S10" s="44" cm="1">
        <f t="array" ref="S10">IFERROR(INDEX('[1]PROSES ENJEKSİYON'!$L:$L,MATCH(1,('[1]PROSES ENJEKSİYON'!$A:$A=$P$2)*('[1]PROSES ENJEKSİYON'!$F:$F=A10),0)),"")</f>
        <v>23.99</v>
      </c>
      <c r="T10" s="52" t="str" cm="1">
        <f t="array" ref="T10">IFERROR(INDEX('[1]PROSES ENJEKSİYON'!$G:$G,MATCH(1,('[1]PROSES ENJEKSİYON'!$A:$A=$T$2)*('[1]PROSES ENJEKSİYON'!$F:$F=A10),0)),"")</f>
        <v/>
      </c>
      <c r="U10" s="64" t="str" cm="1">
        <f t="array" ref="U10">IFERROR(INDEX('[1]PROSES ENJEKSİYON'!$J:$J,MATCH(1,('[1]PROSES ENJEKSİYON'!$A:$A=$T$2)*('[1]PROSES ENJEKSİYON'!$F:$F=A10),0)),"")</f>
        <v/>
      </c>
      <c r="V10" s="64" t="str" cm="1">
        <f t="array" ref="V10">IFERROR(INDEX('[1]PROSES ENJEKSİYON'!$K:$K,MATCH(1,('[1]PROSES ENJEKSİYON'!$A:$A=$T$2)*('[1]PROSES ENJEKSİYON'!$F:$F=A10),0)),"")</f>
        <v/>
      </c>
      <c r="W10" s="44" t="str" cm="1">
        <f t="array" ref="W10">IFERROR(INDEX('[1]PROSES ENJEKSİYON'!$L:$L,MATCH(1,('[1]PROSES ENJEKSİYON'!$A:$A=$T$2)*('[1]PROSES ENJEKSİYON'!$F:$F=A10),0)),"")</f>
        <v/>
      </c>
      <c r="X10" s="34" t="str" cm="1">
        <f t="array" ref="X10">IFERROR(INDEX('[1]PROSES ENJEKSİYON'!$G:$G,MATCH(1,('[1]PROSES ENJEKSİYON'!$A:$A=$X$2)*('[1]PROSES ENJEKSİYON'!$F:$F=A10),0)),"")</f>
        <v/>
      </c>
      <c r="Y10" s="32" t="str" cm="1">
        <f t="array" ref="Y10">IFERROR(INDEX('[1]PROSES ENJEKSİYON'!$J:$J,MATCH(1,('[1]PROSES ENJEKSİYON'!$A:$A=$X$2)*('[1]PROSES ENJEKSİYON'!$F:$F=A10),0)),"")</f>
        <v/>
      </c>
      <c r="Z10" s="32" t="str" cm="1">
        <f t="array" ref="Z10">IFERROR(INDEX('[1]PROSES ENJEKSİYON'!$K:$K,MATCH(1,('[1]PROSES ENJEKSİYON'!$A:$A=$X$2)*('[1]PROSES ENJEKSİYON'!$F:$F=A10),0)),"")</f>
        <v/>
      </c>
      <c r="AA10" s="35" t="str" cm="1">
        <f t="array" ref="AA10">IFERROR(INDEX('[1]PROSES ENJEKSİYON'!$L:$L,MATCH(1,('[1]PROSES ENJEKSİYON'!$A:$A=$X$2)*('[1]PROSES ENJEKSİYON'!$F:$F=A10),0)),"")</f>
        <v/>
      </c>
      <c r="AB10" s="34" t="str" cm="1">
        <f t="array" ref="AB10">IFERROR(INDEX('[1]PROSES ENJEKSİYON'!$G:$G,MATCH(1,('[1]PROSES ENJEKSİYON'!$A:$A=$AB$2)*('[1]PROSES ENJEKSİYON'!$F:$F=A10),0)),"")</f>
        <v/>
      </c>
      <c r="AC10" s="32" t="str" cm="1">
        <f t="array" ref="AC10">IFERROR(INDEX('[1]PROSES ENJEKSİYON'!$J:$J,MATCH(1,('[1]PROSES ENJEKSİYON'!$A:$A=$AB$2)*('[1]PROSES ENJEKSİYON'!$F:$F=M10),0)),"")</f>
        <v/>
      </c>
      <c r="AD10" s="32" t="str" cm="1">
        <f t="array" ref="AD10">IFERROR(INDEX('[1]PROSES ENJEKSİYON'!$K:$K,MATCH(1,('[1]PROSES ENJEKSİYON'!$A:$A=$AD$2)*('[1]PROSES ENJEKSİYON'!$F:$F=M10),0)),"")</f>
        <v/>
      </c>
      <c r="AE10" s="35" t="str" cm="1">
        <f t="array" ref="AE10">IFERROR(INDEX('[1]PROSES ENJEKSİYON'!$L:$L,MATCH(1,('[1]PROSES ENJEKSİYON'!$A:$A=$AB$2)*('[1]PROSES ENJEKSİYON'!$F:$F=A10),0)),"")</f>
        <v/>
      </c>
    </row>
    <row r="11" spans="1:31" ht="29.4" hidden="1" customHeight="1" x14ac:dyDescent="0.3">
      <c r="A11" s="67">
        <v>181</v>
      </c>
      <c r="B11" s="31" t="str" cm="1">
        <f t="array" ref="B11">IFERROR(INDEX('[1]PROSES ENJEKSİYON'!$L:$L, MATCH(1,('[1]PROSES ENJEKSİYON'!$A:$A=$B$2)*('[1]PROSES ENJEKSİYON'!$F:$F=A11),0)), "")</f>
        <v/>
      </c>
      <c r="C11" s="31" t="str" cm="1">
        <f t="array" ref="C11">IFERROR(INDEX('[1]PROSES ENJEKSİYON'!$L:$L,MATCH(1,('[1]PROSES ENJEKSİYON'!$A:$A=$C$2)*('[1]PROSES ENJEKSİYON'!$F:$F=A11),0)),"")</f>
        <v/>
      </c>
      <c r="D11" s="31" t="str" cm="1">
        <f t="array" ref="D11">IFERROR(INDEX('[1]PROSES ENJEKSİYON'!$L:$L,MATCH(1,('[1]PROSES ENJEKSİYON'!$A:$A=$D$2)*('[1]PROSES ENJEKSİYON'!$F:$F=A11),0)),"")</f>
        <v/>
      </c>
      <c r="E11" s="31" t="str" cm="1">
        <f t="array" ref="E11">IFERROR(INDEX('[1]PROSES ENJEKSİYON'!$L:$L,MATCH(1,('[1]PROSES ENJEKSİYON'!$A:$A=$E$2)*('[1]PROSES ENJEKSİYON'!$F:$F=A11),0)),"")</f>
        <v/>
      </c>
      <c r="F11" s="31" t="str" cm="1">
        <f t="array" ref="F11">IFERROR(INDEX('[1]PROSES ENJEKSİYON'!$L:$L,MATCH(1,('[1]PROSES ENJEKSİYON'!$A:$A=$F$2)*('[1]PROSES ENJEKSİYON'!$F:$F=A11),0)),"")</f>
        <v/>
      </c>
      <c r="G11" s="31" t="str" cm="1">
        <f t="array" ref="G11">IFERROR(INDEX('[1]PROSES ENJEKSİYON'!$L:$L,MATCH(1,('[1]PROSES ENJEKSİYON'!$A:$A=$G$2)*('[1]PROSES ENJEKSİYON'!$F:$F=A11),0)),"")</f>
        <v/>
      </c>
      <c r="H11" s="53" t="str" cm="1">
        <f t="array" ref="H11">IFERROR(INDEX('[1]PROSES ENJEKSİYON'!$G:$G,MATCH(1,('[1]PROSES ENJEKSİYON'!$A:$A=$H$2)*('[1]PROSES ENJEKSİYON'!$F:$F=A11),0)),"")</f>
        <v/>
      </c>
      <c r="I11" s="64" t="str" cm="1">
        <f t="array" ref="I11">IFERROR(INDEX('[1]PROSES ENJEKSİYON'!$J:$J,MATCH(1,('[1]PROSES ENJEKSİYON'!$A:$A=$H$2)*('[1]PROSES ENJEKSİYON'!$F:$F=A11),0)),"")</f>
        <v/>
      </c>
      <c r="J11" s="64" t="str" cm="1">
        <f t="array" ref="J11">IFERROR(INDEX('[1]PROSES ENJEKSİYON'!$K:$K,MATCH(1,('[1]PROSES ENJEKSİYON'!$A:$A=$H$2)*('[1]PROSES ENJEKSİYON'!$F:$F=A11),0)),"")</f>
        <v/>
      </c>
      <c r="K11" s="44" t="str" cm="1">
        <f t="array" ref="K11">IFERROR(INDEX('[1]PROSES ENJEKSİYON'!$L:$L,MATCH(1,('[1]PROSES ENJEKSİYON'!$A:$A=$H$2)*('[1]PROSES ENJEKSİYON'!$F:$F=A11),0)),"")</f>
        <v/>
      </c>
      <c r="L11" s="65" t="str" cm="1">
        <f t="array" ref="L11">IFERROR(INDEX('[1]PROSES ENJEKSİYON'!$G:$G,MATCH(1,('[1]PROSES ENJEKSİYON'!$A:$A=$L$2)*('[1]PROSES ENJEKSİYON'!$F:$F=A11),0)),"")</f>
        <v/>
      </c>
      <c r="M11" s="64" t="str" cm="1">
        <f t="array" ref="M11">IFERROR(INDEX('[1]PROSES ENJEKSİYON'!$J:$J,MATCH(1,('[1]PROSES ENJEKSİYON'!$A:$A=$L$2)*('[1]PROSES ENJEKSİYON'!$F:$F=A11),0)),"")</f>
        <v/>
      </c>
      <c r="N11" s="64" t="str" cm="1">
        <f t="array" ref="N11">IFERROR(INDEX('[1]PROSES ENJEKSİYON'!$K:$K,MATCH(1,('[1]PROSES ENJEKSİYON'!$A:$A=$L$2)*('[1]PROSES ENJEKSİYON'!$F:$F=A11),0)),"")</f>
        <v/>
      </c>
      <c r="O11" s="44" t="str" cm="1">
        <f t="array" ref="O11">IFERROR(INDEX('[1]PROSES ENJEKSİYON'!$L:$L,MATCH(1,('[1]PROSES ENJEKSİYON'!$A:$A=$L$2)*('[1]PROSES ENJEKSİYON'!$F:$F=A11),0)),"")</f>
        <v/>
      </c>
      <c r="P11" s="52" t="str" cm="1">
        <f t="array" ref="P11">IFERROR(INDEX('[1]PROSES ENJEKSİYON'!$G:$G,MATCH(1,('[1]PROSES ENJEKSİYON'!$A:$A=$P$2)*('[1]PROSES ENJEKSİYON'!$F:$F=A11),0)),"")</f>
        <v/>
      </c>
      <c r="Q11" s="64" t="str" cm="1">
        <f t="array" ref="Q11">IFERROR(INDEX('[1]PROSES ENJEKSİYON'!$J:$J,MATCH(1,('[1]PROSES ENJEKSİYON'!$A:$A=$P$2)*('[1]PROSES ENJEKSİYON'!$F:$F=A11),0)),"")</f>
        <v/>
      </c>
      <c r="R11" s="64" t="str" cm="1">
        <f t="array" ref="R11">IFERROR(INDEX('[1]PROSES ENJEKSİYON'!$K:$K,MATCH(1,('[1]PROSES ENJEKSİYON'!$A:$A=$P$2)*('[1]PROSES ENJEKSİYON'!$F:$F=A11),0)),"")</f>
        <v/>
      </c>
      <c r="S11" s="44" t="str" cm="1">
        <f t="array" ref="S11">IFERROR(INDEX('[1]PROSES ENJEKSİYON'!$L:$L,MATCH(1,('[1]PROSES ENJEKSİYON'!$A:$A=$P$2)*('[1]PROSES ENJEKSİYON'!$F:$F=A11),0)),"")</f>
        <v/>
      </c>
      <c r="T11" s="52" t="str" cm="1">
        <f t="array" ref="T11">IFERROR(INDEX('[1]PROSES ENJEKSİYON'!$G:$G,MATCH(1,('[1]PROSES ENJEKSİYON'!$A:$A=$T$2)*('[1]PROSES ENJEKSİYON'!$F:$F=A11),0)),"")</f>
        <v/>
      </c>
      <c r="U11" s="64" t="str" cm="1">
        <f t="array" ref="U11">IFERROR(INDEX('[1]PROSES ENJEKSİYON'!$J:$J,MATCH(1,('[1]PROSES ENJEKSİYON'!$A:$A=$T$2)*('[1]PROSES ENJEKSİYON'!$F:$F=A11),0)),"")</f>
        <v/>
      </c>
      <c r="V11" s="64" t="str" cm="1">
        <f t="array" ref="V11">IFERROR(INDEX('[1]PROSES ENJEKSİYON'!$K:$K,MATCH(1,('[1]PROSES ENJEKSİYON'!$A:$A=$T$2)*('[1]PROSES ENJEKSİYON'!$F:$F=A11),0)),"")</f>
        <v/>
      </c>
      <c r="W11" s="44" t="str" cm="1">
        <f t="array" ref="W11">IFERROR(INDEX('[1]PROSES ENJEKSİYON'!$L:$L,MATCH(1,('[1]PROSES ENJEKSİYON'!$A:$A=$T$2)*('[1]PROSES ENJEKSİYON'!$F:$F=A11),0)),"")</f>
        <v/>
      </c>
      <c r="X11" s="54" t="str" cm="1">
        <f t="array" ref="X11">IFERROR(INDEX('[1]PROSES ENJEKSİYON'!$G:$G,MATCH(1,('[1]PROSES ENJEKSİYON'!$A:$A=$X$2)*('[1]PROSES ENJEKSİYON'!$F:$F=A11),0)),"")</f>
        <v/>
      </c>
      <c r="Y11" s="64" t="str" cm="1">
        <f t="array" ref="Y11">IFERROR(INDEX('[1]PROSES ENJEKSİYON'!$J:$J,MATCH(1,('[1]PROSES ENJEKSİYON'!$A:$A=$X$2)*('[1]PROSES ENJEKSİYON'!$F:$F=A11),0)),"")</f>
        <v/>
      </c>
      <c r="Z11" s="64" t="str" cm="1">
        <f t="array" ref="Z11">IFERROR(INDEX('[1]PROSES ENJEKSİYON'!$K:$K,MATCH(1,('[1]PROSES ENJEKSİYON'!$A:$A=$X$2)*('[1]PROSES ENJEKSİYON'!$F:$F=A11),0)),"")</f>
        <v/>
      </c>
      <c r="AA11" s="44" t="str" cm="1">
        <f t="array" ref="AA11">IFERROR(INDEX('[1]PROSES ENJEKSİYON'!$L:$L,MATCH(1,('[1]PROSES ENJEKSİYON'!$A:$A=$X$2)*('[1]PROSES ENJEKSİYON'!$F:$F=A11),0)),"")</f>
        <v/>
      </c>
      <c r="AB11" s="34" t="str" cm="1">
        <f t="array" ref="AB11">IFERROR(INDEX('[1]PROSES ENJEKSİYON'!$G:$G,MATCH(1,('[1]PROSES ENJEKSİYON'!$A:$A=$AB$2)*('[1]PROSES ENJEKSİYON'!$F:$F=A11),0)),"")</f>
        <v/>
      </c>
      <c r="AC11" s="32" t="str" cm="1">
        <f t="array" ref="AC11">IFERROR(INDEX('[1]PROSES ENJEKSİYON'!$J:$J,MATCH(1,('[1]PROSES ENJEKSİYON'!$A:$A=$AB$2)*('[1]PROSES ENJEKSİYON'!$F:$F=M11),0)),"")</f>
        <v/>
      </c>
      <c r="AD11" s="32" t="str" cm="1">
        <f t="array" ref="AD11">IFERROR(INDEX('[1]PROSES ENJEKSİYON'!$K:$K,MATCH(1,('[1]PROSES ENJEKSİYON'!$A:$A=$AD$2)*('[1]PROSES ENJEKSİYON'!$F:$F=M11),0)),"")</f>
        <v/>
      </c>
      <c r="AE11" s="35" t="str" cm="1">
        <f t="array" ref="AE11">IFERROR(INDEX('[1]PROSES ENJEKSİYON'!$L:$L,MATCH(1,('[1]PROSES ENJEKSİYON'!$A:$A=$AB$2)*('[1]PROSES ENJEKSİYON'!$F:$F=A11),0)),"")</f>
        <v/>
      </c>
    </row>
    <row r="12" spans="1:31" ht="29.4" hidden="1" customHeight="1" x14ac:dyDescent="0.3">
      <c r="A12" s="76">
        <v>182</v>
      </c>
      <c r="B12" s="31" t="str" cm="1">
        <f t="array" ref="B12">IFERROR(INDEX('[1]PROSES ENJEKSİYON'!$L:$L, MATCH(1,('[1]PROSES ENJEKSİYON'!$A:$A=$B$2)*('[1]PROSES ENJEKSİYON'!$F:$F=A12),0)), "")</f>
        <v/>
      </c>
      <c r="C12" s="31" t="str" cm="1">
        <f t="array" ref="C12">IFERROR(INDEX('[1]PROSES ENJEKSİYON'!$L:$L,MATCH(1,('[1]PROSES ENJEKSİYON'!$A:$A=$C$2)*('[1]PROSES ENJEKSİYON'!$F:$F=A12),0)),"")</f>
        <v/>
      </c>
      <c r="D12" s="31" t="str" cm="1">
        <f t="array" ref="D12">IFERROR(INDEX('[1]PROSES ENJEKSİYON'!$L:$L,MATCH(1,('[1]PROSES ENJEKSİYON'!$A:$A=$D$2)*('[1]PROSES ENJEKSİYON'!$F:$F=A12),0)),"")</f>
        <v/>
      </c>
      <c r="E12" s="31" t="str" cm="1">
        <f t="array" ref="E12">IFERROR(INDEX('[1]PROSES ENJEKSİYON'!$L:$L,MATCH(1,('[1]PROSES ENJEKSİYON'!$A:$A=$E$2)*('[1]PROSES ENJEKSİYON'!$F:$F=A12),0)),"")</f>
        <v/>
      </c>
      <c r="F12" s="31" t="str" cm="1">
        <f t="array" ref="F12">IFERROR(INDEX('[1]PROSES ENJEKSİYON'!$L:$L,MATCH(1,('[1]PROSES ENJEKSİYON'!$A:$A=$F$2)*('[1]PROSES ENJEKSİYON'!$F:$F=A12),0)),"")</f>
        <v/>
      </c>
      <c r="G12" s="31" t="str" cm="1">
        <f t="array" ref="G12">IFERROR(INDEX('[1]PROSES ENJEKSİYON'!$L:$L,MATCH(1,('[1]PROSES ENJEKSİYON'!$A:$A=$G$2)*('[1]PROSES ENJEKSİYON'!$F:$F=A12),0)),"")</f>
        <v/>
      </c>
      <c r="H12" s="53" t="str" cm="1">
        <f t="array" ref="H12">IFERROR(INDEX('[1]PROSES ENJEKSİYON'!$G:$G,MATCH(1,('[1]PROSES ENJEKSİYON'!$A:$A=$H$2)*('[1]PROSES ENJEKSİYON'!$F:$F=A12),0)),"")</f>
        <v/>
      </c>
      <c r="I12" s="64" t="str" cm="1">
        <f t="array" ref="I12">IFERROR(INDEX('[1]PROSES ENJEKSİYON'!$J:$J,MATCH(1,('[1]PROSES ENJEKSİYON'!$A:$A=$H$2)*('[1]PROSES ENJEKSİYON'!$F:$F=A12),0)),"")</f>
        <v/>
      </c>
      <c r="J12" s="64" t="str" cm="1">
        <f t="array" ref="J12">IFERROR(INDEX('[1]PROSES ENJEKSİYON'!$K:$K,MATCH(1,('[1]PROSES ENJEKSİYON'!$A:$A=$H$2)*('[1]PROSES ENJEKSİYON'!$F:$F=A12),0)),"")</f>
        <v/>
      </c>
      <c r="K12" s="44" t="str" cm="1">
        <f t="array" ref="K12">IFERROR(INDEX('[1]PROSES ENJEKSİYON'!$L:$L,MATCH(1,('[1]PROSES ENJEKSİYON'!$A:$A=$H$2)*('[1]PROSES ENJEKSİYON'!$F:$F=A12),0)),"")</f>
        <v/>
      </c>
      <c r="L12" s="65" t="str" cm="1">
        <f t="array" ref="L12">IFERROR(INDEX('[1]PROSES ENJEKSİYON'!$G:$G,MATCH(1,('[1]PROSES ENJEKSİYON'!$A:$A=$L$2)*('[1]PROSES ENJEKSİYON'!$F:$F=A12),0)),"")</f>
        <v/>
      </c>
      <c r="M12" s="64" t="str" cm="1">
        <f t="array" ref="M12">IFERROR(INDEX('[1]PROSES ENJEKSİYON'!$J:$J,MATCH(1,('[1]PROSES ENJEKSİYON'!$A:$A=$L$2)*('[1]PROSES ENJEKSİYON'!$F:$F=A12),0)),"")</f>
        <v/>
      </c>
      <c r="N12" s="64" t="str" cm="1">
        <f t="array" ref="N12">IFERROR(INDEX('[1]PROSES ENJEKSİYON'!$K:$K,MATCH(1,('[1]PROSES ENJEKSİYON'!$A:$A=$L$2)*('[1]PROSES ENJEKSİYON'!$F:$F=A12),0)),"")</f>
        <v/>
      </c>
      <c r="O12" s="44" t="str" cm="1">
        <f t="array" ref="O12">IFERROR(INDEX('[1]PROSES ENJEKSİYON'!$L:$L,MATCH(1,('[1]PROSES ENJEKSİYON'!$A:$A=$L$2)*('[1]PROSES ENJEKSİYON'!$F:$F=A12),0)),"")</f>
        <v/>
      </c>
      <c r="P12" s="52" t="str" cm="1">
        <f t="array" ref="P12">IFERROR(INDEX('[1]PROSES ENJEKSİYON'!$G:$G,MATCH(1,('[1]PROSES ENJEKSİYON'!$A:$A=$P$2)*('[1]PROSES ENJEKSİYON'!$F:$F=A12),0)),"")</f>
        <v>MM-PET0170-01-028Y-026 - PET0170-01 400ML SEFFAF YESIL 28MM YIVLI 26GR</v>
      </c>
      <c r="Q12" s="64" cm="1">
        <f t="array" ref="Q12">IFERROR(INDEX('[1]PROSES ENJEKSİYON'!$J:$J,MATCH(1,('[1]PROSES ENJEKSİYON'!$A:$A=$P$2)*('[1]PROSES ENJEKSİYON'!$F:$F=A12),0)),"")</f>
        <v>4</v>
      </c>
      <c r="R12" s="64" cm="1">
        <f t="array" ref="R12">IFERROR(INDEX('[1]PROSES ENJEKSİYON'!$K:$K,MATCH(1,('[1]PROSES ENJEKSİYON'!$A:$A=$P$2)*('[1]PROSES ENJEKSİYON'!$F:$F=A12),0)),"")</f>
        <v>4</v>
      </c>
      <c r="S12" s="44" cm="1">
        <f t="array" ref="S12">IFERROR(INDEX('[1]PROSES ENJEKSİYON'!$L:$L,MATCH(1,('[1]PROSES ENJEKSİYON'!$A:$A=$P$2)*('[1]PROSES ENJEKSİYON'!$F:$F=A12),0)),"")</f>
        <v>14.05</v>
      </c>
      <c r="T12" s="52" t="str" cm="1">
        <f t="array" ref="T12">IFERROR(INDEX('[1]PROSES ENJEKSİYON'!$G:$G,MATCH(1,('[1]PROSES ENJEKSİYON'!$A:$A=$T$2)*('[1]PROSES ENJEKSİYON'!$F:$F=A12),0)),"")</f>
        <v>PET0170-01 400ML SEFFAF YESIL 28MM YIVLI 26GR</v>
      </c>
      <c r="U12" s="64" cm="1">
        <f t="array" ref="U12">IFERROR(INDEX('[1]PROSES ENJEKSİYON'!$J:$J,MATCH(1,('[1]PROSES ENJEKSİYON'!$A:$A=$T$2)*('[1]PROSES ENJEKSİYON'!$F:$F=A12),0)),"")</f>
        <v>4</v>
      </c>
      <c r="V12" s="64" cm="1">
        <f t="array" ref="V12">IFERROR(INDEX('[1]PROSES ENJEKSİYON'!$K:$K,MATCH(1,('[1]PROSES ENJEKSİYON'!$A:$A=$T$2)*('[1]PROSES ENJEKSİYON'!$F:$F=A12),0)),"")</f>
        <v>4</v>
      </c>
      <c r="W12" s="44" cm="1">
        <f t="array" ref="W12">IFERROR(INDEX('[1]PROSES ENJEKSİYON'!$L:$L,MATCH(1,('[1]PROSES ENJEKSİYON'!$A:$A=$T$2)*('[1]PROSES ENJEKSİYON'!$F:$F=A12),0)),"")</f>
        <v>14.05</v>
      </c>
      <c r="X12" s="54" t="str" cm="1">
        <f t="array" ref="X12">IFERROR(INDEX('[1]PROSES ENJEKSİYON'!$G:$G,MATCH(1,('[1]PROSES ENJEKSİYON'!$A:$A=$X$2)*('[1]PROSES ENJEKSİYON'!$F:$F=A12),0)),"")</f>
        <v/>
      </c>
      <c r="Y12" s="64" t="str" cm="1">
        <f t="array" ref="Y12">IFERROR(INDEX('[1]PROSES ENJEKSİYON'!$J:$J,MATCH(1,('[1]PROSES ENJEKSİYON'!$A:$A=$X$2)*('[1]PROSES ENJEKSİYON'!$F:$F=A12),0)),"")</f>
        <v/>
      </c>
      <c r="Z12" s="64" t="str" cm="1">
        <f t="array" ref="Z12">IFERROR(INDEX('[1]PROSES ENJEKSİYON'!$K:$K,MATCH(1,('[1]PROSES ENJEKSİYON'!$A:$A=$X$2)*('[1]PROSES ENJEKSİYON'!$F:$F=A12),0)),"")</f>
        <v/>
      </c>
      <c r="AA12" s="44" t="str" cm="1">
        <f t="array" ref="AA12">IFERROR(INDEX('[1]PROSES ENJEKSİYON'!$L:$L,MATCH(1,('[1]PROSES ENJEKSİYON'!$A:$A=$X$2)*('[1]PROSES ENJEKSİYON'!$F:$F=A12),0)),"")</f>
        <v/>
      </c>
      <c r="AB12" s="34" t="str" cm="1">
        <f t="array" ref="AB12">IFERROR(INDEX('[1]PROSES ENJEKSİYON'!$G:$G,MATCH(1,('[1]PROSES ENJEKSİYON'!$A:$A=$AB$2)*('[1]PROSES ENJEKSİYON'!$F:$F=A12),0)),"")</f>
        <v/>
      </c>
      <c r="AC12" s="32" t="str" cm="1">
        <f t="array" ref="AC12">IFERROR(INDEX('[1]PROSES ENJEKSİYON'!$J:$J,MATCH(1,('[1]PROSES ENJEKSİYON'!$A:$A=$AB$2)*('[1]PROSES ENJEKSİYON'!$F:$F=M12),0)),"")</f>
        <v/>
      </c>
      <c r="AD12" s="32" t="str" cm="1">
        <f t="array" ref="AD12">IFERROR(INDEX('[1]PROSES ENJEKSİYON'!$K:$K,MATCH(1,('[1]PROSES ENJEKSİYON'!$A:$A=$AD$2)*('[1]PROSES ENJEKSİYON'!$F:$F=M12),0)),"")</f>
        <v/>
      </c>
      <c r="AE12" s="35" t="str" cm="1">
        <f t="array" ref="AE12">IFERROR(INDEX('[1]PROSES ENJEKSİYON'!$L:$L,MATCH(1,('[1]PROSES ENJEKSİYON'!$A:$A=$AB$2)*('[1]PROSES ENJEKSİYON'!$F:$F=A12),0)),"")</f>
        <v/>
      </c>
    </row>
    <row r="13" spans="1:31" ht="46.95" customHeight="1" x14ac:dyDescent="0.4">
      <c r="A13" s="77">
        <v>401</v>
      </c>
      <c r="B13" s="78" t="str" cm="1">
        <f t="array" ref="B13">IFERROR(INDEX('[1]PROSES ENJEKSİYON'!$L:$L, MATCH(1,('[1]PROSES ENJEKSİYON'!$A:$A=$B$2)*('[1]PROSES ENJEKSİYON'!$F:$F=A13),0)), "")</f>
        <v/>
      </c>
      <c r="C13" s="78" cm="1">
        <f t="array" ref="C13">IFERROR(INDEX('[1]PROSES ENJEKSİYON'!$L:$L,MATCH(1,('[1]PROSES ENJEKSİYON'!$A:$A=$C$2)*('[1]PROSES ENJEKSİYON'!$F:$F=A13),0)),"")</f>
        <v>10.09</v>
      </c>
      <c r="D13" s="78" t="str" cm="1">
        <f t="array" ref="D13">IFERROR(INDEX('[1]PROSES ENJEKSİYON'!$L:$L,MATCH(1,('[1]PROSES ENJEKSİYON'!$A:$A=$D$2)*('[1]PROSES ENJEKSİYON'!$F:$F=A13),0)),"")</f>
        <v/>
      </c>
      <c r="E13" s="78" t="str" cm="1">
        <f t="array" ref="E13">IFERROR(INDEX('[1]PROSES ENJEKSİYON'!$L:$L,MATCH(1,('[1]PROSES ENJEKSİYON'!$A:$A=$E$2)*('[1]PROSES ENJEKSİYON'!$F:$F=A13),0)),"")</f>
        <v/>
      </c>
      <c r="F13" s="78" t="str" cm="1">
        <f t="array" ref="F13">IFERROR(INDEX('[1]PROSES ENJEKSİYON'!$L:$L,MATCH(1,('[1]PROSES ENJEKSİYON'!$A:$A=$F$2)*('[1]PROSES ENJEKSİYON'!$F:$F=A13),0)),"")</f>
        <v/>
      </c>
      <c r="G13" s="78" cm="1">
        <f t="array" ref="G13">IFERROR(INDEX('[1]PROSES ENJEKSİYON'!$L:$L,MATCH(1,('[1]PROSES ENJEKSİYON'!$A:$A=$G$2)*('[1]PROSES ENJEKSİYON'!$F:$F=A13),0)),"")</f>
        <v>8.3000000000000007</v>
      </c>
      <c r="H13" s="79" t="str" cm="1">
        <f t="array" ref="H13">IFERROR(INDEX('[1]PROSES ENJEKSİYON'!$G:$G,MATCH(1,('[1]PROSES ENJEKSİYON'!$A:$A=$H$2)*('[1]PROSES ENJEKSİYON'!$F:$F=A13),0)),"")</f>
        <v/>
      </c>
      <c r="I13" s="57" t="str" cm="1">
        <f t="array" ref="I13">IFERROR(INDEX('[1]PROSES ENJEKSİYON'!$J:$J,MATCH(1,('[1]PROSES ENJEKSİYON'!$A:$A=$H$2)*('[1]PROSES ENJEKSİYON'!$F:$F=A13),0)),"")</f>
        <v/>
      </c>
      <c r="J13" s="57" t="str" cm="1">
        <f t="array" ref="J13">IFERROR(INDEX('[1]PROSES ENJEKSİYON'!$K:$K,MATCH(1,('[1]PROSES ENJEKSİYON'!$A:$A=$H$2)*('[1]PROSES ENJEKSİYON'!$F:$F=A13),0)),"")</f>
        <v/>
      </c>
      <c r="K13" s="58" t="str" cm="1">
        <f t="array" ref="K13">IFERROR(INDEX('[1]PROSES ENJEKSİYON'!$L:$L,MATCH(1,('[1]PROSES ENJEKSİYON'!$A:$A=$H$2)*('[1]PROSES ENJEKSİYON'!$F:$F=A13),0)),"")</f>
        <v/>
      </c>
      <c r="L13" s="80" t="str" cm="1">
        <f t="array" ref="L13">IFERROR(INDEX('[1]PROSES ENJEKSİYON'!$G:$G,MATCH(1,('[1]PROSES ENJEKSİYON'!$A:$A=$L$2)*('[1]PROSES ENJEKSİYON'!$F:$F=A13),0)),"")</f>
        <v/>
      </c>
      <c r="M13" s="57" t="str" cm="1">
        <f t="array" ref="M13">IFERROR(INDEX('[1]PROSES ENJEKSİYON'!$J:$J,MATCH(1,('[1]PROSES ENJEKSİYON'!$A:$A=$L$2)*('[1]PROSES ENJEKSİYON'!$F:$F=A13),0)),"")</f>
        <v/>
      </c>
      <c r="N13" s="57" t="str" cm="1">
        <f t="array" ref="N13">IFERROR(INDEX('[1]PROSES ENJEKSİYON'!$K:$K,MATCH(1,('[1]PROSES ENJEKSİYON'!$A:$A=$L$2)*('[1]PROSES ENJEKSİYON'!$F:$F=A13),0)),"")</f>
        <v/>
      </c>
      <c r="O13" s="58" t="str" cm="1">
        <f t="array" ref="O13">IFERROR(INDEX('[1]PROSES ENJEKSİYON'!$L:$L,MATCH(1,('[1]PROSES ENJEKSİYON'!$A:$A=$L$2)*('[1]PROSES ENJEKSİYON'!$F:$F=A13),0)),"")</f>
        <v/>
      </c>
      <c r="P13" s="81" t="str" cm="1">
        <f t="array" ref="P13">IFERROR(INDEX('[1]PROSES ENJEKSİYON'!$G:$G,MATCH(1,('[1]PROSES ENJEKSİYON'!$A:$A=$P$2)*('[1]PROSES ENJEKSİYON'!$F:$F=A13),0)),"")</f>
        <v/>
      </c>
      <c r="Q13" s="57" t="str" cm="1">
        <f t="array" ref="Q13">IFERROR(INDEX('[1]PROSES ENJEKSİYON'!$J:$J,MATCH(1,('[1]PROSES ENJEKSİYON'!$A:$A=$P$2)*('[1]PROSES ENJEKSİYON'!$F:$F=A13),0)),"")</f>
        <v/>
      </c>
      <c r="R13" s="57" t="str" cm="1">
        <f t="array" ref="R13">IFERROR(INDEX('[1]PROSES ENJEKSİYON'!$K:$K,MATCH(1,('[1]PROSES ENJEKSİYON'!$A:$A=$P$2)*('[1]PROSES ENJEKSİYON'!$F:$F=A13),0)),"")</f>
        <v/>
      </c>
      <c r="S13" s="58" t="str" cm="1">
        <f t="array" ref="S13">IFERROR(INDEX('[1]PROSES ENJEKSİYON'!$L:$L,MATCH(1,('[1]PROSES ENJEKSİYON'!$A:$A=$P$2)*('[1]PROSES ENJEKSİYON'!$F:$F=A13),0)),"")</f>
        <v/>
      </c>
      <c r="T13" s="79" t="str" cm="1">
        <f t="array" ref="T13">IFERROR(INDEX('[1]PROSES ENJEKSİYON'!$G:$G,MATCH(1,('[1]PROSES ENJEKSİYON'!$A:$A=$T$2)*('[1]PROSES ENJEKSİYON'!$F:$F=A13),0)),"")</f>
        <v/>
      </c>
      <c r="U13" s="57" t="str" cm="1">
        <f t="array" ref="U13">IFERROR(INDEX('[1]PROSES ENJEKSİYON'!$J:$J,MATCH(1,('[1]PROSES ENJEKSİYON'!$A:$A=$T$2)*('[1]PROSES ENJEKSİYON'!$F:$F=A13),0)),"")</f>
        <v/>
      </c>
      <c r="V13" s="57" t="str" cm="1">
        <f t="array" ref="V13">IFERROR(INDEX('[1]PROSES ENJEKSİYON'!$K:$K,MATCH(1,('[1]PROSES ENJEKSİYON'!$A:$A=$T$2)*('[1]PROSES ENJEKSİYON'!$F:$F=A13),0)),"")</f>
        <v/>
      </c>
      <c r="W13" s="58" t="str" cm="1">
        <f t="array" ref="W13">IFERROR(INDEX('[1]PROSES ENJEKSİYON'!$L:$L,MATCH(1,('[1]PROSES ENJEKSİYON'!$A:$A=$T$2)*('[1]PROSES ENJEKSİYON'!$F:$F=A13),0)),"")</f>
        <v/>
      </c>
      <c r="X13" s="81" t="str" cm="1">
        <f t="array" ref="X13">IFERROR(INDEX('[1]PROSES ENJEKSİYON'!$G:$G,MATCH(1,('[1]PROSES ENJEKSİYON'!$A:$A=$X$2)*('[1]PROSES ENJEKSİYON'!$F:$F=A13),0)),"")</f>
        <v/>
      </c>
      <c r="Y13" s="57" t="str" cm="1">
        <f t="array" ref="Y13">IFERROR(INDEX('[1]PROSES ENJEKSİYON'!$J:$J,MATCH(1,('[1]PROSES ENJEKSİYON'!$A:$A=$X$2)*('[1]PROSES ENJEKSİYON'!$F:$F=A13),0)),"")</f>
        <v/>
      </c>
      <c r="Z13" s="57" t="str" cm="1">
        <f t="array" ref="Z13">IFERROR(INDEX('[1]PROSES ENJEKSİYON'!$K:$K,MATCH(1,('[1]PROSES ENJEKSİYON'!$A:$A=$X$2)*('[1]PROSES ENJEKSİYON'!$F:$F=A13),0)),"")</f>
        <v/>
      </c>
      <c r="AA13" s="58" t="str" cm="1">
        <f t="array" ref="AA13">IFERROR(INDEX('[1]PROSES ENJEKSİYON'!$L:$L,MATCH(1,('[1]PROSES ENJEKSİYON'!$A:$A=$X$2)*('[1]PROSES ENJEKSİYON'!$F:$F=A13),0)),"")</f>
        <v/>
      </c>
      <c r="AB13" s="61" t="str" cm="1">
        <f t="array" ref="AB13">IFERROR(INDEX('[1]PROSES ENJEKSİYON'!$G:$G,MATCH(1,('[1]PROSES ENJEKSİYON'!$A:$A=$AB$2)*('[1]PROSES ENJEKSİYON'!$F:$F=A13),0)),"")</f>
        <v/>
      </c>
      <c r="AC13" s="62" t="str" cm="1">
        <f t="array" ref="AC13">IFERROR(INDEX('[1]PROSES ENJEKSİYON'!$J:$J,MATCH(1,('[1]PROSES ENJEKSİYON'!$A:$A=$AB$2)*('[1]PROSES ENJEKSİYON'!$F:$F=M13),0)),"")</f>
        <v/>
      </c>
      <c r="AD13" s="62" t="str" cm="1">
        <f t="array" ref="AD13">IFERROR(INDEX('[1]PROSES ENJEKSİYON'!$K:$K,MATCH(1,('[1]PROSES ENJEKSİYON'!$A:$A=$AD$2)*('[1]PROSES ENJEKSİYON'!$F:$F=M13),0)),"")</f>
        <v/>
      </c>
      <c r="AE13" s="63" t="str" cm="1">
        <f t="array" ref="AE13">IFERROR(INDEX('[1]PROSES ENJEKSİYON'!$L:$L,MATCH(1,('[1]PROSES ENJEKSİYON'!$A:$A=$AB$2)*('[1]PROSES ENJEKSİYON'!$F:$F=A13),0)),"")</f>
        <v/>
      </c>
    </row>
    <row r="14" spans="1:31" ht="46.95" customHeight="1" x14ac:dyDescent="0.4">
      <c r="A14" s="82">
        <v>402</v>
      </c>
      <c r="B14" s="31" t="str" cm="1">
        <f t="array" ref="B14">IFERROR(INDEX('[1]PROSES ENJEKSİYON'!$L:$L, MATCH(1,('[1]PROSES ENJEKSİYON'!$A:$A=$B$2)*('[1]PROSES ENJEKSİYON'!$F:$F=A14),0)), "")</f>
        <v/>
      </c>
      <c r="C14" s="31" t="str" cm="1">
        <f t="array" ref="C14">IFERROR(INDEX('[1]PROSES ENJEKSİYON'!$L:$L,MATCH(1,('[1]PROSES ENJEKSİYON'!$A:$A=$C$2)*('[1]PROSES ENJEKSİYON'!$F:$F=A14),0)),"")</f>
        <v/>
      </c>
      <c r="D14" s="31" t="str" cm="1">
        <f t="array" ref="D14">IFERROR(INDEX('[1]PROSES ENJEKSİYON'!$L:$L,MATCH(1,('[1]PROSES ENJEKSİYON'!$A:$A=$D$2)*('[1]PROSES ENJEKSİYON'!$F:$F=A14),0)),"")</f>
        <v/>
      </c>
      <c r="E14" s="31" t="str" cm="1">
        <f t="array" ref="E14">IFERROR(INDEX('[1]PROSES ENJEKSİYON'!$L:$L,MATCH(1,('[1]PROSES ENJEKSİYON'!$A:$A=$E$2)*('[1]PROSES ENJEKSİYON'!$F:$F=A14),0)),"")</f>
        <v/>
      </c>
      <c r="F14" s="31" t="str" cm="1">
        <f t="array" ref="F14">IFERROR(INDEX('[1]PROSES ENJEKSİYON'!$L:$L,MATCH(1,('[1]PROSES ENJEKSİYON'!$A:$A=$F$2)*('[1]PROSES ENJEKSİYON'!$F:$F=A14),0)),"")</f>
        <v/>
      </c>
      <c r="G14" s="31" t="str" cm="1">
        <f t="array" ref="G14">IFERROR(INDEX('[1]PROSES ENJEKSİYON'!$L:$L,MATCH(1,('[1]PROSES ENJEKSİYON'!$A:$A=$G$2)*('[1]PROSES ENJEKSİYON'!$F:$F=A14),0)),"")</f>
        <v/>
      </c>
      <c r="H14" s="70" t="str" cm="1">
        <f t="array" ref="H14">IFERROR(INDEX('[1]PROSES ENJEKSİYON'!$G:$G,MATCH(1,('[1]PROSES ENJEKSİYON'!$A:$A=$H$2)*('[1]PROSES ENJEKSİYON'!$F:$F=A14),0)),"")</f>
        <v>BLW0011-01 1500ML OPAK BEYAZ 38MM YIVLI 74GR</v>
      </c>
      <c r="I14" s="64" cm="1">
        <f t="array" ref="I14">IFERROR(INDEX('[1]PROSES ENJEKSİYON'!$J:$J,MATCH(1,('[1]PROSES ENJEKSİYON'!$A:$A=$H$2)*('[1]PROSES ENJEKSİYON'!$F:$F=A14),0)),"")</f>
        <v>2</v>
      </c>
      <c r="J14" s="64" cm="1">
        <f t="array" ref="J14">IFERROR(INDEX('[1]PROSES ENJEKSİYON'!$K:$K,MATCH(1,('[1]PROSES ENJEKSİYON'!$A:$A=$H$2)*('[1]PROSES ENJEKSİYON'!$F:$F=A14),0)),"")</f>
        <v>2</v>
      </c>
      <c r="K14" s="44" cm="1">
        <f t="array" ref="K14">IFERROR(INDEX('[1]PROSES ENJEKSİYON'!$L:$L,MATCH(1,('[1]PROSES ENJEKSİYON'!$A:$A=$H$2)*('[1]PROSES ENJEKSİYON'!$F:$F=A14),0)),"")</f>
        <v>8.5</v>
      </c>
      <c r="L14" s="66" t="str" cm="1">
        <f t="array" ref="L14">IFERROR(INDEX('[1]PROSES ENJEKSİYON'!$G:$G,MATCH(1,('[1]PROSES ENJEKSİYON'!$A:$A=$L$2)*('[1]PROSES ENJEKSİYON'!$F:$F=A14),0)),"")</f>
        <v/>
      </c>
      <c r="M14" s="64" t="str" cm="1">
        <f t="array" ref="M14">IFERROR(INDEX('[1]PROSES ENJEKSİYON'!$J:$J,MATCH(1,('[1]PROSES ENJEKSİYON'!$A:$A=$L$2)*('[1]PROSES ENJEKSİYON'!$F:$F=A14),0)),"")</f>
        <v/>
      </c>
      <c r="N14" s="64" t="str" cm="1">
        <f t="array" ref="N14">IFERROR(INDEX('[1]PROSES ENJEKSİYON'!$K:$K,MATCH(1,('[1]PROSES ENJEKSİYON'!$A:$A=$L$2)*('[1]PROSES ENJEKSİYON'!$F:$F=A14),0)),"")</f>
        <v/>
      </c>
      <c r="O14" s="44" t="str" cm="1">
        <f t="array" ref="O14">IFERROR(INDEX('[1]PROSES ENJEKSİYON'!$L:$L,MATCH(1,('[1]PROSES ENJEKSİYON'!$A:$A=$L$2)*('[1]PROSES ENJEKSİYON'!$F:$F=A14),0)),"")</f>
        <v/>
      </c>
      <c r="P14" s="68" t="str" cm="1">
        <f t="array" ref="P14">IFERROR(INDEX('[1]PROSES ENJEKSİYON'!$G:$G,MATCH(1,('[1]PROSES ENJEKSİYON'!$A:$A=$P$2)*('[1]PROSES ENJEKSİYON'!$F:$F=A14),0)),"")</f>
        <v/>
      </c>
      <c r="Q14" s="64" t="str" cm="1">
        <f t="array" ref="Q14">IFERROR(INDEX('[1]PROSES ENJEKSİYON'!$J:$J,MATCH(1,('[1]PROSES ENJEKSİYON'!$A:$A=$P$2)*('[1]PROSES ENJEKSİYON'!$F:$F=A14),0)),"")</f>
        <v/>
      </c>
      <c r="R14" s="64" t="str" cm="1">
        <f t="array" ref="R14">IFERROR(INDEX('[1]PROSES ENJEKSİYON'!$K:$K,MATCH(1,('[1]PROSES ENJEKSİYON'!$A:$A=$P$2)*('[1]PROSES ENJEKSİYON'!$F:$F=A14),0)),"")</f>
        <v/>
      </c>
      <c r="S14" s="44" t="str" cm="1">
        <f t="array" ref="S14">IFERROR(INDEX('[1]PROSES ENJEKSİYON'!$L:$L,MATCH(1,('[1]PROSES ENJEKSİYON'!$A:$A=$P$2)*('[1]PROSES ENJEKSİYON'!$F:$F=A14),0)),"")</f>
        <v/>
      </c>
      <c r="T14" s="70" t="str" cm="1">
        <f t="array" ref="T14">IFERROR(INDEX('[1]PROSES ENJEKSİYON'!$G:$G,MATCH(1,('[1]PROSES ENJEKSİYON'!$A:$A=$T$2)*('[1]PROSES ENJEKSİYON'!$F:$F=A14),0)),"")</f>
        <v/>
      </c>
      <c r="U14" s="64" t="str" cm="1">
        <f t="array" ref="U14">IFERROR(INDEX('[1]PROSES ENJEKSİYON'!$J:$J,MATCH(1,('[1]PROSES ENJEKSİYON'!$A:$A=$T$2)*('[1]PROSES ENJEKSİYON'!$F:$F=A14),0)),"")</f>
        <v/>
      </c>
      <c r="V14" s="64" t="str" cm="1">
        <f t="array" ref="V14">IFERROR(INDEX('[1]PROSES ENJEKSİYON'!$K:$K,MATCH(1,('[1]PROSES ENJEKSİYON'!$A:$A=$T$2)*('[1]PROSES ENJEKSİYON'!$F:$F=A14),0)),"")</f>
        <v/>
      </c>
      <c r="W14" s="44" t="str" cm="1">
        <f t="array" ref="W14">IFERROR(INDEX('[1]PROSES ENJEKSİYON'!$L:$L,MATCH(1,('[1]PROSES ENJEKSİYON'!$A:$A=$T$2)*('[1]PROSES ENJEKSİYON'!$F:$F=A14),0)),"")</f>
        <v/>
      </c>
      <c r="X14" s="68" t="str" cm="1">
        <f t="array" ref="X14">IFERROR(INDEX('[1]PROSES ENJEKSİYON'!$G:$G,MATCH(1,('[1]PROSES ENJEKSİYON'!$A:$A=$X$2)*('[1]PROSES ENJEKSİYON'!$F:$F=A14),0)),"")</f>
        <v/>
      </c>
      <c r="Y14" s="64" t="str" cm="1">
        <f t="array" ref="Y14">IFERROR(INDEX('[1]PROSES ENJEKSİYON'!$J:$J,MATCH(1,('[1]PROSES ENJEKSİYON'!$A:$A=$X$2)*('[1]PROSES ENJEKSİYON'!$F:$F=A14),0)),"")</f>
        <v/>
      </c>
      <c r="Z14" s="64" t="str" cm="1">
        <f t="array" ref="Z14">IFERROR(INDEX('[1]PROSES ENJEKSİYON'!$K:$K,MATCH(1,('[1]PROSES ENJEKSİYON'!$A:$A=$X$2)*('[1]PROSES ENJEKSİYON'!$F:$F=A14),0)),"")</f>
        <v/>
      </c>
      <c r="AA14" s="44" t="str" cm="1">
        <f t="array" ref="AA14">IFERROR(INDEX('[1]PROSES ENJEKSİYON'!$L:$L,MATCH(1,('[1]PROSES ENJEKSİYON'!$A:$A=$X$2)*('[1]PROSES ENJEKSİYON'!$F:$F=A14),0)),"")</f>
        <v/>
      </c>
      <c r="AB14" s="34" t="str" cm="1">
        <f t="array" ref="AB14">IFERROR(INDEX('[1]PROSES ENJEKSİYON'!$G:$G,MATCH(1,('[1]PROSES ENJEKSİYON'!$A:$A=$AB$2)*('[1]PROSES ENJEKSİYON'!$F:$F=A14),0)),"")</f>
        <v/>
      </c>
      <c r="AC14" s="32" t="str" cm="1">
        <f t="array" ref="AC14">IFERROR(INDEX('[1]PROSES ENJEKSİYON'!$J:$J,MATCH(1,('[1]PROSES ENJEKSİYON'!$A:$A=$AB$2)*('[1]PROSES ENJEKSİYON'!$F:$F=M14),0)),"")</f>
        <v/>
      </c>
      <c r="AD14" s="32" t="str" cm="1">
        <f t="array" ref="AD14">IFERROR(INDEX('[1]PROSES ENJEKSİYON'!$K:$K,MATCH(1,('[1]PROSES ENJEKSİYON'!$A:$A=$AD$2)*('[1]PROSES ENJEKSİYON'!$F:$F=M14),0)),"")</f>
        <v/>
      </c>
      <c r="AE14" s="35" t="str" cm="1">
        <f t="array" ref="AE14">IFERROR(INDEX('[1]PROSES ENJEKSİYON'!$L:$L,MATCH(1,('[1]PROSES ENJEKSİYON'!$A:$A=$AB$2)*('[1]PROSES ENJEKSİYON'!$F:$F=A14),0)),"")</f>
        <v/>
      </c>
    </row>
    <row r="15" spans="1:31" ht="46.95" hidden="1" customHeight="1" x14ac:dyDescent="0.4">
      <c r="A15" s="82">
        <v>403</v>
      </c>
      <c r="B15" s="31" t="str" cm="1">
        <f t="array" ref="B15">IFERROR(INDEX('[1]PROSES ENJEKSİYON'!$L:$L, MATCH(1,('[1]PROSES ENJEKSİYON'!$A:$A=$B$2)*('[1]PROSES ENJEKSİYON'!$F:$F=A15),0)), "")</f>
        <v/>
      </c>
      <c r="C15" s="31" t="str" cm="1">
        <f t="array" ref="C15">IFERROR(INDEX('[1]PROSES ENJEKSİYON'!$L:$L,MATCH(1,('[1]PROSES ENJEKSİYON'!$A:$A=$C$2)*('[1]PROSES ENJEKSİYON'!$F:$F=A15),0)),"")</f>
        <v/>
      </c>
      <c r="D15" s="31" t="str" cm="1">
        <f t="array" ref="D15">IFERROR(INDEX('[1]PROSES ENJEKSİYON'!$L:$L,MATCH(1,('[1]PROSES ENJEKSİYON'!$A:$A=$D$2)*('[1]PROSES ENJEKSİYON'!$F:$F=A15),0)),"")</f>
        <v/>
      </c>
      <c r="E15" s="31" t="str" cm="1">
        <f t="array" ref="E15">IFERROR(INDEX('[1]PROSES ENJEKSİYON'!$L:$L,MATCH(1,('[1]PROSES ENJEKSİYON'!$A:$A=$E$2)*('[1]PROSES ENJEKSİYON'!$F:$F=A15),0)),"")</f>
        <v/>
      </c>
      <c r="F15" s="31" t="str" cm="1">
        <f t="array" ref="F15">IFERROR(INDEX('[1]PROSES ENJEKSİYON'!$L:$L,MATCH(1,('[1]PROSES ENJEKSİYON'!$A:$A=$F$2)*('[1]PROSES ENJEKSİYON'!$F:$F=A15),0)),"")</f>
        <v/>
      </c>
      <c r="G15" s="31" t="str" cm="1">
        <f t="array" ref="G15">IFERROR(INDEX('[1]PROSES ENJEKSİYON'!$L:$L,MATCH(1,('[1]PROSES ENJEKSİYON'!$A:$A=$G$2)*('[1]PROSES ENJEKSİYON'!$F:$F=A15),0)),"")</f>
        <v/>
      </c>
      <c r="H15" s="70" t="str" cm="1">
        <f t="array" ref="H15">IFERROR(INDEX('[1]PROSES ENJEKSİYON'!$G:$G,MATCH(1,('[1]PROSES ENJEKSİYON'!$A:$A=$H$2)*('[1]PROSES ENJEKSİYON'!$F:$F=A15),0)),"")</f>
        <v/>
      </c>
      <c r="I15" s="64" t="str" cm="1">
        <f t="array" ref="I15">IFERROR(INDEX('[1]PROSES ENJEKSİYON'!$J:$J,MATCH(1,('[1]PROSES ENJEKSİYON'!$A:$A=$H$2)*('[1]PROSES ENJEKSİYON'!$F:$F=A15),0)),"")</f>
        <v/>
      </c>
      <c r="J15" s="64" t="str" cm="1">
        <f t="array" ref="J15">IFERROR(INDEX('[1]PROSES ENJEKSİYON'!$K:$K,MATCH(1,('[1]PROSES ENJEKSİYON'!$A:$A=$H$2)*('[1]PROSES ENJEKSİYON'!$F:$F=A15),0)),"")</f>
        <v/>
      </c>
      <c r="K15" s="44" t="str" cm="1">
        <f t="array" ref="K15">IFERROR(INDEX('[1]PROSES ENJEKSİYON'!$L:$L,MATCH(1,('[1]PROSES ENJEKSİYON'!$A:$A=$H$2)*('[1]PROSES ENJEKSİYON'!$F:$F=A15),0)),"")</f>
        <v/>
      </c>
      <c r="L15" s="66" t="str" cm="1">
        <f t="array" ref="L15">IFERROR(INDEX('[1]PROSES ENJEKSİYON'!$G:$G,MATCH(1,('[1]PROSES ENJEKSİYON'!$A:$A=$L$2)*('[1]PROSES ENJEKSİYON'!$F:$F=A15),0)),"")</f>
        <v/>
      </c>
      <c r="M15" s="64" t="str" cm="1">
        <f t="array" ref="M15">IFERROR(INDEX('[1]PROSES ENJEKSİYON'!$J:$J,MATCH(1,('[1]PROSES ENJEKSİYON'!$A:$A=$L$2)*('[1]PROSES ENJEKSİYON'!$F:$F=A15),0)),"")</f>
        <v/>
      </c>
      <c r="N15" s="64" t="str" cm="1">
        <f t="array" ref="N15">IFERROR(INDEX('[1]PROSES ENJEKSİYON'!$K:$K,MATCH(1,('[1]PROSES ENJEKSİYON'!$A:$A=$L$2)*('[1]PROSES ENJEKSİYON'!$F:$F=A15),0)),"")</f>
        <v/>
      </c>
      <c r="O15" s="44" t="str" cm="1">
        <f t="array" ref="O15">IFERROR(INDEX('[1]PROSES ENJEKSİYON'!$L:$L,MATCH(1,('[1]PROSES ENJEKSİYON'!$A:$A=$L$2)*('[1]PROSES ENJEKSİYON'!$F:$F=A15),0)),"")</f>
        <v/>
      </c>
      <c r="P15" s="68" t="str" cm="1">
        <f t="array" ref="P15">IFERROR(INDEX('[1]PROSES ENJEKSİYON'!$G:$G,MATCH(1,('[1]PROSES ENJEKSİYON'!$A:$A=$P$2)*('[1]PROSES ENJEKSİYON'!$F:$F=A15),0)),"")</f>
        <v/>
      </c>
      <c r="Q15" s="64" t="str" cm="1">
        <f t="array" ref="Q15">IFERROR(INDEX('[1]PROSES ENJEKSİYON'!$J:$J,MATCH(1,('[1]PROSES ENJEKSİYON'!$A:$A=$P$2)*('[1]PROSES ENJEKSİYON'!$F:$F=A15),0)),"")</f>
        <v/>
      </c>
      <c r="R15" s="64" t="str" cm="1">
        <f t="array" ref="R15">IFERROR(INDEX('[1]PROSES ENJEKSİYON'!$K:$K,MATCH(1,('[1]PROSES ENJEKSİYON'!$A:$A=$P$2)*('[1]PROSES ENJEKSİYON'!$F:$F=A15),0)),"")</f>
        <v/>
      </c>
      <c r="S15" s="44" t="str" cm="1">
        <f t="array" ref="S15">IFERROR(INDEX('[1]PROSES ENJEKSİYON'!$L:$L,MATCH(1,('[1]PROSES ENJEKSİYON'!$A:$A=$P$2)*('[1]PROSES ENJEKSİYON'!$F:$F=A15),0)),"")</f>
        <v/>
      </c>
      <c r="T15" s="70" t="str" cm="1">
        <f t="array" ref="T15">IFERROR(INDEX('[1]PROSES ENJEKSİYON'!$G:$G,MATCH(1,('[1]PROSES ENJEKSİYON'!$A:$A=$T$2)*('[1]PROSES ENJEKSİYON'!$F:$F=A15),0)),"")</f>
        <v/>
      </c>
      <c r="U15" s="64" t="str" cm="1">
        <f t="array" ref="U15">IFERROR(INDEX('[1]PROSES ENJEKSİYON'!$J:$J,MATCH(1,('[1]PROSES ENJEKSİYON'!$A:$A=$T$2)*('[1]PROSES ENJEKSİYON'!$F:$F=A15),0)),"")</f>
        <v/>
      </c>
      <c r="V15" s="64" t="str" cm="1">
        <f t="array" ref="V15">IFERROR(INDEX('[1]PROSES ENJEKSİYON'!$K:$K,MATCH(1,('[1]PROSES ENJEKSİYON'!$A:$A=$T$2)*('[1]PROSES ENJEKSİYON'!$F:$F=A15),0)),"")</f>
        <v/>
      </c>
      <c r="W15" s="44" t="str" cm="1">
        <f t="array" ref="W15">IFERROR(INDEX('[1]PROSES ENJEKSİYON'!$L:$L,MATCH(1,('[1]PROSES ENJEKSİYON'!$A:$A=$T$2)*('[1]PROSES ENJEKSİYON'!$F:$F=A15),0)),"")</f>
        <v/>
      </c>
      <c r="X15" s="68" t="str" cm="1">
        <f t="array" ref="X15">IFERROR(INDEX('[1]PROSES ENJEKSİYON'!$G:$G,MATCH(1,('[1]PROSES ENJEKSİYON'!$A:$A=$X$2)*('[1]PROSES ENJEKSİYON'!$F:$F=A15),0)),"")</f>
        <v/>
      </c>
      <c r="Y15" s="64" t="str" cm="1">
        <f t="array" ref="Y15">IFERROR(INDEX('[1]PROSES ENJEKSİYON'!$J:$J,MATCH(1,('[1]PROSES ENJEKSİYON'!$A:$A=$X$2)*('[1]PROSES ENJEKSİYON'!$F:$F=A15),0)),"")</f>
        <v/>
      </c>
      <c r="Z15" s="64" t="str" cm="1">
        <f t="array" ref="Z15">IFERROR(INDEX('[1]PROSES ENJEKSİYON'!$K:$K,MATCH(1,('[1]PROSES ENJEKSİYON'!$A:$A=$X$2)*('[1]PROSES ENJEKSİYON'!$F:$F=A15),0)),"")</f>
        <v/>
      </c>
      <c r="AA15" s="44" t="str" cm="1">
        <f t="array" ref="AA15">IFERROR(INDEX('[1]PROSES ENJEKSİYON'!$L:$L,MATCH(1,('[1]PROSES ENJEKSİYON'!$A:$A=$X$2)*('[1]PROSES ENJEKSİYON'!$F:$F=A15),0)),"")</f>
        <v/>
      </c>
      <c r="AB15" s="34" t="str" cm="1">
        <f t="array" ref="AB15">IFERROR(INDEX('[1]PROSES ENJEKSİYON'!$G:$G,MATCH(1,('[1]PROSES ENJEKSİYON'!$A:$A=$AB$2)*('[1]PROSES ENJEKSİYON'!$F:$F=A15),0)),"")</f>
        <v/>
      </c>
      <c r="AC15" s="32" t="str" cm="1">
        <f t="array" ref="AC15">IFERROR(INDEX('[1]PROSES ENJEKSİYON'!$J:$J,MATCH(1,('[1]PROSES ENJEKSİYON'!$A:$A=$AB$2)*('[1]PROSES ENJEKSİYON'!$F:$F=M15),0)),"")</f>
        <v/>
      </c>
      <c r="AD15" s="32" t="str" cm="1">
        <f t="array" ref="AD15">IFERROR(INDEX('[1]PROSES ENJEKSİYON'!$K:$K,MATCH(1,('[1]PROSES ENJEKSİYON'!$A:$A=$AD$2)*('[1]PROSES ENJEKSİYON'!$F:$F=M15),0)),"")</f>
        <v/>
      </c>
      <c r="AE15" s="35" t="str" cm="1">
        <f t="array" ref="AE15">IFERROR(INDEX('[1]PROSES ENJEKSİYON'!$L:$L,MATCH(1,('[1]PROSES ENJEKSİYON'!$A:$A=$AB$2)*('[1]PROSES ENJEKSİYON'!$F:$F=A15),0)),"")</f>
        <v/>
      </c>
    </row>
    <row r="16" spans="1:31" ht="46.95" hidden="1" customHeight="1" x14ac:dyDescent="0.4">
      <c r="A16" s="82">
        <v>404</v>
      </c>
      <c r="B16" s="31" t="str" cm="1">
        <f t="array" ref="B16">IFERROR(INDEX('[1]PROSES ENJEKSİYON'!$L:$L, MATCH(1,('[1]PROSES ENJEKSİYON'!$A:$A=$B$2)*('[1]PROSES ENJEKSİYON'!$F:$F=A16),0)), "")</f>
        <v/>
      </c>
      <c r="C16" s="31" t="str" cm="1">
        <f t="array" ref="C16">IFERROR(INDEX('[1]PROSES ENJEKSİYON'!$L:$L,MATCH(1,('[1]PROSES ENJEKSİYON'!$A:$A=$C$2)*('[1]PROSES ENJEKSİYON'!$F:$F=A16),0)),"")</f>
        <v/>
      </c>
      <c r="D16" s="31" t="str" cm="1">
        <f t="array" ref="D16">IFERROR(INDEX('[1]PROSES ENJEKSİYON'!$L:$L,MATCH(1,('[1]PROSES ENJEKSİYON'!$A:$A=$D$2)*('[1]PROSES ENJEKSİYON'!$F:$F=A16),0)),"")</f>
        <v/>
      </c>
      <c r="E16" s="31" t="str" cm="1">
        <f t="array" ref="E16">IFERROR(INDEX('[1]PROSES ENJEKSİYON'!$L:$L,MATCH(1,('[1]PROSES ENJEKSİYON'!$A:$A=$E$2)*('[1]PROSES ENJEKSİYON'!$F:$F=A16),0)),"")</f>
        <v/>
      </c>
      <c r="F16" s="31" cm="1">
        <f t="array" ref="F16">IFERROR(INDEX('[1]PROSES ENJEKSİYON'!$L:$L,MATCH(1,('[1]PROSES ENJEKSİYON'!$A:$A=$F$2)*('[1]PROSES ENJEKSİYON'!$F:$F=A16),0)),"")</f>
        <v>7</v>
      </c>
      <c r="G16" s="31" t="str" cm="1">
        <f t="array" ref="G16">IFERROR(INDEX('[1]PROSES ENJEKSİYON'!$L:$L,MATCH(1,('[1]PROSES ENJEKSİYON'!$A:$A=$G$2)*('[1]PROSES ENJEKSİYON'!$F:$F=A16),0)),"")</f>
        <v/>
      </c>
      <c r="H16" s="70" t="str" cm="1">
        <f t="array" ref="H16">IFERROR(INDEX('[1]PROSES ENJEKSİYON'!$G:$G,MATCH(1,('[1]PROSES ENJEKSİYON'!$A:$A=$H$2)*('[1]PROSES ENJEKSİYON'!$F:$F=A16),0)),"")</f>
        <v/>
      </c>
      <c r="I16" s="64" t="str" cm="1">
        <f t="array" ref="I16">IFERROR(INDEX('[1]PROSES ENJEKSİYON'!$J:$J,MATCH(1,('[1]PROSES ENJEKSİYON'!$A:$A=$H$2)*('[1]PROSES ENJEKSİYON'!$F:$F=A16),0)),"")</f>
        <v/>
      </c>
      <c r="J16" s="64" t="str" cm="1">
        <f t="array" ref="J16">IFERROR(INDEX('[1]PROSES ENJEKSİYON'!$K:$K,MATCH(1,('[1]PROSES ENJEKSİYON'!$A:$A=$H$2)*('[1]PROSES ENJEKSİYON'!$F:$F=A16),0)),"")</f>
        <v/>
      </c>
      <c r="K16" s="44" t="str" cm="1">
        <f t="array" ref="K16">IFERROR(INDEX('[1]PROSES ENJEKSİYON'!$L:$L,MATCH(1,('[1]PROSES ENJEKSİYON'!$A:$A=$H$2)*('[1]PROSES ENJEKSİYON'!$F:$F=A16),0)),"")</f>
        <v/>
      </c>
      <c r="L16" s="66" t="str" cm="1">
        <f t="array" ref="L16">IFERROR(INDEX('[1]PROSES ENJEKSİYON'!$G:$G,MATCH(1,('[1]PROSES ENJEKSİYON'!$A:$A=$L$2)*('[1]PROSES ENJEKSİYON'!$F:$F=A16),0)),"")</f>
        <v/>
      </c>
      <c r="M16" s="64" t="str" cm="1">
        <f t="array" ref="M16">IFERROR(INDEX('[1]PROSES ENJEKSİYON'!$J:$J,MATCH(1,('[1]PROSES ENJEKSİYON'!$A:$A=$L$2)*('[1]PROSES ENJEKSİYON'!$F:$F=A16),0)),"")</f>
        <v/>
      </c>
      <c r="N16" s="64" t="str" cm="1">
        <f t="array" ref="N16">IFERROR(INDEX('[1]PROSES ENJEKSİYON'!$K:$K,MATCH(1,('[1]PROSES ENJEKSİYON'!$A:$A=$L$2)*('[1]PROSES ENJEKSİYON'!$F:$F=A16),0)),"")</f>
        <v/>
      </c>
      <c r="O16" s="44" t="str" cm="1">
        <f t="array" ref="O16">IFERROR(INDEX('[1]PROSES ENJEKSİYON'!$L:$L,MATCH(1,('[1]PROSES ENJEKSİYON'!$A:$A=$L$2)*('[1]PROSES ENJEKSİYON'!$F:$F=A16),0)),"")</f>
        <v/>
      </c>
      <c r="P16" s="68" t="str" cm="1">
        <f t="array" ref="P16">IFERROR(INDEX('[1]PROSES ENJEKSİYON'!$G:$G,MATCH(1,('[1]PROSES ENJEKSİYON'!$A:$A=$P$2)*('[1]PROSES ENJEKSİYON'!$F:$F=A16),0)),"")</f>
        <v/>
      </c>
      <c r="Q16" s="64" t="str" cm="1">
        <f t="array" ref="Q16">IFERROR(INDEX('[1]PROSES ENJEKSİYON'!$J:$J,MATCH(1,('[1]PROSES ENJEKSİYON'!$A:$A=$P$2)*('[1]PROSES ENJEKSİYON'!$F:$F=A16),0)),"")</f>
        <v/>
      </c>
      <c r="R16" s="64" t="str" cm="1">
        <f t="array" ref="R16">IFERROR(INDEX('[1]PROSES ENJEKSİYON'!$K:$K,MATCH(1,('[1]PROSES ENJEKSİYON'!$A:$A=$P$2)*('[1]PROSES ENJEKSİYON'!$F:$F=A16),0)),"")</f>
        <v/>
      </c>
      <c r="S16" s="44" t="str" cm="1">
        <f t="array" ref="S16">IFERROR(INDEX('[1]PROSES ENJEKSİYON'!$L:$L,MATCH(1,('[1]PROSES ENJEKSİYON'!$A:$A=$P$2)*('[1]PROSES ENJEKSİYON'!$F:$F=A16),0)),"")</f>
        <v/>
      </c>
      <c r="T16" s="70" t="str" cm="1">
        <f t="array" ref="T16">IFERROR(INDEX('[1]PROSES ENJEKSİYON'!$G:$G,MATCH(1,('[1]PROSES ENJEKSİYON'!$A:$A=$T$2)*('[1]PROSES ENJEKSİYON'!$F:$F=A16),0)),"")</f>
        <v/>
      </c>
      <c r="U16" s="64" t="str" cm="1">
        <f t="array" ref="U16">IFERROR(INDEX('[1]PROSES ENJEKSİYON'!$J:$J,MATCH(1,('[1]PROSES ENJEKSİYON'!$A:$A=$T$2)*('[1]PROSES ENJEKSİYON'!$F:$F=A16),0)),"")</f>
        <v/>
      </c>
      <c r="V16" s="64" t="str" cm="1">
        <f t="array" ref="V16">IFERROR(INDEX('[1]PROSES ENJEKSİYON'!$K:$K,MATCH(1,('[1]PROSES ENJEKSİYON'!$A:$A=$T$2)*('[1]PROSES ENJEKSİYON'!$F:$F=A16),0)),"")</f>
        <v/>
      </c>
      <c r="W16" s="44" t="str" cm="1">
        <f t="array" ref="W16">IFERROR(INDEX('[1]PROSES ENJEKSİYON'!$L:$L,MATCH(1,('[1]PROSES ENJEKSİYON'!$A:$A=$T$2)*('[1]PROSES ENJEKSİYON'!$F:$F=A16),0)),"")</f>
        <v/>
      </c>
      <c r="X16" s="68" t="str" cm="1">
        <f t="array" ref="X16">IFERROR(INDEX('[1]PROSES ENJEKSİYON'!$G:$G,MATCH(1,('[1]PROSES ENJEKSİYON'!$A:$A=$X$2)*('[1]PROSES ENJEKSİYON'!$F:$F=A16),0)),"")</f>
        <v/>
      </c>
      <c r="Y16" s="64" t="str" cm="1">
        <f t="array" ref="Y16">IFERROR(INDEX('[1]PROSES ENJEKSİYON'!$J:$J,MATCH(1,('[1]PROSES ENJEKSİYON'!$A:$A=$X$2)*('[1]PROSES ENJEKSİYON'!$F:$F=A16),0)),"")</f>
        <v/>
      </c>
      <c r="Z16" s="64" t="str" cm="1">
        <f t="array" ref="Z16">IFERROR(INDEX('[1]PROSES ENJEKSİYON'!$K:$K,MATCH(1,('[1]PROSES ENJEKSİYON'!$A:$A=$X$2)*('[1]PROSES ENJEKSİYON'!$F:$F=A16),0)),"")</f>
        <v/>
      </c>
      <c r="AA16" s="44" t="str" cm="1">
        <f t="array" ref="AA16">IFERROR(INDEX('[1]PROSES ENJEKSİYON'!$L:$L,MATCH(1,('[1]PROSES ENJEKSİYON'!$A:$A=$X$2)*('[1]PROSES ENJEKSİYON'!$F:$F=A16),0)),"")</f>
        <v/>
      </c>
      <c r="AB16" s="34" t="str" cm="1">
        <f t="array" ref="AB16">IFERROR(INDEX('[1]PROSES ENJEKSİYON'!$G:$G,MATCH(1,('[1]PROSES ENJEKSİYON'!$A:$A=$AB$2)*('[1]PROSES ENJEKSİYON'!$F:$F=A16),0)),"")</f>
        <v/>
      </c>
      <c r="AC16" s="32" t="str" cm="1">
        <f t="array" ref="AC16">IFERROR(INDEX('[1]PROSES ENJEKSİYON'!$J:$J,MATCH(1,('[1]PROSES ENJEKSİYON'!$A:$A=$AB$2)*('[1]PROSES ENJEKSİYON'!$F:$F=M16),0)),"")</f>
        <v/>
      </c>
      <c r="AD16" s="32" t="str" cm="1">
        <f t="array" ref="AD16">IFERROR(INDEX('[1]PROSES ENJEKSİYON'!$K:$K,MATCH(1,('[1]PROSES ENJEKSİYON'!$A:$A=$AD$2)*('[1]PROSES ENJEKSİYON'!$F:$F=M16),0)),"")</f>
        <v/>
      </c>
      <c r="AE16" s="35" t="str" cm="1">
        <f t="array" ref="AE16">IFERROR(INDEX('[1]PROSES ENJEKSİYON'!$L:$L,MATCH(1,('[1]PROSES ENJEKSİYON'!$A:$A=$AB$2)*('[1]PROSES ENJEKSİYON'!$F:$F=A16),0)),"")</f>
        <v/>
      </c>
    </row>
    <row r="17" spans="1:31" ht="46.95" customHeight="1" x14ac:dyDescent="0.4">
      <c r="A17" s="82">
        <v>405</v>
      </c>
      <c r="B17" s="31" t="str" cm="1">
        <f t="array" ref="B17">IFERROR(INDEX('[1]PROSES ENJEKSİYON'!$L:$L, MATCH(1,('[1]PROSES ENJEKSİYON'!$A:$A=$B$2)*('[1]PROSES ENJEKSİYON'!$F:$F=A17),0)), "")</f>
        <v/>
      </c>
      <c r="C17" s="31" cm="1">
        <f t="array" ref="C17">IFERROR(INDEX('[1]PROSES ENJEKSİYON'!$L:$L,MATCH(1,('[1]PROSES ENJEKSİYON'!$A:$A=$C$2)*('[1]PROSES ENJEKSİYON'!$F:$F=A17),0)),"")</f>
        <v>8.6</v>
      </c>
      <c r="D17" s="31" cm="1">
        <f t="array" ref="D17">IFERROR(INDEX('[1]PROSES ENJEKSİYON'!$L:$L,MATCH(1,('[1]PROSES ENJEKSİYON'!$A:$A=$D$2)*('[1]PROSES ENJEKSİYON'!$F:$F=A17),0)),"")</f>
        <v>8.5</v>
      </c>
      <c r="E17" s="31" cm="1">
        <f t="array" ref="E17">IFERROR(INDEX('[1]PROSES ENJEKSİYON'!$L:$L,MATCH(1,('[1]PROSES ENJEKSİYON'!$A:$A=$E$2)*('[1]PROSES ENJEKSİYON'!$F:$F=A17),0)),"")</f>
        <v>8</v>
      </c>
      <c r="F17" s="31" cm="1">
        <f t="array" ref="F17">IFERROR(INDEX('[1]PROSES ENJEKSİYON'!$L:$L,MATCH(1,('[1]PROSES ENJEKSİYON'!$A:$A=$F$2)*('[1]PROSES ENJEKSİYON'!$F:$F=A17),0)),"")</f>
        <v>8.6</v>
      </c>
      <c r="G17" s="31" cm="1">
        <f t="array" ref="G17">IFERROR(INDEX('[1]PROSES ENJEKSİYON'!$L:$L,MATCH(1,('[1]PROSES ENJEKSİYON'!$A:$A=$G$2)*('[1]PROSES ENJEKSİYON'!$F:$F=A17),0)),"")</f>
        <v>9.6</v>
      </c>
      <c r="H17" s="70" t="str" cm="1">
        <f t="array" ref="H17">IFERROR(INDEX('[1]PROSES ENJEKSİYON'!$G:$G,MATCH(1,('[1]PROSES ENJEKSİYON'!$A:$A=$H$2)*('[1]PROSES ENJEKSİYON'!$F:$F=A17),0)),"")</f>
        <v>PET0187-01 350ML OPAK SIYAH 100MM YIVLI 45GR</v>
      </c>
      <c r="I17" s="64" cm="1">
        <f t="array" ref="I17">IFERROR(INDEX('[1]PROSES ENJEKSİYON'!$J:$J,MATCH(1,('[1]PROSES ENJEKSİYON'!$A:$A=$H$2)*('[1]PROSES ENJEKSİYON'!$F:$F=A17),0)),"")</f>
        <v>0</v>
      </c>
      <c r="J17" s="64" cm="1">
        <f t="array" ref="J17">IFERROR(INDEX('[1]PROSES ENJEKSİYON'!$K:$K,MATCH(1,('[1]PROSES ENJEKSİYON'!$A:$A=$H$2)*('[1]PROSES ENJEKSİYON'!$F:$F=A17),0)),"")</f>
        <v>0</v>
      </c>
      <c r="K17" s="44" cm="1">
        <f t="array" ref="K17">IFERROR(INDEX('[1]PROSES ENJEKSİYON'!$L:$L,MATCH(1,('[1]PROSES ENJEKSİYON'!$A:$A=$H$2)*('[1]PROSES ENJEKSİYON'!$F:$F=A17),0)),"")</f>
        <v>0</v>
      </c>
      <c r="L17" s="66" t="str" cm="1">
        <f t="array" ref="L17">IFERROR(INDEX('[1]PROSES ENJEKSİYON'!$G:$G,MATCH(1,('[1]PROSES ENJEKSİYON'!$A:$A=$L$2)*('[1]PROSES ENJEKSİYON'!$F:$F=A17),0)),"")</f>
        <v/>
      </c>
      <c r="M17" s="64" t="str" cm="1">
        <f t="array" ref="M17">IFERROR(INDEX('[1]PROSES ENJEKSİYON'!$J:$J,MATCH(1,('[1]PROSES ENJEKSİYON'!$A:$A=$L$2)*('[1]PROSES ENJEKSİYON'!$F:$F=A17),0)),"")</f>
        <v/>
      </c>
      <c r="N17" s="64" t="str" cm="1">
        <f t="array" ref="N17">IFERROR(INDEX('[1]PROSES ENJEKSİYON'!$K:$K,MATCH(1,('[1]PROSES ENJEKSİYON'!$A:$A=$L$2)*('[1]PROSES ENJEKSİYON'!$F:$F=A17),0)),"")</f>
        <v/>
      </c>
      <c r="O17" s="44" t="str" cm="1">
        <f t="array" ref="O17">IFERROR(INDEX('[1]PROSES ENJEKSİYON'!$L:$L,MATCH(1,('[1]PROSES ENJEKSİYON'!$A:$A=$L$2)*('[1]PROSES ENJEKSİYON'!$F:$F=A17),0)),"")</f>
        <v/>
      </c>
      <c r="P17" s="68" t="str" cm="1">
        <f t="array" ref="P17">IFERROR(INDEX('[1]PROSES ENJEKSİYON'!$G:$G,MATCH(1,('[1]PROSES ENJEKSİYON'!$A:$A=$P$2)*('[1]PROSES ENJEKSİYON'!$F:$F=A17),0)),"")</f>
        <v/>
      </c>
      <c r="Q17" s="64" t="str" cm="1">
        <f t="array" ref="Q17">IFERROR(INDEX('[1]PROSES ENJEKSİYON'!$J:$J,MATCH(1,('[1]PROSES ENJEKSİYON'!$A:$A=$P$2)*('[1]PROSES ENJEKSİYON'!$F:$F=A17),0)),"")</f>
        <v/>
      </c>
      <c r="R17" s="64" t="str" cm="1">
        <f t="array" ref="R17">IFERROR(INDEX('[1]PROSES ENJEKSİYON'!$K:$K,MATCH(1,('[1]PROSES ENJEKSİYON'!$A:$A=$P$2)*('[1]PROSES ENJEKSİYON'!$F:$F=A17),0)),"")</f>
        <v/>
      </c>
      <c r="S17" s="44" t="str" cm="1">
        <f t="array" ref="S17">IFERROR(INDEX('[1]PROSES ENJEKSİYON'!$L:$L,MATCH(1,('[1]PROSES ENJEKSİYON'!$A:$A=$P$2)*('[1]PROSES ENJEKSİYON'!$F:$F=A17),0)),"")</f>
        <v/>
      </c>
      <c r="T17" s="70" t="str" cm="1">
        <f t="array" ref="T17">IFERROR(INDEX('[1]PROSES ENJEKSİYON'!$G:$G,MATCH(1,('[1]PROSES ENJEKSİYON'!$A:$A=$T$2)*('[1]PROSES ENJEKSİYON'!$F:$F=A17),0)),"")</f>
        <v/>
      </c>
      <c r="U17" s="64" t="str" cm="1">
        <f t="array" ref="U17">IFERROR(INDEX('[1]PROSES ENJEKSİYON'!$J:$J,MATCH(1,('[1]PROSES ENJEKSİYON'!$A:$A=$T$2)*('[1]PROSES ENJEKSİYON'!$F:$F=A17),0)),"")</f>
        <v/>
      </c>
      <c r="V17" s="64" t="str" cm="1">
        <f t="array" ref="V17">IFERROR(INDEX('[1]PROSES ENJEKSİYON'!$K:$K,MATCH(1,('[1]PROSES ENJEKSİYON'!$A:$A=$T$2)*('[1]PROSES ENJEKSİYON'!$F:$F=A17),0)),"")</f>
        <v/>
      </c>
      <c r="W17" s="44" t="str" cm="1">
        <f t="array" ref="W17">IFERROR(INDEX('[1]PROSES ENJEKSİYON'!$L:$L,MATCH(1,('[1]PROSES ENJEKSİYON'!$A:$A=$T$2)*('[1]PROSES ENJEKSİYON'!$F:$F=A17),0)),"")</f>
        <v/>
      </c>
      <c r="X17" s="68" t="str" cm="1">
        <f t="array" ref="X17">IFERROR(INDEX('[1]PROSES ENJEKSİYON'!$G:$G,MATCH(1,('[1]PROSES ENJEKSİYON'!$A:$A=$X$2)*('[1]PROSES ENJEKSİYON'!$F:$F=A17),0)),"")</f>
        <v/>
      </c>
      <c r="Y17" s="64" t="str" cm="1">
        <f t="array" ref="Y17">IFERROR(INDEX('[1]PROSES ENJEKSİYON'!$J:$J,MATCH(1,('[1]PROSES ENJEKSİYON'!$A:$A=$X$2)*('[1]PROSES ENJEKSİYON'!$F:$F=A17),0)),"")</f>
        <v/>
      </c>
      <c r="Z17" s="64" t="str" cm="1">
        <f t="array" ref="Z17">IFERROR(INDEX('[1]PROSES ENJEKSİYON'!$K:$K,MATCH(1,('[1]PROSES ENJEKSİYON'!$A:$A=$X$2)*('[1]PROSES ENJEKSİYON'!$F:$F=A17),0)),"")</f>
        <v/>
      </c>
      <c r="AA17" s="44" t="str" cm="1">
        <f t="array" ref="AA17">IFERROR(INDEX('[1]PROSES ENJEKSİYON'!$L:$L,MATCH(1,('[1]PROSES ENJEKSİYON'!$A:$A=$X$2)*('[1]PROSES ENJEKSİYON'!$F:$F=A17),0)),"")</f>
        <v/>
      </c>
      <c r="AB17" s="34" t="str" cm="1">
        <f t="array" ref="AB17">IFERROR(INDEX('[1]PROSES ENJEKSİYON'!$G:$G,MATCH(1,('[1]PROSES ENJEKSİYON'!$A:$A=$AB$2)*('[1]PROSES ENJEKSİYON'!$F:$F=A17),0)),"")</f>
        <v/>
      </c>
      <c r="AC17" s="32" t="str" cm="1">
        <f t="array" ref="AC17">IFERROR(INDEX('[1]PROSES ENJEKSİYON'!$J:$J,MATCH(1,('[1]PROSES ENJEKSİYON'!$A:$A=$AB$2)*('[1]PROSES ENJEKSİYON'!$F:$F=M17),0)),"")</f>
        <v/>
      </c>
      <c r="AD17" s="32" t="str" cm="1">
        <f t="array" ref="AD17">IFERROR(INDEX('[1]PROSES ENJEKSİYON'!$K:$K,MATCH(1,('[1]PROSES ENJEKSİYON'!$A:$A=$AD$2)*('[1]PROSES ENJEKSİYON'!$F:$F=M17),0)),"")</f>
        <v/>
      </c>
      <c r="AE17" s="35" t="str" cm="1">
        <f t="array" ref="AE17">IFERROR(INDEX('[1]PROSES ENJEKSİYON'!$L:$L,MATCH(1,('[1]PROSES ENJEKSİYON'!$A:$A=$AB$2)*('[1]PROSES ENJEKSİYON'!$F:$F=A17),0)),"")</f>
        <v/>
      </c>
    </row>
    <row r="18" spans="1:31" ht="46.95" hidden="1" customHeight="1" x14ac:dyDescent="0.4">
      <c r="A18" s="83">
        <v>171</v>
      </c>
      <c r="B18" s="31" t="str" cm="1">
        <f t="array" ref="B18">IFERROR(INDEX('[1]PROSES ENJEKSİYON'!$L:$L, MATCH(1,('[1]PROSES ENJEKSİYON'!$A:$A=$B$2)*('[1]PROSES ENJEKSİYON'!$F:$F=A18),0)), "")</f>
        <v/>
      </c>
      <c r="C18" s="31" t="str" cm="1">
        <f t="array" ref="C18">IFERROR(INDEX('[1]PROSES ENJEKSİYON'!$L:$L,MATCH(1,('[1]PROSES ENJEKSİYON'!$A:$A=$C$2)*('[1]PROSES ENJEKSİYON'!$F:$F=A18),0)),"")</f>
        <v/>
      </c>
      <c r="D18" s="31" t="str" cm="1">
        <f t="array" ref="D18">IFERROR(INDEX('[1]PROSES ENJEKSİYON'!$L:$L,MATCH(1,('[1]PROSES ENJEKSİYON'!$A:$A=$D$2)*('[1]PROSES ENJEKSİYON'!$F:$F=A18),0)),"")</f>
        <v/>
      </c>
      <c r="E18" s="31" t="str" cm="1">
        <f t="array" ref="E18">IFERROR(INDEX('[1]PROSES ENJEKSİYON'!$L:$L,MATCH(1,('[1]PROSES ENJEKSİYON'!$A:$A=$E$2)*('[1]PROSES ENJEKSİYON'!$F:$F=A18),0)),"")</f>
        <v/>
      </c>
      <c r="F18" s="31" t="str" cm="1">
        <f t="array" ref="F18">IFERROR(INDEX('[1]PROSES ENJEKSİYON'!$L:$L,MATCH(1,('[1]PROSES ENJEKSİYON'!$A:$A=$F$2)*('[1]PROSES ENJEKSİYON'!$F:$F=A18),0)),"")</f>
        <v/>
      </c>
      <c r="G18" s="31" t="str" cm="1">
        <f t="array" ref="G18">IFERROR(INDEX('[1]PROSES ENJEKSİYON'!$L:$L,MATCH(1,('[1]PROSES ENJEKSİYON'!$A:$A=$G$2)*('[1]PROSES ENJEKSİYON'!$F:$F=A18),0)),"")</f>
        <v/>
      </c>
      <c r="H18" s="70" t="str" cm="1">
        <f t="array" ref="H18">IFERROR(INDEX('[1]PROSES ENJEKSİYON'!$G:$G,MATCH(1,('[1]PROSES ENJEKSİYON'!$A:$A=$H$2)*('[1]PROSES ENJEKSİYON'!$F:$F=A18),0)),"")</f>
        <v/>
      </c>
      <c r="I18" s="64" t="str" cm="1">
        <f t="array" ref="I18">IFERROR(INDEX('[1]PROSES ENJEKSİYON'!$J:$J,MATCH(1,('[1]PROSES ENJEKSİYON'!$A:$A=$H$2)*('[1]PROSES ENJEKSİYON'!$F:$F=A18),0)),"")</f>
        <v/>
      </c>
      <c r="J18" s="64" t="str" cm="1">
        <f t="array" ref="J18">IFERROR(INDEX('[1]PROSES ENJEKSİYON'!$K:$K,MATCH(1,('[1]PROSES ENJEKSİYON'!$A:$A=$H$2)*('[1]PROSES ENJEKSİYON'!$F:$F=A18),0)),"")</f>
        <v/>
      </c>
      <c r="K18" s="44" t="str" cm="1">
        <f t="array" ref="K18">IFERROR(INDEX('[1]PROSES ENJEKSİYON'!$L:$L,MATCH(1,('[1]PROSES ENJEKSİYON'!$A:$A=$H$2)*('[1]PROSES ENJEKSİYON'!$F:$F=A18),0)),"")</f>
        <v/>
      </c>
      <c r="L18" s="66" t="str" cm="1">
        <f t="array" ref="L18">IFERROR(INDEX('[1]PROSES ENJEKSİYON'!$G:$G,MATCH(1,('[1]PROSES ENJEKSİYON'!$A:$A=$L$2)*('[1]PROSES ENJEKSİYON'!$F:$F=A18),0)),"")</f>
        <v/>
      </c>
      <c r="M18" s="64" t="str" cm="1">
        <f t="array" ref="M18">IFERROR(INDEX('[1]PROSES ENJEKSİYON'!$J:$J,MATCH(1,('[1]PROSES ENJEKSİYON'!$A:$A=$L$2)*('[1]PROSES ENJEKSİYON'!$F:$F=A18),0)),"")</f>
        <v/>
      </c>
      <c r="N18" s="64" t="str" cm="1">
        <f t="array" ref="N18">IFERROR(INDEX('[1]PROSES ENJEKSİYON'!$K:$K,MATCH(1,('[1]PROSES ENJEKSİYON'!$A:$A=$L$2)*('[1]PROSES ENJEKSİYON'!$F:$F=A18),0)),"")</f>
        <v/>
      </c>
      <c r="O18" s="44" t="str" cm="1">
        <f t="array" ref="O18">IFERROR(INDEX('[1]PROSES ENJEKSİYON'!$L:$L,MATCH(1,('[1]PROSES ENJEKSİYON'!$A:$A=$L$2)*('[1]PROSES ENJEKSİYON'!$F:$F=A18),0)),"")</f>
        <v/>
      </c>
      <c r="P18" s="68" t="str" cm="1">
        <f t="array" ref="P18">IFERROR(INDEX('[1]PROSES ENJEKSİYON'!$G:$G,MATCH(1,('[1]PROSES ENJEKSİYON'!$A:$A=$P$2)*('[1]PROSES ENJEKSİYON'!$F:$F=A18),0)),"")</f>
        <v/>
      </c>
      <c r="Q18" s="64" t="str" cm="1">
        <f t="array" ref="Q18">IFERROR(INDEX('[1]PROSES ENJEKSİYON'!$J:$J,MATCH(1,('[1]PROSES ENJEKSİYON'!$A:$A=$P$2)*('[1]PROSES ENJEKSİYON'!$F:$F=A18),0)),"")</f>
        <v/>
      </c>
      <c r="R18" s="64" t="str" cm="1">
        <f t="array" ref="R18">IFERROR(INDEX('[1]PROSES ENJEKSİYON'!$K:$K,MATCH(1,('[1]PROSES ENJEKSİYON'!$A:$A=$P$2)*('[1]PROSES ENJEKSİYON'!$F:$F=A18),0)),"")</f>
        <v/>
      </c>
      <c r="S18" s="44" t="str" cm="1">
        <f t="array" ref="S18">IFERROR(INDEX('[1]PROSES ENJEKSİYON'!$L:$L,MATCH(1,('[1]PROSES ENJEKSİYON'!$A:$A=$P$2)*('[1]PROSES ENJEKSİYON'!$F:$F=A18),0)),"")</f>
        <v/>
      </c>
      <c r="T18" s="70" t="str" cm="1">
        <f t="array" ref="T18">IFERROR(INDEX('[1]PROSES ENJEKSİYON'!$G:$G,MATCH(1,('[1]PROSES ENJEKSİYON'!$A:$A=$T$2)*('[1]PROSES ENJEKSİYON'!$F:$F=A18),0)),"")</f>
        <v/>
      </c>
      <c r="U18" s="64" t="str" cm="1">
        <f t="array" ref="U18">IFERROR(INDEX('[1]PROSES ENJEKSİYON'!$J:$J,MATCH(1,('[1]PROSES ENJEKSİYON'!$A:$A=$T$2)*('[1]PROSES ENJEKSİYON'!$F:$F=A18),0)),"")</f>
        <v/>
      </c>
      <c r="V18" s="64" t="str" cm="1">
        <f t="array" ref="V18">IFERROR(INDEX('[1]PROSES ENJEKSİYON'!$K:$K,MATCH(1,('[1]PROSES ENJEKSİYON'!$A:$A=$T$2)*('[1]PROSES ENJEKSİYON'!$F:$F=A18),0)),"")</f>
        <v/>
      </c>
      <c r="W18" s="44" t="str" cm="1">
        <f t="array" ref="W18">IFERROR(INDEX('[1]PROSES ENJEKSİYON'!$L:$L,MATCH(1,('[1]PROSES ENJEKSİYON'!$A:$A=$T$2)*('[1]PROSES ENJEKSİYON'!$F:$F=A18),0)),"")</f>
        <v/>
      </c>
      <c r="X18" s="68" t="str" cm="1">
        <f t="array" ref="X18">IFERROR(INDEX('[1]PROSES ENJEKSİYON'!$G:$G,MATCH(1,('[1]PROSES ENJEKSİYON'!$A:$A=$X$2)*('[1]PROSES ENJEKSİYON'!$F:$F=A18),0)),"")</f>
        <v/>
      </c>
      <c r="Y18" s="64" t="str" cm="1">
        <f t="array" ref="Y18">IFERROR(INDEX('[1]PROSES ENJEKSİYON'!$J:$J,MATCH(1,('[1]PROSES ENJEKSİYON'!$A:$A=$X$2)*('[1]PROSES ENJEKSİYON'!$F:$F=A18),0)),"")</f>
        <v/>
      </c>
      <c r="Z18" s="64" t="str" cm="1">
        <f t="array" ref="Z18">IFERROR(INDEX('[1]PROSES ENJEKSİYON'!$K:$K,MATCH(1,('[1]PROSES ENJEKSİYON'!$A:$A=$X$2)*('[1]PROSES ENJEKSİYON'!$F:$F=A18),0)),"")</f>
        <v/>
      </c>
      <c r="AA18" s="44" t="str" cm="1">
        <f t="array" ref="AA18">IFERROR(INDEX('[1]PROSES ENJEKSİYON'!$L:$L,MATCH(1,('[1]PROSES ENJEKSİYON'!$A:$A=$X$2)*('[1]PROSES ENJEKSİYON'!$F:$F=A18),0)),"")</f>
        <v/>
      </c>
      <c r="AB18" s="34" t="str" cm="1">
        <f t="array" ref="AB18">IFERROR(INDEX('[1]PROSES ENJEKSİYON'!$G:$G,MATCH(1,('[1]PROSES ENJEKSİYON'!$A:$A=$AB$2)*('[1]PROSES ENJEKSİYON'!$F:$F=A18),0)),"")</f>
        <v/>
      </c>
      <c r="AC18" s="32" t="str" cm="1">
        <f t="array" ref="AC18">IFERROR(INDEX('[1]PROSES ENJEKSİYON'!$J:$J,MATCH(1,('[1]PROSES ENJEKSİYON'!$A:$A=$AB$2)*('[1]PROSES ENJEKSİYON'!$F:$F=M18),0)),"")</f>
        <v/>
      </c>
      <c r="AD18" s="32" t="str" cm="1">
        <f t="array" ref="AD18">IFERROR(INDEX('[1]PROSES ENJEKSİYON'!$K:$K,MATCH(1,('[1]PROSES ENJEKSİYON'!$A:$A=$AD$2)*('[1]PROSES ENJEKSİYON'!$F:$F=M18),0)),"")</f>
        <v/>
      </c>
      <c r="AE18" s="35" t="str" cm="1">
        <f t="array" ref="AE18">IFERROR(INDEX('[1]PROSES ENJEKSİYON'!$L:$L,MATCH(1,('[1]PROSES ENJEKSİYON'!$A:$A=$AB$2)*('[1]PROSES ENJEKSİYON'!$F:$F=A18),0)),"")</f>
        <v/>
      </c>
    </row>
    <row r="19" spans="1:31" ht="46.95" hidden="1" customHeight="1" x14ac:dyDescent="0.4">
      <c r="A19" s="83">
        <v>172</v>
      </c>
      <c r="B19" s="31" t="str" cm="1">
        <f t="array" ref="B19">IFERROR(INDEX('[1]PROSES ENJEKSİYON'!$L:$L, MATCH(1,('[1]PROSES ENJEKSİYON'!$A:$A=$B$2)*('[1]PROSES ENJEKSİYON'!$F:$F=A19),0)), "")</f>
        <v/>
      </c>
      <c r="C19" s="31" t="str" cm="1">
        <f t="array" ref="C19">IFERROR(INDEX('[1]PROSES ENJEKSİYON'!$L:$L,MATCH(1,('[1]PROSES ENJEKSİYON'!$A:$A=$C$2)*('[1]PROSES ENJEKSİYON'!$F:$F=A19),0)),"")</f>
        <v/>
      </c>
      <c r="D19" s="31" t="str" cm="1">
        <f t="array" ref="D19">IFERROR(INDEX('[1]PROSES ENJEKSİYON'!$L:$L,MATCH(1,('[1]PROSES ENJEKSİYON'!$A:$A=$D$2)*('[1]PROSES ENJEKSİYON'!$F:$F=A19),0)),"")</f>
        <v/>
      </c>
      <c r="E19" s="31" t="str" cm="1">
        <f t="array" ref="E19">IFERROR(INDEX('[1]PROSES ENJEKSİYON'!$L:$L,MATCH(1,('[1]PROSES ENJEKSİYON'!$A:$A=$E$2)*('[1]PROSES ENJEKSİYON'!$F:$F=A19),0)),"")</f>
        <v/>
      </c>
      <c r="F19" s="31" t="str" cm="1">
        <f t="array" ref="F19">IFERROR(INDEX('[1]PROSES ENJEKSİYON'!$L:$L,MATCH(1,('[1]PROSES ENJEKSİYON'!$A:$A=$F$2)*('[1]PROSES ENJEKSİYON'!$F:$F=A19),0)),"")</f>
        <v/>
      </c>
      <c r="G19" s="31" t="str" cm="1">
        <f t="array" ref="G19">IFERROR(INDEX('[1]PROSES ENJEKSİYON'!$L:$L,MATCH(1,('[1]PROSES ENJEKSİYON'!$A:$A=$G$2)*('[1]PROSES ENJEKSİYON'!$F:$F=A19),0)),"")</f>
        <v/>
      </c>
      <c r="H19" s="70" t="str" cm="1">
        <f t="array" ref="H19">IFERROR(INDEX('[1]PROSES ENJEKSİYON'!$G:$G,MATCH(1,('[1]PROSES ENJEKSİYON'!$A:$A=$H$2)*('[1]PROSES ENJEKSİYON'!$F:$F=A19),0)),"")</f>
        <v xml:space="preserve"> PET0202-01 900ML SEFFAF SARI 28MM YIVLI 45GR</v>
      </c>
      <c r="I19" s="64" cm="1">
        <f t="array" ref="I19">IFERROR(INDEX('[1]PROSES ENJEKSİYON'!$J:$J,MATCH(1,('[1]PROSES ENJEKSİYON'!$A:$A=$H$2)*('[1]PROSES ENJEKSİYON'!$F:$F=A19),0)),"")</f>
        <v>4</v>
      </c>
      <c r="J19" s="64" cm="1">
        <f t="array" ref="J19">IFERROR(INDEX('[1]PROSES ENJEKSİYON'!$K:$K,MATCH(1,('[1]PROSES ENJEKSİYON'!$A:$A=$H$2)*('[1]PROSES ENJEKSİYON'!$F:$F=A19),0)),"")</f>
        <v>4</v>
      </c>
      <c r="K19" s="44" cm="1">
        <f t="array" ref="K19">IFERROR(INDEX('[1]PROSES ENJEKSİYON'!$L:$L,MATCH(1,('[1]PROSES ENJEKSİYON'!$A:$A=$H$2)*('[1]PROSES ENJEKSİYON'!$F:$F=A19),0)),"")</f>
        <v>15.74</v>
      </c>
      <c r="L19" s="66" t="str" cm="1">
        <f t="array" ref="L19">IFERROR(INDEX('[1]PROSES ENJEKSİYON'!$G:$G,MATCH(1,('[1]PROSES ENJEKSİYON'!$A:$A=$L$2)*('[1]PROSES ENJEKSİYON'!$F:$F=A19),0)),"")</f>
        <v/>
      </c>
      <c r="M19" s="64" t="str" cm="1">
        <f t="array" ref="M19">IFERROR(INDEX('[1]PROSES ENJEKSİYON'!$J:$J,MATCH(1,('[1]PROSES ENJEKSİYON'!$A:$A=$L$2)*('[1]PROSES ENJEKSİYON'!$F:$F=A19),0)),"")</f>
        <v/>
      </c>
      <c r="N19" s="64" t="str" cm="1">
        <f t="array" ref="N19">IFERROR(INDEX('[1]PROSES ENJEKSİYON'!$K:$K,MATCH(1,('[1]PROSES ENJEKSİYON'!$A:$A=$L$2)*('[1]PROSES ENJEKSİYON'!$F:$F=A19),0)),"")</f>
        <v/>
      </c>
      <c r="O19" s="44" t="str" cm="1">
        <f t="array" ref="O19">IFERROR(INDEX('[1]PROSES ENJEKSİYON'!$L:$L,MATCH(1,('[1]PROSES ENJEKSİYON'!$A:$A=$L$2)*('[1]PROSES ENJEKSİYON'!$F:$F=A19),0)),"")</f>
        <v/>
      </c>
      <c r="P19" s="68" t="str" cm="1">
        <f t="array" ref="P19">IFERROR(INDEX('[1]PROSES ENJEKSİYON'!$G:$G,MATCH(1,('[1]PROSES ENJEKSİYON'!$A:$A=$P$2)*('[1]PROSES ENJEKSİYON'!$F:$F=A19),0)),"")</f>
        <v>MM-PET0274-02-028Y-052 - PET0274-02 1000ML SEFFAF SEFFAF 28MM YIVLI 52GR</v>
      </c>
      <c r="Q19" s="64" cm="1">
        <f t="array" ref="Q19">IFERROR(INDEX('[1]PROSES ENJEKSİYON'!$J:$J,MATCH(1,('[1]PROSES ENJEKSİYON'!$A:$A=$P$2)*('[1]PROSES ENJEKSİYON'!$F:$F=A19),0)),"")</f>
        <v>4</v>
      </c>
      <c r="R19" s="64" cm="1">
        <f t="array" ref="R19">IFERROR(INDEX('[1]PROSES ENJEKSİYON'!$K:$K,MATCH(1,('[1]PROSES ENJEKSİYON'!$A:$A=$P$2)*('[1]PROSES ENJEKSİYON'!$F:$F=A19),0)),"")</f>
        <v>3</v>
      </c>
      <c r="S19" s="44" cm="1">
        <f t="array" ref="S19">IFERROR(INDEX('[1]PROSES ENJEKSİYON'!$L:$L,MATCH(1,('[1]PROSES ENJEKSİYON'!$A:$A=$P$2)*('[1]PROSES ENJEKSİYON'!$F:$F=A19),0)),"")</f>
        <v>17.88</v>
      </c>
      <c r="T19" s="70" t="str" cm="1">
        <f t="array" ref="T19">IFERROR(INDEX('[1]PROSES ENJEKSİYON'!$G:$G,MATCH(1,('[1]PROSES ENJEKSİYON'!$A:$A=$T$2)*('[1]PROSES ENJEKSİYON'!$F:$F=A19),0)),"")</f>
        <v>PET0202-01 900ML SEFFAF SARI 28MM YIVLI 45GR</v>
      </c>
      <c r="U19" s="64" cm="1">
        <f t="array" ref="U19">IFERROR(INDEX('[1]PROSES ENJEKSİYON'!$J:$J,MATCH(1,('[1]PROSES ENJEKSİYON'!$A:$A=$T$2)*('[1]PROSES ENJEKSİYON'!$F:$F=A19),0)),"")</f>
        <v>4</v>
      </c>
      <c r="V19" s="64" cm="1">
        <f t="array" ref="V19">IFERROR(INDEX('[1]PROSES ENJEKSİYON'!$K:$K,MATCH(1,('[1]PROSES ENJEKSİYON'!$A:$A=$T$2)*('[1]PROSES ENJEKSİYON'!$F:$F=A19),0)),"")</f>
        <v>4</v>
      </c>
      <c r="W19" s="44" cm="1">
        <f t="array" ref="W19">IFERROR(INDEX('[1]PROSES ENJEKSİYON'!$L:$L,MATCH(1,('[1]PROSES ENJEKSİYON'!$A:$A=$T$2)*('[1]PROSES ENJEKSİYON'!$F:$F=A19),0)),"")</f>
        <v>16.52</v>
      </c>
      <c r="X19" s="68" t="str" cm="1">
        <f t="array" ref="X19">IFERROR(INDEX('[1]PROSES ENJEKSİYON'!$G:$G,MATCH(1,('[1]PROSES ENJEKSİYON'!$A:$A=$X$2)*('[1]PROSES ENJEKSİYON'!$F:$F=A19),0)),"")</f>
        <v/>
      </c>
      <c r="Y19" s="64" t="str" cm="1">
        <f t="array" ref="Y19">IFERROR(INDEX('[1]PROSES ENJEKSİYON'!$J:$J,MATCH(1,('[1]PROSES ENJEKSİYON'!$A:$A=$X$2)*('[1]PROSES ENJEKSİYON'!$F:$F=A19),0)),"")</f>
        <v/>
      </c>
      <c r="Z19" s="64" t="str" cm="1">
        <f t="array" ref="Z19">IFERROR(INDEX('[1]PROSES ENJEKSİYON'!$K:$K,MATCH(1,('[1]PROSES ENJEKSİYON'!$A:$A=$X$2)*('[1]PROSES ENJEKSİYON'!$F:$F=A19),0)),"")</f>
        <v/>
      </c>
      <c r="AA19" s="44" t="str" cm="1">
        <f t="array" ref="AA19">IFERROR(INDEX('[1]PROSES ENJEKSİYON'!$L:$L,MATCH(1,('[1]PROSES ENJEKSİYON'!$A:$A=$X$2)*('[1]PROSES ENJEKSİYON'!$F:$F=A19),0)),"")</f>
        <v/>
      </c>
      <c r="AB19" s="34" t="str" cm="1">
        <f t="array" ref="AB19">IFERROR(INDEX('[1]PROSES ENJEKSİYON'!$G:$G,MATCH(1,('[1]PROSES ENJEKSİYON'!$A:$A=$AB$2)*('[1]PROSES ENJEKSİYON'!$F:$F=A19),0)),"")</f>
        <v/>
      </c>
      <c r="AC19" s="32" t="str" cm="1">
        <f t="array" ref="AC19">IFERROR(INDEX('[1]PROSES ENJEKSİYON'!$J:$J,MATCH(1,('[1]PROSES ENJEKSİYON'!$A:$A=$AB$2)*('[1]PROSES ENJEKSİYON'!$F:$F=M19),0)),"")</f>
        <v/>
      </c>
      <c r="AD19" s="32" t="str" cm="1">
        <f t="array" ref="AD19">IFERROR(INDEX('[1]PROSES ENJEKSİYON'!$K:$K,MATCH(1,('[1]PROSES ENJEKSİYON'!$A:$A=$AD$2)*('[1]PROSES ENJEKSİYON'!$F:$F=M19),0)),"")</f>
        <v/>
      </c>
      <c r="AE19" s="35" t="str" cm="1">
        <f t="array" ref="AE19">IFERROR(INDEX('[1]PROSES ENJEKSİYON'!$L:$L,MATCH(1,('[1]PROSES ENJEKSİYON'!$A:$A=$AB$2)*('[1]PROSES ENJEKSİYON'!$F:$F=A19),0)),"")</f>
        <v/>
      </c>
    </row>
    <row r="20" spans="1:31" ht="46.95" hidden="1" customHeight="1" x14ac:dyDescent="0.4">
      <c r="A20" s="83">
        <v>173</v>
      </c>
      <c r="B20" s="31" t="str" cm="1">
        <f t="array" ref="B20">IFERROR(INDEX('[1]PROSES ENJEKSİYON'!$L:$L, MATCH(1,('[1]PROSES ENJEKSİYON'!$A:$A=$B$2)*('[1]PROSES ENJEKSİYON'!$F:$F=A20),0)), "")</f>
        <v/>
      </c>
      <c r="C20" s="31" t="str" cm="1">
        <f t="array" ref="C20">IFERROR(INDEX('[1]PROSES ENJEKSİYON'!$L:$L,MATCH(1,('[1]PROSES ENJEKSİYON'!$A:$A=$C$2)*('[1]PROSES ENJEKSİYON'!$F:$F=A20),0)),"")</f>
        <v/>
      </c>
      <c r="D20" s="31" t="str" cm="1">
        <f t="array" ref="D20">IFERROR(INDEX('[1]PROSES ENJEKSİYON'!$L:$L,MATCH(1,('[1]PROSES ENJEKSİYON'!$A:$A=$D$2)*('[1]PROSES ENJEKSİYON'!$F:$F=A20),0)),"")</f>
        <v/>
      </c>
      <c r="E20" s="31" t="str" cm="1">
        <f t="array" ref="E20">IFERROR(INDEX('[1]PROSES ENJEKSİYON'!$L:$L,MATCH(1,('[1]PROSES ENJEKSİYON'!$A:$A=$E$2)*('[1]PROSES ENJEKSİYON'!$F:$F=A20),0)),"")</f>
        <v/>
      </c>
      <c r="F20" s="31" t="str" cm="1">
        <f t="array" ref="F20">IFERROR(INDEX('[1]PROSES ENJEKSİYON'!$L:$L,MATCH(1,('[1]PROSES ENJEKSİYON'!$A:$A=$F$2)*('[1]PROSES ENJEKSİYON'!$F:$F=A20),0)),"")</f>
        <v/>
      </c>
      <c r="G20" s="31" t="str" cm="1">
        <f t="array" ref="G20">IFERROR(INDEX('[1]PROSES ENJEKSİYON'!$L:$L,MATCH(1,('[1]PROSES ENJEKSİYON'!$A:$A=$G$2)*('[1]PROSES ENJEKSİYON'!$F:$F=A20),0)),"")</f>
        <v/>
      </c>
      <c r="H20" s="70" t="str" cm="1">
        <f t="array" ref="H20">IFERROR(INDEX('[1]PROSES ENJEKSİYON'!$G:$G,MATCH(1,('[1]PROSES ENJEKSİYON'!$A:$A=$H$2)*('[1]PROSES ENJEKSİYON'!$F:$F=A20),0)),"")</f>
        <v>PET0019-01 650ML SEFFAF UV 28MM CAKMA 40GR</v>
      </c>
      <c r="I20" s="64" cm="1">
        <f t="array" ref="I20">IFERROR(INDEX('[1]PROSES ENJEKSİYON'!$J:$J,MATCH(1,('[1]PROSES ENJEKSİYON'!$A:$A=$H$2)*('[1]PROSES ENJEKSİYON'!$F:$F=A20),0)),"")</f>
        <v>5</v>
      </c>
      <c r="J20" s="64" cm="1">
        <f t="array" ref="J20">IFERROR(INDEX('[1]PROSES ENJEKSİYON'!$K:$K,MATCH(1,('[1]PROSES ENJEKSİYON'!$A:$A=$H$2)*('[1]PROSES ENJEKSİYON'!$F:$F=A20),0)),"")</f>
        <v>5</v>
      </c>
      <c r="K20" s="44" cm="1">
        <f t="array" ref="K20">IFERROR(INDEX('[1]PROSES ENJEKSİYON'!$L:$L,MATCH(1,('[1]PROSES ENJEKSİYON'!$A:$A=$H$2)*('[1]PROSES ENJEKSİYON'!$F:$F=A20),0)),"")</f>
        <v>16.89</v>
      </c>
      <c r="L20" s="66" t="str" cm="1">
        <f t="array" ref="L20">IFERROR(INDEX('[1]PROSES ENJEKSİYON'!$G:$G,MATCH(1,('[1]PROSES ENJEKSİYON'!$A:$A=$L$2)*('[1]PROSES ENJEKSİYON'!$F:$F=A20),0)),"")</f>
        <v/>
      </c>
      <c r="M20" s="64" t="str" cm="1">
        <f t="array" ref="M20">IFERROR(INDEX('[1]PROSES ENJEKSİYON'!$J:$J,MATCH(1,('[1]PROSES ENJEKSİYON'!$A:$A=$L$2)*('[1]PROSES ENJEKSİYON'!$F:$F=A20),0)),"")</f>
        <v/>
      </c>
      <c r="N20" s="64" t="str" cm="1">
        <f t="array" ref="N20">IFERROR(INDEX('[1]PROSES ENJEKSİYON'!$K:$K,MATCH(1,('[1]PROSES ENJEKSİYON'!$A:$A=$L$2)*('[1]PROSES ENJEKSİYON'!$F:$F=A20),0)),"")</f>
        <v/>
      </c>
      <c r="O20" s="44" t="str" cm="1">
        <f t="array" ref="O20">IFERROR(INDEX('[1]PROSES ENJEKSİYON'!$L:$L,MATCH(1,('[1]PROSES ENJEKSİYON'!$A:$A=$L$2)*('[1]PROSES ENJEKSİYON'!$F:$F=A20),0)),"")</f>
        <v/>
      </c>
      <c r="P20" s="68" t="str" cm="1">
        <f t="array" ref="P20">IFERROR(INDEX('[1]PROSES ENJEKSİYON'!$G:$G,MATCH(1,('[1]PROSES ENJEKSİYON'!$A:$A=$P$2)*('[1]PROSES ENJEKSİYON'!$F:$F=A20),0)),"")</f>
        <v>MM-PET0019-02-028C-040 - PET0019-02 650ML OPAK BEYAZ 28MM CAKMA 40GR</v>
      </c>
      <c r="Q20" s="64" cm="1">
        <f t="array" ref="Q20">IFERROR(INDEX('[1]PROSES ENJEKSİYON'!$J:$J,MATCH(1,('[1]PROSES ENJEKSİYON'!$A:$A=$P$2)*('[1]PROSES ENJEKSİYON'!$F:$F=A20),0)),"")</f>
        <v>5</v>
      </c>
      <c r="R20" s="64" cm="1">
        <f t="array" ref="R20">IFERROR(INDEX('[1]PROSES ENJEKSİYON'!$K:$K,MATCH(1,('[1]PROSES ENJEKSİYON'!$A:$A=$P$2)*('[1]PROSES ENJEKSİYON'!$F:$F=A20),0)),"")</f>
        <v>5</v>
      </c>
      <c r="S20" s="44" cm="1">
        <f t="array" ref="S20">IFERROR(INDEX('[1]PROSES ENJEKSİYON'!$L:$L,MATCH(1,('[1]PROSES ENJEKSİYON'!$A:$A=$P$2)*('[1]PROSES ENJEKSİYON'!$F:$F=A20),0)),"")</f>
        <v>16.809999999999999</v>
      </c>
      <c r="T20" s="70" t="str" cm="1">
        <f t="array" ref="T20">IFERROR(INDEX('[1]PROSES ENJEKSİYON'!$G:$G,MATCH(1,('[1]PROSES ENJEKSİYON'!$A:$A=$T$2)*('[1]PROSES ENJEKSİYON'!$F:$F=A20),0)),"")</f>
        <v>PET0019-02 650ML OPAK BEYAZ 28MM CAKMA 40GR</v>
      </c>
      <c r="U20" s="64" cm="1">
        <f t="array" ref="U20">IFERROR(INDEX('[1]PROSES ENJEKSİYON'!$J:$J,MATCH(1,('[1]PROSES ENJEKSİYON'!$A:$A=$T$2)*('[1]PROSES ENJEKSİYON'!$F:$F=A20),0)),"")</f>
        <v>5</v>
      </c>
      <c r="V20" s="64" cm="1">
        <f t="array" ref="V20">IFERROR(INDEX('[1]PROSES ENJEKSİYON'!$K:$K,MATCH(1,('[1]PROSES ENJEKSİYON'!$A:$A=$T$2)*('[1]PROSES ENJEKSİYON'!$F:$F=A20),0)),"")</f>
        <v>5</v>
      </c>
      <c r="W20" s="44" cm="1">
        <f t="array" ref="W20">IFERROR(INDEX('[1]PROSES ENJEKSİYON'!$L:$L,MATCH(1,('[1]PROSES ENJEKSİYON'!$A:$A=$T$2)*('[1]PROSES ENJEKSİYON'!$F:$F=A20),0)),"")</f>
        <v>16.809999999999999</v>
      </c>
      <c r="X20" s="68" t="str" cm="1">
        <f t="array" ref="X20">IFERROR(INDEX('[1]PROSES ENJEKSİYON'!$G:$G,MATCH(1,('[1]PROSES ENJEKSİYON'!$A:$A=$X$2)*('[1]PROSES ENJEKSİYON'!$F:$F=A20),0)),"")</f>
        <v/>
      </c>
      <c r="Y20" s="64" t="str" cm="1">
        <f t="array" ref="Y20">IFERROR(INDEX('[1]PROSES ENJEKSİYON'!$J:$J,MATCH(1,('[1]PROSES ENJEKSİYON'!$A:$A=$X$2)*('[1]PROSES ENJEKSİYON'!$F:$F=A20),0)),"")</f>
        <v/>
      </c>
      <c r="Z20" s="64" t="str" cm="1">
        <f t="array" ref="Z20">IFERROR(INDEX('[1]PROSES ENJEKSİYON'!$K:$K,MATCH(1,('[1]PROSES ENJEKSİYON'!$A:$A=$X$2)*('[1]PROSES ENJEKSİYON'!$F:$F=A20),0)),"")</f>
        <v/>
      </c>
      <c r="AA20" s="44" t="str" cm="1">
        <f t="array" ref="AA20">IFERROR(INDEX('[1]PROSES ENJEKSİYON'!$L:$L,MATCH(1,('[1]PROSES ENJEKSİYON'!$A:$A=$X$2)*('[1]PROSES ENJEKSİYON'!$F:$F=A20),0)),"")</f>
        <v/>
      </c>
      <c r="AB20" s="34" t="str" cm="1">
        <f t="array" ref="AB20">IFERROR(INDEX('[1]PROSES ENJEKSİYON'!$G:$G,MATCH(1,('[1]PROSES ENJEKSİYON'!$A:$A=$AB$2)*('[1]PROSES ENJEKSİYON'!$F:$F=A20),0)),"")</f>
        <v/>
      </c>
      <c r="AC20" s="32" t="str" cm="1">
        <f t="array" ref="AC20">IFERROR(INDEX('[1]PROSES ENJEKSİYON'!$J:$J,MATCH(1,('[1]PROSES ENJEKSİYON'!$A:$A=$AB$2)*('[1]PROSES ENJEKSİYON'!$F:$F=M20),0)),"")</f>
        <v/>
      </c>
      <c r="AD20" s="32" t="str" cm="1">
        <f t="array" ref="AD20">IFERROR(INDEX('[1]PROSES ENJEKSİYON'!$K:$K,MATCH(1,('[1]PROSES ENJEKSİYON'!$A:$A=$AD$2)*('[1]PROSES ENJEKSİYON'!$F:$F=M20),0)),"")</f>
        <v/>
      </c>
      <c r="AE20" s="35" t="str" cm="1">
        <f t="array" ref="AE20">IFERROR(INDEX('[1]PROSES ENJEKSİYON'!$L:$L,MATCH(1,('[1]PROSES ENJEKSİYON'!$A:$A=$AB$2)*('[1]PROSES ENJEKSİYON'!$F:$F=A20),0)),"")</f>
        <v/>
      </c>
    </row>
    <row r="21" spans="1:31" ht="46.95" hidden="1" customHeight="1" x14ac:dyDescent="0.4">
      <c r="A21" s="83">
        <v>174</v>
      </c>
      <c r="B21" s="31" t="str" cm="1">
        <f t="array" ref="B21">IFERROR(INDEX('[1]PROSES ENJEKSİYON'!$L:$L, MATCH(1,('[1]PROSES ENJEKSİYON'!$A:$A=$B$2)*('[1]PROSES ENJEKSİYON'!$F:$F=A21),0)), "")</f>
        <v/>
      </c>
      <c r="C21" s="31" t="str" cm="1">
        <f t="array" ref="C21">IFERROR(INDEX('[1]PROSES ENJEKSİYON'!$L:$L,MATCH(1,('[1]PROSES ENJEKSİYON'!$A:$A=$C$2)*('[1]PROSES ENJEKSİYON'!$F:$F=A21),0)),"")</f>
        <v/>
      </c>
      <c r="D21" s="31" t="str" cm="1">
        <f t="array" ref="D21">IFERROR(INDEX('[1]PROSES ENJEKSİYON'!$L:$L,MATCH(1,('[1]PROSES ENJEKSİYON'!$A:$A=$D$2)*('[1]PROSES ENJEKSİYON'!$F:$F=A21),0)),"")</f>
        <v/>
      </c>
      <c r="E21" s="31" t="str" cm="1">
        <f t="array" ref="E21">IFERROR(INDEX('[1]PROSES ENJEKSİYON'!$L:$L,MATCH(1,('[1]PROSES ENJEKSİYON'!$A:$A=$E$2)*('[1]PROSES ENJEKSİYON'!$F:$F=A21),0)),"")</f>
        <v/>
      </c>
      <c r="F21" s="31" t="str" cm="1">
        <f t="array" ref="F21">IFERROR(INDEX('[1]PROSES ENJEKSİYON'!$L:$L,MATCH(1,('[1]PROSES ENJEKSİYON'!$A:$A=$F$2)*('[1]PROSES ENJEKSİYON'!$F:$F=A21),0)),"")</f>
        <v/>
      </c>
      <c r="G21" s="31" t="str" cm="1">
        <f t="array" ref="G21">IFERROR(INDEX('[1]PROSES ENJEKSİYON'!$L:$L,MATCH(1,('[1]PROSES ENJEKSİYON'!$A:$A=$G$2)*('[1]PROSES ENJEKSİYON'!$F:$F=A21),0)),"")</f>
        <v/>
      </c>
      <c r="H21" s="70" t="str" cm="1">
        <f t="array" ref="H21">IFERROR(INDEX('[1]PROSES ENJEKSİYON'!$G:$G,MATCH(1,('[1]PROSES ENJEKSİYON'!$A:$A=$H$2)*('[1]PROSES ENJEKSİYON'!$F:$F=A21),0)),"")</f>
        <v/>
      </c>
      <c r="I21" s="64" t="str" cm="1">
        <f t="array" ref="I21">IFERROR(INDEX('[1]PROSES ENJEKSİYON'!$J:$J,MATCH(1,('[1]PROSES ENJEKSİYON'!$A:$A=$H$2)*('[1]PROSES ENJEKSİYON'!$F:$F=A21),0)),"")</f>
        <v/>
      </c>
      <c r="J21" s="64" t="str" cm="1">
        <f t="array" ref="J21">IFERROR(INDEX('[1]PROSES ENJEKSİYON'!$K:$K,MATCH(1,('[1]PROSES ENJEKSİYON'!$A:$A=$H$2)*('[1]PROSES ENJEKSİYON'!$F:$F=A21),0)),"")</f>
        <v/>
      </c>
      <c r="K21" s="44" t="str" cm="1">
        <f t="array" ref="K21">IFERROR(INDEX('[1]PROSES ENJEKSİYON'!$L:$L,MATCH(1,('[1]PROSES ENJEKSİYON'!$A:$A=$H$2)*('[1]PROSES ENJEKSİYON'!$F:$F=A21),0)),"")</f>
        <v/>
      </c>
      <c r="L21" s="66" t="str" cm="1">
        <f t="array" ref="L21">IFERROR(INDEX('[1]PROSES ENJEKSİYON'!$G:$G,MATCH(1,('[1]PROSES ENJEKSİYON'!$A:$A=$L$2)*('[1]PROSES ENJEKSİYON'!$F:$F=A21),0)),"")</f>
        <v/>
      </c>
      <c r="M21" s="64" t="str" cm="1">
        <f t="array" ref="M21">IFERROR(INDEX('[1]PROSES ENJEKSİYON'!$J:$J,MATCH(1,('[1]PROSES ENJEKSİYON'!$A:$A=$L$2)*('[1]PROSES ENJEKSİYON'!$F:$F=A21),0)),"")</f>
        <v/>
      </c>
      <c r="N21" s="64" t="str" cm="1">
        <f t="array" ref="N21">IFERROR(INDEX('[1]PROSES ENJEKSİYON'!$K:$K,MATCH(1,('[1]PROSES ENJEKSİYON'!$A:$A=$L$2)*('[1]PROSES ENJEKSİYON'!$F:$F=A21),0)),"")</f>
        <v/>
      </c>
      <c r="O21" s="44" t="str" cm="1">
        <f t="array" ref="O21">IFERROR(INDEX('[1]PROSES ENJEKSİYON'!$L:$L,MATCH(1,('[1]PROSES ENJEKSİYON'!$A:$A=$L$2)*('[1]PROSES ENJEKSİYON'!$F:$F=A21),0)),"")</f>
        <v/>
      </c>
      <c r="P21" s="68" t="str" cm="1">
        <f t="array" ref="P21">IFERROR(INDEX('[1]PROSES ENJEKSİYON'!$G:$G,MATCH(1,('[1]PROSES ENJEKSİYON'!$A:$A=$P$2)*('[1]PROSES ENJEKSİYON'!$F:$F=A21),0)),"")</f>
        <v>MM-PET0185-01-100Y-045 - PET0185-01 500ML SEFFAF SEFFAF 100MM YIVLI 45GR</v>
      </c>
      <c r="Q21" s="64" cm="1">
        <f t="array" ref="Q21">IFERROR(INDEX('[1]PROSES ENJEKSİYON'!$J:$J,MATCH(1,('[1]PROSES ENJEKSİYON'!$A:$A=$P$2)*('[1]PROSES ENJEKSİYON'!$F:$F=A21),0)),"")</f>
        <v>3</v>
      </c>
      <c r="R21" s="64" cm="1">
        <f t="array" ref="R21">IFERROR(INDEX('[1]PROSES ENJEKSİYON'!$K:$K,MATCH(1,('[1]PROSES ENJEKSİYON'!$A:$A=$P$2)*('[1]PROSES ENJEKSİYON'!$F:$F=A21),0)),"")</f>
        <v>3</v>
      </c>
      <c r="S21" s="44" cm="1">
        <f t="array" ref="S21">IFERROR(INDEX('[1]PROSES ENJEKSİYON'!$L:$L,MATCH(1,('[1]PROSES ENJEKSİYON'!$A:$A=$P$2)*('[1]PROSES ENJEKSİYON'!$F:$F=A21),0)),"")</f>
        <v>14.64</v>
      </c>
      <c r="T21" s="70" t="str" cm="1">
        <f t="array" ref="T21">IFERROR(INDEX('[1]PROSES ENJEKSİYON'!$G:$G,MATCH(1,('[1]PROSES ENJEKSİYON'!$A:$A=$T$2)*('[1]PROSES ENJEKSİYON'!$F:$F=A21),0)),"")</f>
        <v>PET0185-01 500ML SEFFAF SEFFAF 100MM YIVLI 45GR</v>
      </c>
      <c r="U21" s="64" cm="1">
        <f t="array" ref="U21">IFERROR(INDEX('[1]PROSES ENJEKSİYON'!$J:$J,MATCH(1,('[1]PROSES ENJEKSİYON'!$A:$A=$T$2)*('[1]PROSES ENJEKSİYON'!$F:$F=A21),0)),"")</f>
        <v>3</v>
      </c>
      <c r="V21" s="64" cm="1">
        <f t="array" ref="V21">IFERROR(INDEX('[1]PROSES ENJEKSİYON'!$K:$K,MATCH(1,('[1]PROSES ENJEKSİYON'!$A:$A=$T$2)*('[1]PROSES ENJEKSİYON'!$F:$F=A21),0)),"")</f>
        <v>3</v>
      </c>
      <c r="W21" s="44" cm="1">
        <f t="array" ref="W21">IFERROR(INDEX('[1]PROSES ENJEKSİYON'!$L:$L,MATCH(1,('[1]PROSES ENJEKSİYON'!$A:$A=$T$2)*('[1]PROSES ENJEKSİYON'!$F:$F=A21),0)),"")</f>
        <v>14.61</v>
      </c>
      <c r="X21" s="68" t="str" cm="1">
        <f t="array" ref="X21">IFERROR(INDEX('[1]PROSES ENJEKSİYON'!$G:$G,MATCH(1,('[1]PROSES ENJEKSİYON'!$A:$A=$X$2)*('[1]PROSES ENJEKSİYON'!$F:$F=A21),0)),"")</f>
        <v/>
      </c>
      <c r="Y21" s="64" t="str" cm="1">
        <f t="array" ref="Y21">IFERROR(INDEX('[1]PROSES ENJEKSİYON'!$J:$J,MATCH(1,('[1]PROSES ENJEKSİYON'!$A:$A=$X$2)*('[1]PROSES ENJEKSİYON'!$F:$F=A21),0)),"")</f>
        <v/>
      </c>
      <c r="Z21" s="64" t="str" cm="1">
        <f t="array" ref="Z21">IFERROR(INDEX('[1]PROSES ENJEKSİYON'!$K:$K,MATCH(1,('[1]PROSES ENJEKSİYON'!$A:$A=$X$2)*('[1]PROSES ENJEKSİYON'!$F:$F=A21),0)),"")</f>
        <v/>
      </c>
      <c r="AA21" s="44" t="str" cm="1">
        <f t="array" ref="AA21">IFERROR(INDEX('[1]PROSES ENJEKSİYON'!$L:$L,MATCH(1,('[1]PROSES ENJEKSİYON'!$A:$A=$X$2)*('[1]PROSES ENJEKSİYON'!$F:$F=A21),0)),"")</f>
        <v/>
      </c>
      <c r="AB21" s="34" t="str" cm="1">
        <f t="array" ref="AB21">IFERROR(INDEX('[1]PROSES ENJEKSİYON'!$G:$G,MATCH(1,('[1]PROSES ENJEKSİYON'!$A:$A=$AB$2)*('[1]PROSES ENJEKSİYON'!$F:$F=A21),0)),"")</f>
        <v/>
      </c>
      <c r="AC21" s="32" t="str" cm="1">
        <f t="array" ref="AC21">IFERROR(INDEX('[1]PROSES ENJEKSİYON'!$J:$J,MATCH(1,('[1]PROSES ENJEKSİYON'!$A:$A=$AB$2)*('[1]PROSES ENJEKSİYON'!$F:$F=M21),0)),"")</f>
        <v/>
      </c>
      <c r="AD21" s="32" t="str" cm="1">
        <f t="array" ref="AD21">IFERROR(INDEX('[1]PROSES ENJEKSİYON'!$K:$K,MATCH(1,('[1]PROSES ENJEKSİYON'!$A:$A=$AD$2)*('[1]PROSES ENJEKSİYON'!$F:$F=M21),0)),"")</f>
        <v/>
      </c>
      <c r="AE21" s="35" t="str" cm="1">
        <f t="array" ref="AE21">IFERROR(INDEX('[1]PROSES ENJEKSİYON'!$L:$L,MATCH(1,('[1]PROSES ENJEKSİYON'!$A:$A=$AB$2)*('[1]PROSES ENJEKSİYON'!$F:$F=A21),0)),"")</f>
        <v/>
      </c>
    </row>
    <row r="22" spans="1:31" ht="46.95" hidden="1" customHeight="1" x14ac:dyDescent="0.4">
      <c r="A22" s="83">
        <v>175</v>
      </c>
      <c r="B22" s="31" t="str" cm="1">
        <f t="array" ref="B22">IFERROR(INDEX('[1]PROSES ENJEKSİYON'!$L:$L, MATCH(1,('[1]PROSES ENJEKSİYON'!$A:$A=$B$2)*('[1]PROSES ENJEKSİYON'!$F:$F=A22),0)), "")</f>
        <v/>
      </c>
      <c r="C22" s="31" t="str" cm="1">
        <f t="array" ref="C22">IFERROR(INDEX('[1]PROSES ENJEKSİYON'!$L:$L,MATCH(1,('[1]PROSES ENJEKSİYON'!$A:$A=$C$2)*('[1]PROSES ENJEKSİYON'!$F:$F=A22),0)),"")</f>
        <v/>
      </c>
      <c r="D22" s="31" t="str" cm="1">
        <f t="array" ref="D22">IFERROR(INDEX('[1]PROSES ENJEKSİYON'!$L:$L,MATCH(1,('[1]PROSES ENJEKSİYON'!$A:$A=$D$2)*('[1]PROSES ENJEKSİYON'!$F:$F=A22),0)),"")</f>
        <v/>
      </c>
      <c r="E22" s="31" t="str" cm="1">
        <f t="array" ref="E22">IFERROR(INDEX('[1]PROSES ENJEKSİYON'!$L:$L,MATCH(1,('[1]PROSES ENJEKSİYON'!$A:$A=$E$2)*('[1]PROSES ENJEKSİYON'!$F:$F=A22),0)),"")</f>
        <v/>
      </c>
      <c r="F22" s="31" t="str" cm="1">
        <f t="array" ref="F22">IFERROR(INDEX('[1]PROSES ENJEKSİYON'!$L:$L,MATCH(1,('[1]PROSES ENJEKSİYON'!$A:$A=$F$2)*('[1]PROSES ENJEKSİYON'!$F:$F=A22),0)),"")</f>
        <v/>
      </c>
      <c r="G22" s="31" t="str" cm="1">
        <f t="array" ref="G22">IFERROR(INDEX('[1]PROSES ENJEKSİYON'!$L:$L,MATCH(1,('[1]PROSES ENJEKSİYON'!$A:$A=$G$2)*('[1]PROSES ENJEKSİYON'!$F:$F=A22),0)),"")</f>
        <v/>
      </c>
      <c r="H22" s="70" t="str" cm="1">
        <f t="array" ref="H22">IFERROR(INDEX('[1]PROSES ENJEKSİYON'!$G:$G,MATCH(1,('[1]PROSES ENJEKSİYON'!$A:$A=$H$2)*('[1]PROSES ENJEKSİYON'!$F:$F=A22),0)),"")</f>
        <v/>
      </c>
      <c r="I22" s="64" t="str" cm="1">
        <f t="array" ref="I22">IFERROR(INDEX('[1]PROSES ENJEKSİYON'!$J:$J,MATCH(1,('[1]PROSES ENJEKSİYON'!$A:$A=$H$2)*('[1]PROSES ENJEKSİYON'!$F:$F=A22),0)),"")</f>
        <v/>
      </c>
      <c r="J22" s="64" t="str" cm="1">
        <f t="array" ref="J22">IFERROR(INDEX('[1]PROSES ENJEKSİYON'!$K:$K,MATCH(1,('[1]PROSES ENJEKSİYON'!$A:$A=$H$2)*('[1]PROSES ENJEKSİYON'!$F:$F=A22),0)),"")</f>
        <v/>
      </c>
      <c r="K22" s="44" t="str" cm="1">
        <f t="array" ref="K22">IFERROR(INDEX('[1]PROSES ENJEKSİYON'!$L:$L,MATCH(1,('[1]PROSES ENJEKSİYON'!$A:$A=$H$2)*('[1]PROSES ENJEKSİYON'!$F:$F=A22),0)),"")</f>
        <v/>
      </c>
      <c r="L22" s="66" t="str" cm="1">
        <f t="array" ref="L22">IFERROR(INDEX('[1]PROSES ENJEKSİYON'!$G:$G,MATCH(1,('[1]PROSES ENJEKSİYON'!$A:$A=$L$2)*('[1]PROSES ENJEKSİYON'!$F:$F=A22),0)),"")</f>
        <v/>
      </c>
      <c r="M22" s="64" t="str" cm="1">
        <f t="array" ref="M22">IFERROR(INDEX('[1]PROSES ENJEKSİYON'!$J:$J,MATCH(1,('[1]PROSES ENJEKSİYON'!$A:$A=$L$2)*('[1]PROSES ENJEKSİYON'!$F:$F=A22),0)),"")</f>
        <v/>
      </c>
      <c r="N22" s="64" t="str" cm="1">
        <f t="array" ref="N22">IFERROR(INDEX('[1]PROSES ENJEKSİYON'!$K:$K,MATCH(1,('[1]PROSES ENJEKSİYON'!$A:$A=$L$2)*('[1]PROSES ENJEKSİYON'!$F:$F=A22),0)),"")</f>
        <v/>
      </c>
      <c r="O22" s="44" t="str" cm="1">
        <f t="array" ref="O22">IFERROR(INDEX('[1]PROSES ENJEKSİYON'!$L:$L,MATCH(1,('[1]PROSES ENJEKSİYON'!$A:$A=$L$2)*('[1]PROSES ENJEKSİYON'!$F:$F=A22),0)),"")</f>
        <v/>
      </c>
      <c r="P22" s="68" t="str" cm="1">
        <f t="array" ref="P22">IFERROR(INDEX('[1]PROSES ENJEKSİYON'!$G:$G,MATCH(1,('[1]PROSES ENJEKSİYON'!$A:$A=$P$2)*('[1]PROSES ENJEKSİYON'!$F:$F=A22),0)),"")</f>
        <v>MM-PET0238-01-028C-035 - PET0238-01 450ML SEFFAF UV 28MM CAKMA 35GR</v>
      </c>
      <c r="Q22" s="64" cm="1">
        <f t="array" ref="Q22">IFERROR(INDEX('[1]PROSES ENJEKSİYON'!$J:$J,MATCH(1,('[1]PROSES ENJEKSİYON'!$A:$A=$P$2)*('[1]PROSES ENJEKSİYON'!$F:$F=A22),0)),"")</f>
        <v>5</v>
      </c>
      <c r="R22" s="64" cm="1">
        <f t="array" ref="R22">IFERROR(INDEX('[1]PROSES ENJEKSİYON'!$K:$K,MATCH(1,('[1]PROSES ENJEKSİYON'!$A:$A=$P$2)*('[1]PROSES ENJEKSİYON'!$F:$F=A22),0)),"")</f>
        <v>5</v>
      </c>
      <c r="S22" s="44" cm="1">
        <f t="array" ref="S22">IFERROR(INDEX('[1]PROSES ENJEKSİYON'!$L:$L,MATCH(1,('[1]PROSES ENJEKSİYON'!$A:$A=$P$2)*('[1]PROSES ENJEKSİYON'!$F:$F=A22),0)),"")</f>
        <v>15.21</v>
      </c>
      <c r="T22" s="70" t="str" cm="1">
        <f t="array" ref="T22">IFERROR(INDEX('[1]PROSES ENJEKSİYON'!$G:$G,MATCH(1,('[1]PROSES ENJEKSİYON'!$A:$A=$T$2)*('[1]PROSES ENJEKSİYON'!$F:$F=A22),0)),"")</f>
        <v>PET0238-01 450ML SEFFAF UV 28MM CAKMA 35GR</v>
      </c>
      <c r="U22" s="64" cm="1">
        <f t="array" ref="U22">IFERROR(INDEX('[1]PROSES ENJEKSİYON'!$J:$J,MATCH(1,('[1]PROSES ENJEKSİYON'!$A:$A=$T$2)*('[1]PROSES ENJEKSİYON'!$F:$F=A22),0)),"")</f>
        <v>5</v>
      </c>
      <c r="V22" s="64" cm="1">
        <f t="array" ref="V22">IFERROR(INDEX('[1]PROSES ENJEKSİYON'!$K:$K,MATCH(1,('[1]PROSES ENJEKSİYON'!$A:$A=$T$2)*('[1]PROSES ENJEKSİYON'!$F:$F=A22),0)),"")</f>
        <v>5</v>
      </c>
      <c r="W22" s="44" cm="1">
        <f t="array" ref="W22">IFERROR(INDEX('[1]PROSES ENJEKSİYON'!$L:$L,MATCH(1,('[1]PROSES ENJEKSİYON'!$A:$A=$T$2)*('[1]PROSES ENJEKSİYON'!$F:$F=A22),0)),"")</f>
        <v>15.22</v>
      </c>
      <c r="X22" s="68" t="str" cm="1">
        <f t="array" ref="X22">IFERROR(INDEX('[1]PROSES ENJEKSİYON'!$G:$G,MATCH(1,('[1]PROSES ENJEKSİYON'!$A:$A=$X$2)*('[1]PROSES ENJEKSİYON'!$F:$F=A22),0)),"")</f>
        <v/>
      </c>
      <c r="Y22" s="64" t="str" cm="1">
        <f t="array" ref="Y22">IFERROR(INDEX('[1]PROSES ENJEKSİYON'!$J:$J,MATCH(1,('[1]PROSES ENJEKSİYON'!$A:$A=$X$2)*('[1]PROSES ENJEKSİYON'!$F:$F=A22),0)),"")</f>
        <v/>
      </c>
      <c r="Z22" s="64" t="str" cm="1">
        <f t="array" ref="Z22">IFERROR(INDEX('[1]PROSES ENJEKSİYON'!$K:$K,MATCH(1,('[1]PROSES ENJEKSİYON'!$A:$A=$X$2)*('[1]PROSES ENJEKSİYON'!$F:$F=A22),0)),"")</f>
        <v/>
      </c>
      <c r="AA22" s="44" t="str" cm="1">
        <f t="array" ref="AA22">IFERROR(INDEX('[1]PROSES ENJEKSİYON'!$L:$L,MATCH(1,('[1]PROSES ENJEKSİYON'!$A:$A=$X$2)*('[1]PROSES ENJEKSİYON'!$F:$F=A22),0)),"")</f>
        <v/>
      </c>
      <c r="AB22" s="34" t="str" cm="1">
        <f t="array" ref="AB22">IFERROR(INDEX('[1]PROSES ENJEKSİYON'!$G:$G,MATCH(1,('[1]PROSES ENJEKSİYON'!$A:$A=$AB$2)*('[1]PROSES ENJEKSİYON'!$F:$F=A22),0)),"")</f>
        <v/>
      </c>
      <c r="AC22" s="32" t="str" cm="1">
        <f t="array" ref="AC22">IFERROR(INDEX('[1]PROSES ENJEKSİYON'!$J:$J,MATCH(1,('[1]PROSES ENJEKSİYON'!$A:$A=$AB$2)*('[1]PROSES ENJEKSİYON'!$F:$F=M22),0)),"")</f>
        <v/>
      </c>
      <c r="AD22" s="32" t="str" cm="1">
        <f t="array" ref="AD22">IFERROR(INDEX('[1]PROSES ENJEKSİYON'!$K:$K,MATCH(1,('[1]PROSES ENJEKSİYON'!$A:$A=$AD$2)*('[1]PROSES ENJEKSİYON'!$F:$F=M22),0)),"")</f>
        <v/>
      </c>
      <c r="AE22" s="35" t="str" cm="1">
        <f t="array" ref="AE22">IFERROR(INDEX('[1]PROSES ENJEKSİYON'!$L:$L,MATCH(1,('[1]PROSES ENJEKSİYON'!$A:$A=$AB$2)*('[1]PROSES ENJEKSİYON'!$F:$F=A22),0)),"")</f>
        <v/>
      </c>
    </row>
    <row r="23" spans="1:31" ht="46.95" hidden="1" customHeight="1" x14ac:dyDescent="0.4">
      <c r="A23" s="83">
        <v>176</v>
      </c>
      <c r="B23" s="31" t="str" cm="1">
        <f t="array" ref="B23">IFERROR(INDEX('[1]PROSES ENJEKSİYON'!$L:$L, MATCH(1,('[1]PROSES ENJEKSİYON'!$A:$A=$B$2)*('[1]PROSES ENJEKSİYON'!$F:$F=A23),0)), "")</f>
        <v/>
      </c>
      <c r="C23" s="31" t="str" cm="1">
        <f t="array" ref="C23">IFERROR(INDEX('[1]PROSES ENJEKSİYON'!$L:$L,MATCH(1,('[1]PROSES ENJEKSİYON'!$A:$A=$C$2)*('[1]PROSES ENJEKSİYON'!$F:$F=A23),0)),"")</f>
        <v/>
      </c>
      <c r="D23" s="31" t="str" cm="1">
        <f t="array" ref="D23">IFERROR(INDEX('[1]PROSES ENJEKSİYON'!$L:$L,MATCH(1,('[1]PROSES ENJEKSİYON'!$A:$A=$D$2)*('[1]PROSES ENJEKSİYON'!$F:$F=A23),0)),"")</f>
        <v/>
      </c>
      <c r="E23" s="31" t="str" cm="1">
        <f t="array" ref="E23">IFERROR(INDEX('[1]PROSES ENJEKSİYON'!$L:$L,MATCH(1,('[1]PROSES ENJEKSİYON'!$A:$A=$E$2)*('[1]PROSES ENJEKSİYON'!$F:$F=A23),0)),"")</f>
        <v/>
      </c>
      <c r="F23" s="31" t="str" cm="1">
        <f t="array" ref="F23">IFERROR(INDEX('[1]PROSES ENJEKSİYON'!$L:$L,MATCH(1,('[1]PROSES ENJEKSİYON'!$A:$A=$F$2)*('[1]PROSES ENJEKSİYON'!$F:$F=A23),0)),"")</f>
        <v/>
      </c>
      <c r="G23" s="31" t="str" cm="1">
        <f t="array" ref="G23">IFERROR(INDEX('[1]PROSES ENJEKSİYON'!$L:$L,MATCH(1,('[1]PROSES ENJEKSİYON'!$A:$A=$G$2)*('[1]PROSES ENJEKSİYON'!$F:$F=A23),0)),"")</f>
        <v/>
      </c>
      <c r="H23" s="70" t="str" cm="1">
        <f t="array" ref="H23">IFERROR(INDEX('[1]PROSES ENJEKSİYON'!$G:$G,MATCH(1,('[1]PROSES ENJEKSİYON'!$A:$A=$H$2)*('[1]PROSES ENJEKSİYON'!$F:$F=A23),0)),"")</f>
        <v>PET0015-05 1000ML OPAK TURKUAZ 28MM YIVLI 52GR</v>
      </c>
      <c r="I23" s="64" cm="1">
        <f t="array" ref="I23">IFERROR(INDEX('[1]PROSES ENJEKSİYON'!$J:$J,MATCH(1,('[1]PROSES ENJEKSİYON'!$A:$A=$H$2)*('[1]PROSES ENJEKSİYON'!$F:$F=A23),0)),"")</f>
        <v>5</v>
      </c>
      <c r="J23" s="64" cm="1">
        <f t="array" ref="J23">IFERROR(INDEX('[1]PROSES ENJEKSİYON'!$K:$K,MATCH(1,('[1]PROSES ENJEKSİYON'!$A:$A=$H$2)*('[1]PROSES ENJEKSİYON'!$F:$F=A23),0)),"")</f>
        <v>5</v>
      </c>
      <c r="K23" s="44" cm="1">
        <f t="array" ref="K23">IFERROR(INDEX('[1]PROSES ENJEKSİYON'!$L:$L,MATCH(1,('[1]PROSES ENJEKSİYON'!$A:$A=$H$2)*('[1]PROSES ENJEKSİYON'!$F:$F=A23),0)),"")</f>
        <v>18.5</v>
      </c>
      <c r="L23" s="66" t="str" cm="1">
        <f t="array" ref="L23">IFERROR(INDEX('[1]PROSES ENJEKSİYON'!$G:$G,MATCH(1,('[1]PROSES ENJEKSİYON'!$A:$A=$L$2)*('[1]PROSES ENJEKSİYON'!$F:$F=A23),0)),"")</f>
        <v/>
      </c>
      <c r="M23" s="64" t="str" cm="1">
        <f t="array" ref="M23">IFERROR(INDEX('[1]PROSES ENJEKSİYON'!$J:$J,MATCH(1,('[1]PROSES ENJEKSİYON'!$A:$A=$L$2)*('[1]PROSES ENJEKSİYON'!$F:$F=A23),0)),"")</f>
        <v/>
      </c>
      <c r="N23" s="64" t="str" cm="1">
        <f t="array" ref="N23">IFERROR(INDEX('[1]PROSES ENJEKSİYON'!$K:$K,MATCH(1,('[1]PROSES ENJEKSİYON'!$A:$A=$L$2)*('[1]PROSES ENJEKSİYON'!$F:$F=A23),0)),"")</f>
        <v/>
      </c>
      <c r="O23" s="44" t="str" cm="1">
        <f t="array" ref="O23">IFERROR(INDEX('[1]PROSES ENJEKSİYON'!$L:$L,MATCH(1,('[1]PROSES ENJEKSİYON'!$A:$A=$L$2)*('[1]PROSES ENJEKSİYON'!$F:$F=A23),0)),"")</f>
        <v/>
      </c>
      <c r="P23" s="68" t="str" cm="1">
        <f t="array" ref="P23">IFERROR(INDEX('[1]PROSES ENJEKSİYON'!$G:$G,MATCH(1,('[1]PROSES ENJEKSİYON'!$A:$A=$P$2)*('[1]PROSES ENJEKSİYON'!$F:$F=A23),0)),"")</f>
        <v>MM-PET0026-04-028Y-052 - PET0026-04 900ML OPAK BEYAZ 28MM YIVLI 52GR</v>
      </c>
      <c r="Q23" s="64" cm="1">
        <f t="array" ref="Q23">IFERROR(INDEX('[1]PROSES ENJEKSİYON'!$J:$J,MATCH(1,('[1]PROSES ENJEKSİYON'!$A:$A=$P$2)*('[1]PROSES ENJEKSİYON'!$F:$F=A23),0)),"")</f>
        <v>5</v>
      </c>
      <c r="R23" s="64" cm="1">
        <f t="array" ref="R23">IFERROR(INDEX('[1]PROSES ENJEKSİYON'!$K:$K,MATCH(1,('[1]PROSES ENJEKSİYON'!$A:$A=$P$2)*('[1]PROSES ENJEKSİYON'!$F:$F=A23),0)),"")</f>
        <v>5</v>
      </c>
      <c r="S23" s="44" cm="1">
        <f t="array" ref="S23">IFERROR(INDEX('[1]PROSES ENJEKSİYON'!$L:$L,MATCH(1,('[1]PROSES ENJEKSİYON'!$A:$A=$P$2)*('[1]PROSES ENJEKSİYON'!$F:$F=A23),0)),"")</f>
        <v>18.010000000000002</v>
      </c>
      <c r="T23" s="70" t="str" cm="1">
        <f t="array" ref="T23">IFERROR(INDEX('[1]PROSES ENJEKSİYON'!$G:$G,MATCH(1,('[1]PROSES ENJEKSİYON'!$A:$A=$T$2)*('[1]PROSES ENJEKSİYON'!$F:$F=A23),0)),"")</f>
        <v>PET0015-04 1000ML OPAK MAVI 28MM YIVLI 52GR</v>
      </c>
      <c r="U23" s="64" cm="1">
        <f t="array" ref="U23">IFERROR(INDEX('[1]PROSES ENJEKSİYON'!$J:$J,MATCH(1,('[1]PROSES ENJEKSİYON'!$A:$A=$T$2)*('[1]PROSES ENJEKSİYON'!$F:$F=A23),0)),"")</f>
        <v>5</v>
      </c>
      <c r="V23" s="64" cm="1">
        <f t="array" ref="V23">IFERROR(INDEX('[1]PROSES ENJEKSİYON'!$K:$K,MATCH(1,('[1]PROSES ENJEKSİYON'!$A:$A=$T$2)*('[1]PROSES ENJEKSİYON'!$F:$F=A23),0)),"")</f>
        <v>5</v>
      </c>
      <c r="W23" s="44" cm="1">
        <f t="array" ref="W23">IFERROR(INDEX('[1]PROSES ENJEKSİYON'!$L:$L,MATCH(1,('[1]PROSES ENJEKSİYON'!$A:$A=$T$2)*('[1]PROSES ENJEKSİYON'!$F:$F=A23),0)),"")</f>
        <v>18.010000000000002</v>
      </c>
      <c r="X23" s="68" t="str" cm="1">
        <f t="array" ref="X23">IFERROR(INDEX('[1]PROSES ENJEKSİYON'!$G:$G,MATCH(1,('[1]PROSES ENJEKSİYON'!$A:$A=$X$2)*('[1]PROSES ENJEKSİYON'!$F:$F=A23),0)),"")</f>
        <v/>
      </c>
      <c r="Y23" s="64" t="str" cm="1">
        <f t="array" ref="Y23">IFERROR(INDEX('[1]PROSES ENJEKSİYON'!$J:$J,MATCH(1,('[1]PROSES ENJEKSİYON'!$A:$A=$X$2)*('[1]PROSES ENJEKSİYON'!$F:$F=A23),0)),"")</f>
        <v/>
      </c>
      <c r="Z23" s="64" t="str" cm="1">
        <f t="array" ref="Z23">IFERROR(INDEX('[1]PROSES ENJEKSİYON'!$K:$K,MATCH(1,('[1]PROSES ENJEKSİYON'!$A:$A=$X$2)*('[1]PROSES ENJEKSİYON'!$F:$F=A23),0)),"")</f>
        <v/>
      </c>
      <c r="AA23" s="44" t="str" cm="1">
        <f t="array" ref="AA23">IFERROR(INDEX('[1]PROSES ENJEKSİYON'!$L:$L,MATCH(1,('[1]PROSES ENJEKSİYON'!$A:$A=$X$2)*('[1]PROSES ENJEKSİYON'!$F:$F=A23),0)),"")</f>
        <v/>
      </c>
      <c r="AB23" s="34" t="str" cm="1">
        <f t="array" ref="AB23">IFERROR(INDEX('[1]PROSES ENJEKSİYON'!$G:$G,MATCH(1,('[1]PROSES ENJEKSİYON'!$A:$A=$AB$2)*('[1]PROSES ENJEKSİYON'!$F:$F=A23),0)),"")</f>
        <v/>
      </c>
      <c r="AC23" s="32" t="str" cm="1">
        <f t="array" ref="AC23">IFERROR(INDEX('[1]PROSES ENJEKSİYON'!$J:$J,MATCH(1,('[1]PROSES ENJEKSİYON'!$A:$A=$AB$2)*('[1]PROSES ENJEKSİYON'!$F:$F=M23),0)),"")</f>
        <v/>
      </c>
      <c r="AD23" s="32" t="str" cm="1">
        <f t="array" ref="AD23">IFERROR(INDEX('[1]PROSES ENJEKSİYON'!$K:$K,MATCH(1,('[1]PROSES ENJEKSİYON'!$A:$A=$AD$2)*('[1]PROSES ENJEKSİYON'!$F:$F=M23),0)),"")</f>
        <v/>
      </c>
      <c r="AE23" s="35" t="str" cm="1">
        <f t="array" ref="AE23">IFERROR(INDEX('[1]PROSES ENJEKSİYON'!$L:$L,MATCH(1,('[1]PROSES ENJEKSİYON'!$A:$A=$AB$2)*('[1]PROSES ENJEKSİYON'!$F:$F=A23),0)),"")</f>
        <v/>
      </c>
    </row>
    <row r="24" spans="1:31" ht="46.95" hidden="1" customHeight="1" x14ac:dyDescent="0.4">
      <c r="A24" s="83">
        <v>177</v>
      </c>
      <c r="B24" s="31" t="str" cm="1">
        <f t="array" ref="B24">IFERROR(INDEX('[1]PROSES ENJEKSİYON'!$L:$L, MATCH(1,('[1]PROSES ENJEKSİYON'!$A:$A=$B$2)*('[1]PROSES ENJEKSİYON'!$F:$F=A24),0)), "")</f>
        <v/>
      </c>
      <c r="C24" s="31" t="str" cm="1">
        <f t="array" ref="C24">IFERROR(INDEX('[1]PROSES ENJEKSİYON'!$L:$L,MATCH(1,('[1]PROSES ENJEKSİYON'!$A:$A=$C$2)*('[1]PROSES ENJEKSİYON'!$F:$F=A24),0)),"")</f>
        <v/>
      </c>
      <c r="D24" s="31" t="str" cm="1">
        <f t="array" ref="D24">IFERROR(INDEX('[1]PROSES ENJEKSİYON'!$L:$L,MATCH(1,('[1]PROSES ENJEKSİYON'!$A:$A=$D$2)*('[1]PROSES ENJEKSİYON'!$F:$F=A24),0)),"")</f>
        <v/>
      </c>
      <c r="E24" s="31" t="str" cm="1">
        <f t="array" ref="E24">IFERROR(INDEX('[1]PROSES ENJEKSİYON'!$L:$L,MATCH(1,('[1]PROSES ENJEKSİYON'!$A:$A=$E$2)*('[1]PROSES ENJEKSİYON'!$F:$F=A24),0)),"")</f>
        <v/>
      </c>
      <c r="F24" s="31" t="str" cm="1">
        <f t="array" ref="F24">IFERROR(INDEX('[1]PROSES ENJEKSİYON'!$L:$L,MATCH(1,('[1]PROSES ENJEKSİYON'!$A:$A=$F$2)*('[1]PROSES ENJEKSİYON'!$F:$F=A24),0)),"")</f>
        <v/>
      </c>
      <c r="G24" s="31" t="str" cm="1">
        <f t="array" ref="G24">IFERROR(INDEX('[1]PROSES ENJEKSİYON'!$L:$L,MATCH(1,('[1]PROSES ENJEKSİYON'!$A:$A=$G$2)*('[1]PROSES ENJEKSİYON'!$F:$F=A24),0)),"")</f>
        <v/>
      </c>
      <c r="H24" s="70" t="str" cm="1">
        <f t="array" ref="H24">IFERROR(INDEX('[1]PROSES ENJEKSİYON'!$G:$G,MATCH(1,('[1]PROSES ENJEKSİYON'!$A:$A=$H$2)*('[1]PROSES ENJEKSİYON'!$F:$F=A24),0)),"")</f>
        <v>PET0015-06 1000ML OPAK SEDEFLI MOR 28MM YIVLI 52GR</v>
      </c>
      <c r="I24" s="64" cm="1">
        <f t="array" ref="I24">IFERROR(INDEX('[1]PROSES ENJEKSİYON'!$J:$J,MATCH(1,('[1]PROSES ENJEKSİYON'!$A:$A=$H$2)*('[1]PROSES ENJEKSİYON'!$F:$F=A24),0)),"")</f>
        <v>4</v>
      </c>
      <c r="J24" s="64" cm="1">
        <f t="array" ref="J24">IFERROR(INDEX('[1]PROSES ENJEKSİYON'!$K:$K,MATCH(1,('[1]PROSES ENJEKSİYON'!$A:$A=$H$2)*('[1]PROSES ENJEKSİYON'!$F:$F=A24),0)),"")</f>
        <v>4</v>
      </c>
      <c r="K24" s="44" cm="1">
        <f t="array" ref="K24">IFERROR(INDEX('[1]PROSES ENJEKSİYON'!$L:$L,MATCH(1,('[1]PROSES ENJEKSİYON'!$A:$A=$H$2)*('[1]PROSES ENJEKSİYON'!$F:$F=A24),0)),"")</f>
        <v>17.760000000000002</v>
      </c>
      <c r="L24" s="66" t="str" cm="1">
        <f t="array" ref="L24">IFERROR(INDEX('[1]PROSES ENJEKSİYON'!$G:$G,MATCH(1,('[1]PROSES ENJEKSİYON'!$A:$A=$L$2)*('[1]PROSES ENJEKSİYON'!$F:$F=A24),0)),"")</f>
        <v/>
      </c>
      <c r="M24" s="64" t="str" cm="1">
        <f t="array" ref="M24">IFERROR(INDEX('[1]PROSES ENJEKSİYON'!$J:$J,MATCH(1,('[1]PROSES ENJEKSİYON'!$A:$A=$L$2)*('[1]PROSES ENJEKSİYON'!$F:$F=A24),0)),"")</f>
        <v/>
      </c>
      <c r="N24" s="64" t="str" cm="1">
        <f t="array" ref="N24">IFERROR(INDEX('[1]PROSES ENJEKSİYON'!$K:$K,MATCH(1,('[1]PROSES ENJEKSİYON'!$A:$A=$L$2)*('[1]PROSES ENJEKSİYON'!$F:$F=A24),0)),"")</f>
        <v/>
      </c>
      <c r="O24" s="44" t="str" cm="1">
        <f t="array" ref="O24">IFERROR(INDEX('[1]PROSES ENJEKSİYON'!$L:$L,MATCH(1,('[1]PROSES ENJEKSİYON'!$A:$A=$L$2)*('[1]PROSES ENJEKSİYON'!$F:$F=A24),0)),"")</f>
        <v/>
      </c>
      <c r="P24" s="68" t="str" cm="1">
        <f t="array" ref="P24">IFERROR(INDEX('[1]PROSES ENJEKSİYON'!$G:$G,MATCH(1,('[1]PROSES ENJEKSİYON'!$A:$A=$P$2)*('[1]PROSES ENJEKSİYON'!$F:$F=A24),0)),"")</f>
        <v>MM-PET0015-02-028Y-052 - PET0015-02 1000ML OPAK YESIL 28MM YIVLI 52GR</v>
      </c>
      <c r="Q24" s="64" cm="1">
        <f t="array" ref="Q24">IFERROR(INDEX('[1]PROSES ENJEKSİYON'!$J:$J,MATCH(1,('[1]PROSES ENJEKSİYON'!$A:$A=$P$2)*('[1]PROSES ENJEKSİYON'!$F:$F=A24),0)),"")</f>
        <v>4</v>
      </c>
      <c r="R24" s="64" cm="1">
        <f t="array" ref="R24">IFERROR(INDEX('[1]PROSES ENJEKSİYON'!$K:$K,MATCH(1,('[1]PROSES ENJEKSİYON'!$A:$A=$P$2)*('[1]PROSES ENJEKSİYON'!$F:$F=A24),0)),"")</f>
        <v>4</v>
      </c>
      <c r="S24" s="44" cm="1">
        <f t="array" ref="S24">IFERROR(INDEX('[1]PROSES ENJEKSİYON'!$L:$L,MATCH(1,('[1]PROSES ENJEKSİYON'!$A:$A=$P$2)*('[1]PROSES ENJEKSİYON'!$F:$F=A24),0)),"")</f>
        <v>18.39</v>
      </c>
      <c r="T24" s="70" t="str" cm="1">
        <f t="array" ref="T24">IFERROR(INDEX('[1]PROSES ENJEKSİYON'!$G:$G,MATCH(1,('[1]PROSES ENJEKSİYON'!$A:$A=$T$2)*('[1]PROSES ENJEKSİYON'!$F:$F=A24),0)),"")</f>
        <v>PET0015-02 1000ML OPAK YESIL 28MM YIVLI 52GR</v>
      </c>
      <c r="U24" s="64" cm="1">
        <f t="array" ref="U24">IFERROR(INDEX('[1]PROSES ENJEKSİYON'!$J:$J,MATCH(1,('[1]PROSES ENJEKSİYON'!$A:$A=$T$2)*('[1]PROSES ENJEKSİYON'!$F:$F=A24),0)),"")</f>
        <v>4</v>
      </c>
      <c r="V24" s="64" cm="1">
        <f t="array" ref="V24">IFERROR(INDEX('[1]PROSES ENJEKSİYON'!$K:$K,MATCH(1,('[1]PROSES ENJEKSİYON'!$A:$A=$T$2)*('[1]PROSES ENJEKSİYON'!$F:$F=A24),0)),"")</f>
        <v>4</v>
      </c>
      <c r="W24" s="44" cm="1">
        <f t="array" ref="W24">IFERROR(INDEX('[1]PROSES ENJEKSİYON'!$L:$L,MATCH(1,('[1]PROSES ENJEKSİYON'!$A:$A=$T$2)*('[1]PROSES ENJEKSİYON'!$F:$F=A24),0)),"")</f>
        <v>18.36</v>
      </c>
      <c r="X24" s="68" t="str" cm="1">
        <f t="array" ref="X24">IFERROR(INDEX('[1]PROSES ENJEKSİYON'!$G:$G,MATCH(1,('[1]PROSES ENJEKSİYON'!$A:$A=$X$2)*('[1]PROSES ENJEKSİYON'!$F:$F=A24),0)),"")</f>
        <v/>
      </c>
      <c r="Y24" s="64" t="str" cm="1">
        <f t="array" ref="Y24">IFERROR(INDEX('[1]PROSES ENJEKSİYON'!$J:$J,MATCH(1,('[1]PROSES ENJEKSİYON'!$A:$A=$X$2)*('[1]PROSES ENJEKSİYON'!$F:$F=A24),0)),"")</f>
        <v/>
      </c>
      <c r="Z24" s="64" t="str" cm="1">
        <f t="array" ref="Z24">IFERROR(INDEX('[1]PROSES ENJEKSİYON'!$K:$K,MATCH(1,('[1]PROSES ENJEKSİYON'!$A:$A=$X$2)*('[1]PROSES ENJEKSİYON'!$F:$F=A24),0)),"")</f>
        <v/>
      </c>
      <c r="AA24" s="44" t="str" cm="1">
        <f t="array" ref="AA24">IFERROR(INDEX('[1]PROSES ENJEKSİYON'!$L:$L,MATCH(1,('[1]PROSES ENJEKSİYON'!$A:$A=$X$2)*('[1]PROSES ENJEKSİYON'!$F:$F=A24),0)),"")</f>
        <v/>
      </c>
      <c r="AB24" s="34" t="str" cm="1">
        <f t="array" ref="AB24">IFERROR(INDEX('[1]PROSES ENJEKSİYON'!$G:$G,MATCH(1,('[1]PROSES ENJEKSİYON'!$A:$A=$AB$2)*('[1]PROSES ENJEKSİYON'!$F:$F=A24),0)),"")</f>
        <v/>
      </c>
      <c r="AC24" s="32" t="str" cm="1">
        <f t="array" ref="AC24">IFERROR(INDEX('[1]PROSES ENJEKSİYON'!$J:$J,MATCH(1,('[1]PROSES ENJEKSİYON'!$A:$A=$AB$2)*('[1]PROSES ENJEKSİYON'!$F:$F=M24),0)),"")</f>
        <v/>
      </c>
      <c r="AD24" s="32" t="str" cm="1">
        <f t="array" ref="AD24">IFERROR(INDEX('[1]PROSES ENJEKSİYON'!$K:$K,MATCH(1,('[1]PROSES ENJEKSİYON'!$A:$A=$AD$2)*('[1]PROSES ENJEKSİYON'!$F:$F=M24),0)),"")</f>
        <v/>
      </c>
      <c r="AE24" s="35" t="str" cm="1">
        <f t="array" ref="AE24">IFERROR(INDEX('[1]PROSES ENJEKSİYON'!$L:$L,MATCH(1,('[1]PROSES ENJEKSİYON'!$A:$A=$AB$2)*('[1]PROSES ENJEKSİYON'!$F:$F=A24),0)),"")</f>
        <v/>
      </c>
    </row>
    <row r="25" spans="1:31" ht="46.95" hidden="1" customHeight="1" x14ac:dyDescent="0.4">
      <c r="A25" s="83">
        <v>178</v>
      </c>
      <c r="B25" s="31" t="str" cm="1">
        <f t="array" ref="B25">IFERROR(INDEX('[1]PROSES ENJEKSİYON'!$L:$L, MATCH(1,('[1]PROSES ENJEKSİYON'!$A:$A=$B$2)*('[1]PROSES ENJEKSİYON'!$F:$F=A25),0)), "")</f>
        <v/>
      </c>
      <c r="C25" s="31" t="str" cm="1">
        <f t="array" ref="C25">IFERROR(INDEX('[1]PROSES ENJEKSİYON'!$L:$L,MATCH(1,('[1]PROSES ENJEKSİYON'!$A:$A=$C$2)*('[1]PROSES ENJEKSİYON'!$F:$F=A25),0)),"")</f>
        <v/>
      </c>
      <c r="D25" s="31" t="str" cm="1">
        <f t="array" ref="D25">IFERROR(INDEX('[1]PROSES ENJEKSİYON'!$L:$L,MATCH(1,('[1]PROSES ENJEKSİYON'!$A:$A=$D$2)*('[1]PROSES ENJEKSİYON'!$F:$F=A25),0)),"")</f>
        <v/>
      </c>
      <c r="E25" s="31" t="str" cm="1">
        <f t="array" ref="E25">IFERROR(INDEX('[1]PROSES ENJEKSİYON'!$L:$L,MATCH(1,('[1]PROSES ENJEKSİYON'!$A:$A=$E$2)*('[1]PROSES ENJEKSİYON'!$F:$F=A25),0)),"")</f>
        <v/>
      </c>
      <c r="F25" s="31" t="str" cm="1">
        <f t="array" ref="F25">IFERROR(INDEX('[1]PROSES ENJEKSİYON'!$L:$L,MATCH(1,('[1]PROSES ENJEKSİYON'!$A:$A=$F$2)*('[1]PROSES ENJEKSİYON'!$F:$F=A25),0)),"")</f>
        <v/>
      </c>
      <c r="G25" s="31" t="str" cm="1">
        <f t="array" ref="G25">IFERROR(INDEX('[1]PROSES ENJEKSİYON'!$L:$L,MATCH(1,('[1]PROSES ENJEKSİYON'!$A:$A=$G$2)*('[1]PROSES ENJEKSİYON'!$F:$F=A25),0)),"")</f>
        <v/>
      </c>
      <c r="H25" s="70" t="str" cm="1">
        <f t="array" ref="H25">IFERROR(INDEX('[1]PROSES ENJEKSİYON'!$G:$G,MATCH(1,('[1]PROSES ENJEKSİYON'!$A:$A=$H$2)*('[1]PROSES ENJEKSİYON'!$F:$F=A25),0)),"")</f>
        <v/>
      </c>
      <c r="I25" s="64" t="str" cm="1">
        <f t="array" ref="I25">IFERROR(INDEX('[1]PROSES ENJEKSİYON'!$J:$J,MATCH(1,('[1]PROSES ENJEKSİYON'!$A:$A=$H$2)*('[1]PROSES ENJEKSİYON'!$F:$F=A25),0)),"")</f>
        <v/>
      </c>
      <c r="J25" s="64" t="str" cm="1">
        <f t="array" ref="J25">IFERROR(INDEX('[1]PROSES ENJEKSİYON'!$K:$K,MATCH(1,('[1]PROSES ENJEKSİYON'!$A:$A=$H$2)*('[1]PROSES ENJEKSİYON'!$F:$F=A25),0)),"")</f>
        <v/>
      </c>
      <c r="K25" s="44" t="str" cm="1">
        <f t="array" ref="K25">IFERROR(INDEX('[1]PROSES ENJEKSİYON'!$L:$L,MATCH(1,('[1]PROSES ENJEKSİYON'!$A:$A=$H$2)*('[1]PROSES ENJEKSİYON'!$F:$F=A25),0)),"")</f>
        <v/>
      </c>
      <c r="L25" s="66" t="str" cm="1">
        <f t="array" ref="L25">IFERROR(INDEX('[1]PROSES ENJEKSİYON'!$G:$G,MATCH(1,('[1]PROSES ENJEKSİYON'!$A:$A=$L$2)*('[1]PROSES ENJEKSİYON'!$F:$F=A25),0)),"")</f>
        <v/>
      </c>
      <c r="M25" s="64" t="str" cm="1">
        <f t="array" ref="M25">IFERROR(INDEX('[1]PROSES ENJEKSİYON'!$J:$J,MATCH(1,('[1]PROSES ENJEKSİYON'!$A:$A=$L$2)*('[1]PROSES ENJEKSİYON'!$F:$F=A25),0)),"")</f>
        <v/>
      </c>
      <c r="N25" s="64" t="str" cm="1">
        <f t="array" ref="N25">IFERROR(INDEX('[1]PROSES ENJEKSİYON'!$K:$K,MATCH(1,('[1]PROSES ENJEKSİYON'!$A:$A=$L$2)*('[1]PROSES ENJEKSİYON'!$F:$F=A25),0)),"")</f>
        <v/>
      </c>
      <c r="O25" s="44" t="str" cm="1">
        <f t="array" ref="O25">IFERROR(INDEX('[1]PROSES ENJEKSİYON'!$L:$L,MATCH(1,('[1]PROSES ENJEKSİYON'!$A:$A=$L$2)*('[1]PROSES ENJEKSİYON'!$F:$F=A25),0)),"")</f>
        <v/>
      </c>
      <c r="P25" s="68" t="str" cm="1">
        <f t="array" ref="P25">IFERROR(INDEX('[1]PROSES ENJEKSİYON'!$G:$G,MATCH(1,('[1]PROSES ENJEKSİYON'!$A:$A=$P$2)*('[1]PROSES ENJEKSİYON'!$F:$F=A25),0)),"")</f>
        <v/>
      </c>
      <c r="Q25" s="64" t="str" cm="1">
        <f t="array" ref="Q25">IFERROR(INDEX('[1]PROSES ENJEKSİYON'!$J:$J,MATCH(1,('[1]PROSES ENJEKSİYON'!$A:$A=$P$2)*('[1]PROSES ENJEKSİYON'!$F:$F=A25),0)),"")</f>
        <v/>
      </c>
      <c r="R25" s="64" t="str" cm="1">
        <f t="array" ref="R25">IFERROR(INDEX('[1]PROSES ENJEKSİYON'!$K:$K,MATCH(1,('[1]PROSES ENJEKSİYON'!$A:$A=$P$2)*('[1]PROSES ENJEKSİYON'!$F:$F=A25),0)),"")</f>
        <v/>
      </c>
      <c r="S25" s="44" t="str" cm="1">
        <f t="array" ref="S25">IFERROR(INDEX('[1]PROSES ENJEKSİYON'!$L:$L,MATCH(1,('[1]PROSES ENJEKSİYON'!$A:$A=$P$2)*('[1]PROSES ENJEKSİYON'!$F:$F=A25),0)),"")</f>
        <v/>
      </c>
      <c r="T25" s="70" t="str" cm="1">
        <f t="array" ref="T25">IFERROR(INDEX('[1]PROSES ENJEKSİYON'!$G:$G,MATCH(1,('[1]PROSES ENJEKSİYON'!$A:$A=$T$2)*('[1]PROSES ENJEKSİYON'!$F:$F=A25),0)),"")</f>
        <v/>
      </c>
      <c r="U25" s="64" t="str" cm="1">
        <f t="array" ref="U25">IFERROR(INDEX('[1]PROSES ENJEKSİYON'!$J:$J,MATCH(1,('[1]PROSES ENJEKSİYON'!$A:$A=$T$2)*('[1]PROSES ENJEKSİYON'!$F:$F=A25),0)),"")</f>
        <v/>
      </c>
      <c r="V25" s="64" t="str" cm="1">
        <f t="array" ref="V25">IFERROR(INDEX('[1]PROSES ENJEKSİYON'!$K:$K,MATCH(1,('[1]PROSES ENJEKSİYON'!$A:$A=$T$2)*('[1]PROSES ENJEKSİYON'!$F:$F=A25),0)),"")</f>
        <v/>
      </c>
      <c r="W25" s="44" t="str" cm="1">
        <f t="array" ref="W25">IFERROR(INDEX('[1]PROSES ENJEKSİYON'!$L:$L,MATCH(1,('[1]PROSES ENJEKSİYON'!$A:$A=$T$2)*('[1]PROSES ENJEKSİYON'!$F:$F=A25),0)),"")</f>
        <v/>
      </c>
      <c r="X25" s="68" t="str" cm="1">
        <f t="array" ref="X25">IFERROR(INDEX('[1]PROSES ENJEKSİYON'!$G:$G,MATCH(1,('[1]PROSES ENJEKSİYON'!$A:$A=$X$2)*('[1]PROSES ENJEKSİYON'!$F:$F=A25),0)),"")</f>
        <v/>
      </c>
      <c r="Y25" s="64" t="str" cm="1">
        <f t="array" ref="Y25">IFERROR(INDEX('[1]PROSES ENJEKSİYON'!$J:$J,MATCH(1,('[1]PROSES ENJEKSİYON'!$A:$A=$X$2)*('[1]PROSES ENJEKSİYON'!$F:$F=A25),0)),"")</f>
        <v/>
      </c>
      <c r="Z25" s="64" t="str" cm="1">
        <f t="array" ref="Z25">IFERROR(INDEX('[1]PROSES ENJEKSİYON'!$K:$K,MATCH(1,('[1]PROSES ENJEKSİYON'!$A:$A=$X$2)*('[1]PROSES ENJEKSİYON'!$F:$F=A25),0)),"")</f>
        <v/>
      </c>
      <c r="AA25" s="44" t="str" cm="1">
        <f t="array" ref="AA25">IFERROR(INDEX('[1]PROSES ENJEKSİYON'!$L:$L,MATCH(1,('[1]PROSES ENJEKSİYON'!$A:$A=$X$2)*('[1]PROSES ENJEKSİYON'!$F:$F=A25),0)),"")</f>
        <v/>
      </c>
      <c r="AB25" s="34" t="str" cm="1">
        <f t="array" ref="AB25">IFERROR(INDEX('[1]PROSES ENJEKSİYON'!$G:$G,MATCH(1,('[1]PROSES ENJEKSİYON'!$A:$A=$AB$2)*('[1]PROSES ENJEKSİYON'!$F:$F=A25),0)),"")</f>
        <v/>
      </c>
      <c r="AC25" s="32" t="str" cm="1">
        <f t="array" ref="AC25">IFERROR(INDEX('[1]PROSES ENJEKSİYON'!$J:$J,MATCH(1,('[1]PROSES ENJEKSİYON'!$A:$A=$AB$2)*('[1]PROSES ENJEKSİYON'!$F:$F=M25),0)),"")</f>
        <v/>
      </c>
      <c r="AD25" s="32" t="str" cm="1">
        <f t="array" ref="AD25">IFERROR(INDEX('[1]PROSES ENJEKSİYON'!$K:$K,MATCH(1,('[1]PROSES ENJEKSİYON'!$A:$A=$AD$2)*('[1]PROSES ENJEKSİYON'!$F:$F=M25),0)),"")</f>
        <v/>
      </c>
      <c r="AE25" s="35" t="str" cm="1">
        <f t="array" ref="AE25">IFERROR(INDEX('[1]PROSES ENJEKSİYON'!$L:$L,MATCH(1,('[1]PROSES ENJEKSİYON'!$A:$A=$AB$2)*('[1]PROSES ENJEKSİYON'!$F:$F=A25),0)),"")</f>
        <v/>
      </c>
    </row>
    <row r="26" spans="1:31" ht="46.95" hidden="1" customHeight="1" x14ac:dyDescent="0.4">
      <c r="A26" s="83">
        <v>131</v>
      </c>
      <c r="B26" s="31" t="str" cm="1">
        <f t="array" ref="B26">IFERROR(INDEX('[1]PROSES ENJEKSİYON'!$L:$L, MATCH(1,('[1]PROSES ENJEKSİYON'!$A:$A=$B$2)*('[1]PROSES ENJEKSİYON'!$F:$F=A26),0)), "")</f>
        <v/>
      </c>
      <c r="C26" s="31" t="str" cm="1">
        <f t="array" ref="C26">IFERROR(INDEX('[1]PROSES ENJEKSİYON'!$L:$L,MATCH(1,('[1]PROSES ENJEKSİYON'!$A:$A=$C$2)*('[1]PROSES ENJEKSİYON'!$F:$F=A26),0)),"")</f>
        <v/>
      </c>
      <c r="D26" s="31" t="str" cm="1">
        <f t="array" ref="D26">IFERROR(INDEX('[1]PROSES ENJEKSİYON'!$L:$L,MATCH(1,('[1]PROSES ENJEKSİYON'!$A:$A=$D$2)*('[1]PROSES ENJEKSİYON'!$F:$F=A26),0)),"")</f>
        <v/>
      </c>
      <c r="E26" s="31" t="str" cm="1">
        <f t="array" ref="E26">IFERROR(INDEX('[1]PROSES ENJEKSİYON'!$L:$L,MATCH(1,('[1]PROSES ENJEKSİYON'!$A:$A=$E$2)*('[1]PROSES ENJEKSİYON'!$F:$F=A26),0)),"")</f>
        <v/>
      </c>
      <c r="F26" s="31" t="str" cm="1">
        <f t="array" ref="F26">IFERROR(INDEX('[1]PROSES ENJEKSİYON'!$L:$L,MATCH(1,('[1]PROSES ENJEKSİYON'!$A:$A=$F$2)*('[1]PROSES ENJEKSİYON'!$F:$F=A26),0)),"")</f>
        <v/>
      </c>
      <c r="G26" s="31" t="str" cm="1">
        <f t="array" ref="G26">IFERROR(INDEX('[1]PROSES ENJEKSİYON'!$L:$L,MATCH(1,('[1]PROSES ENJEKSİYON'!$A:$A=$G$2)*('[1]PROSES ENJEKSİYON'!$F:$F=A26),0)),"")</f>
        <v/>
      </c>
      <c r="H26" s="70" t="str" cm="1">
        <f t="array" ref="H26">IFERROR(INDEX('[1]PROSES ENJEKSİYON'!$G:$G,MATCH(1,('[1]PROSES ENJEKSİYON'!$A:$A=$H$2)*('[1]PROSES ENJEKSİYON'!$F:$F=A26),0)),"")</f>
        <v/>
      </c>
      <c r="I26" s="64" t="str" cm="1">
        <f t="array" ref="I26">IFERROR(INDEX('[1]PROSES ENJEKSİYON'!$J:$J,MATCH(1,('[1]PROSES ENJEKSİYON'!$A:$A=$H$2)*('[1]PROSES ENJEKSİYON'!$F:$F=A26),0)),"")</f>
        <v/>
      </c>
      <c r="J26" s="64" t="str" cm="1">
        <f t="array" ref="J26">IFERROR(INDEX('[1]PROSES ENJEKSİYON'!$K:$K,MATCH(1,('[1]PROSES ENJEKSİYON'!$A:$A=$H$2)*('[1]PROSES ENJEKSİYON'!$F:$F=A26),0)),"")</f>
        <v/>
      </c>
      <c r="K26" s="44" t="str" cm="1">
        <f t="array" ref="K26">IFERROR(INDEX('[1]PROSES ENJEKSİYON'!$L:$L,MATCH(1,('[1]PROSES ENJEKSİYON'!$A:$A=$H$2)*('[1]PROSES ENJEKSİYON'!$F:$F=A26),0)),"")</f>
        <v/>
      </c>
      <c r="L26" s="66" t="str" cm="1">
        <f t="array" ref="L26">IFERROR(INDEX('[1]PROSES ENJEKSİYON'!$G:$G,MATCH(1,('[1]PROSES ENJEKSİYON'!$A:$A=$L$2)*('[1]PROSES ENJEKSİYON'!$F:$F=A26),0)),"")</f>
        <v/>
      </c>
      <c r="M26" s="64" t="str" cm="1">
        <f t="array" ref="M26">IFERROR(INDEX('[1]PROSES ENJEKSİYON'!$J:$J,MATCH(1,('[1]PROSES ENJEKSİYON'!$A:$A=$L$2)*('[1]PROSES ENJEKSİYON'!$F:$F=A26),0)),"")</f>
        <v/>
      </c>
      <c r="N26" s="64" t="str" cm="1">
        <f t="array" ref="N26">IFERROR(INDEX('[1]PROSES ENJEKSİYON'!$K:$K,MATCH(1,('[1]PROSES ENJEKSİYON'!$A:$A=$L$2)*('[1]PROSES ENJEKSİYON'!$F:$F=A26),0)),"")</f>
        <v/>
      </c>
      <c r="O26" s="44" t="str" cm="1">
        <f t="array" ref="O26">IFERROR(INDEX('[1]PROSES ENJEKSİYON'!$L:$L,MATCH(1,('[1]PROSES ENJEKSİYON'!$A:$A=$L$2)*('[1]PROSES ENJEKSİYON'!$F:$F=A26),0)),"")</f>
        <v/>
      </c>
      <c r="P26" s="68" t="str" cm="1">
        <f t="array" ref="P26">IFERROR(INDEX('[1]PROSES ENJEKSİYON'!$G:$G,MATCH(1,('[1]PROSES ENJEKSİYON'!$A:$A=$P$2)*('[1]PROSES ENJEKSİYON'!$F:$F=A26),0)),"")</f>
        <v>MM-PET0110-01-024Y-025 - PET0110-01 100ML SEFFAF TURUNCU 24MM YIVLI 25G</v>
      </c>
      <c r="Q26" s="64" cm="1">
        <f t="array" ref="Q26">IFERROR(INDEX('[1]PROSES ENJEKSİYON'!$J:$J,MATCH(1,('[1]PROSES ENJEKSİYON'!$A:$A=$P$2)*('[1]PROSES ENJEKSİYON'!$F:$F=A26),0)),"")</f>
        <v>3</v>
      </c>
      <c r="R26" s="64" cm="1">
        <f t="array" ref="R26">IFERROR(INDEX('[1]PROSES ENJEKSİYON'!$K:$K,MATCH(1,('[1]PROSES ENJEKSİYON'!$A:$A=$P$2)*('[1]PROSES ENJEKSİYON'!$F:$F=A26),0)),"")</f>
        <v>3</v>
      </c>
      <c r="S26" s="44" cm="1">
        <f t="array" ref="S26">IFERROR(INDEX('[1]PROSES ENJEKSİYON'!$L:$L,MATCH(1,('[1]PROSES ENJEKSİYON'!$A:$A=$P$2)*('[1]PROSES ENJEKSİYON'!$F:$F=A26),0)),"")</f>
        <v>19.670000000000002</v>
      </c>
      <c r="T26" s="70" t="str" cm="1">
        <f t="array" ref="T26">IFERROR(INDEX('[1]PROSES ENJEKSİYON'!$G:$G,MATCH(1,('[1]PROSES ENJEKSİYON'!$A:$A=$T$2)*('[1]PROSES ENJEKSİYON'!$F:$F=A26),0)),"")</f>
        <v>PET0110-01 100ML SEFFAF TURUNCU 24MM YIVLI 25GR</v>
      </c>
      <c r="U26" s="64" cm="1">
        <f t="array" ref="U26">IFERROR(INDEX('[1]PROSES ENJEKSİYON'!$J:$J,MATCH(1,('[1]PROSES ENJEKSİYON'!$A:$A=$T$2)*('[1]PROSES ENJEKSİYON'!$F:$F=A26),0)),"")</f>
        <v>3</v>
      </c>
      <c r="V26" s="64" cm="1">
        <f t="array" ref="V26">IFERROR(INDEX('[1]PROSES ENJEKSİYON'!$K:$K,MATCH(1,('[1]PROSES ENJEKSİYON'!$A:$A=$T$2)*('[1]PROSES ENJEKSİYON'!$F:$F=A26),0)),"")</f>
        <v>3</v>
      </c>
      <c r="W26" s="44" cm="1">
        <f t="array" ref="W26">IFERROR(INDEX('[1]PROSES ENJEKSİYON'!$L:$L,MATCH(1,('[1]PROSES ENJEKSİYON'!$A:$A=$T$2)*('[1]PROSES ENJEKSİYON'!$F:$F=A26),0)),"")</f>
        <v>19.68</v>
      </c>
      <c r="X26" s="68" t="str" cm="1">
        <f t="array" ref="X26">IFERROR(INDEX('[1]PROSES ENJEKSİYON'!$G:$G,MATCH(1,('[1]PROSES ENJEKSİYON'!$A:$A=$X$2)*('[1]PROSES ENJEKSİYON'!$F:$F=A26),0)),"")</f>
        <v/>
      </c>
      <c r="Y26" s="64" t="str" cm="1">
        <f t="array" ref="Y26">IFERROR(INDEX('[1]PROSES ENJEKSİYON'!$J:$J,MATCH(1,('[1]PROSES ENJEKSİYON'!$A:$A=$X$2)*('[1]PROSES ENJEKSİYON'!$F:$F=A26),0)),"")</f>
        <v/>
      </c>
      <c r="Z26" s="64" t="str" cm="1">
        <f t="array" ref="Z26">IFERROR(INDEX('[1]PROSES ENJEKSİYON'!$K:$K,MATCH(1,('[1]PROSES ENJEKSİYON'!$A:$A=$X$2)*('[1]PROSES ENJEKSİYON'!$F:$F=A26),0)),"")</f>
        <v/>
      </c>
      <c r="AA26" s="44" t="str" cm="1">
        <f t="array" ref="AA26">IFERROR(INDEX('[1]PROSES ENJEKSİYON'!$L:$L,MATCH(1,('[1]PROSES ENJEKSİYON'!$A:$A=$X$2)*('[1]PROSES ENJEKSİYON'!$F:$F=A26),0)),"")</f>
        <v/>
      </c>
      <c r="AB26" s="34" t="str" cm="1">
        <f t="array" ref="AB26">IFERROR(INDEX('[1]PROSES ENJEKSİYON'!$G:$G,MATCH(1,('[1]PROSES ENJEKSİYON'!$A:$A=$AB$2)*('[1]PROSES ENJEKSİYON'!$F:$F=A26),0)),"")</f>
        <v/>
      </c>
      <c r="AC26" s="32" t="str" cm="1">
        <f t="array" ref="AC26">IFERROR(INDEX('[1]PROSES ENJEKSİYON'!$J:$J,MATCH(1,('[1]PROSES ENJEKSİYON'!$A:$A=$AB$2)*('[1]PROSES ENJEKSİYON'!$F:$F=M26),0)),"")</f>
        <v/>
      </c>
      <c r="AD26" s="32" t="str" cm="1">
        <f t="array" ref="AD26">IFERROR(INDEX('[1]PROSES ENJEKSİYON'!$K:$K,MATCH(1,('[1]PROSES ENJEKSİYON'!$A:$A=$AD$2)*('[1]PROSES ENJEKSİYON'!$F:$F=M26),0)),"")</f>
        <v/>
      </c>
      <c r="AE26" s="35" t="str" cm="1">
        <f t="array" ref="AE26">IFERROR(INDEX('[1]PROSES ENJEKSİYON'!$L:$L,MATCH(1,('[1]PROSES ENJEKSİYON'!$A:$A=$AB$2)*('[1]PROSES ENJEKSİYON'!$F:$F=A26),0)),"")</f>
        <v/>
      </c>
    </row>
    <row r="27" spans="1:31" ht="46.95" hidden="1" customHeight="1" x14ac:dyDescent="0.4">
      <c r="A27" s="83">
        <v>132</v>
      </c>
      <c r="B27" s="31" t="str" cm="1">
        <f t="array" ref="B27">IFERROR(INDEX('[1]PROSES ENJEKSİYON'!$L:$L, MATCH(1,('[1]PROSES ENJEKSİYON'!$A:$A=$B$2)*('[1]PROSES ENJEKSİYON'!$F:$F=A27),0)), "")</f>
        <v/>
      </c>
      <c r="C27" s="31" t="str" cm="1">
        <f t="array" ref="C27">IFERROR(INDEX('[1]PROSES ENJEKSİYON'!$L:$L,MATCH(1,('[1]PROSES ENJEKSİYON'!$A:$A=$C$2)*('[1]PROSES ENJEKSİYON'!$F:$F=A27),0)),"")</f>
        <v/>
      </c>
      <c r="D27" s="31" t="str" cm="1">
        <f t="array" ref="D27">IFERROR(INDEX('[1]PROSES ENJEKSİYON'!$L:$L,MATCH(1,('[1]PROSES ENJEKSİYON'!$A:$A=$D$2)*('[1]PROSES ENJEKSİYON'!$F:$F=A27),0)),"")</f>
        <v/>
      </c>
      <c r="E27" s="31" t="str" cm="1">
        <f t="array" ref="E27">IFERROR(INDEX('[1]PROSES ENJEKSİYON'!$L:$L,MATCH(1,('[1]PROSES ENJEKSİYON'!$A:$A=$E$2)*('[1]PROSES ENJEKSİYON'!$F:$F=A27),0)),"")</f>
        <v/>
      </c>
      <c r="F27" s="31" t="str" cm="1">
        <f t="array" ref="F27">IFERROR(INDEX('[1]PROSES ENJEKSİYON'!$L:$L,MATCH(1,('[1]PROSES ENJEKSİYON'!$A:$A=$F$2)*('[1]PROSES ENJEKSİYON'!$F:$F=A27),0)),"")</f>
        <v/>
      </c>
      <c r="G27" s="31" t="str" cm="1">
        <f t="array" ref="G27">IFERROR(INDEX('[1]PROSES ENJEKSİYON'!$L:$L,MATCH(1,('[1]PROSES ENJEKSİYON'!$A:$A=$G$2)*('[1]PROSES ENJEKSİYON'!$F:$F=A27),0)),"")</f>
        <v/>
      </c>
      <c r="H27" s="70" t="str" cm="1">
        <f t="array" ref="H27">IFERROR(INDEX('[1]PROSES ENJEKSİYON'!$G:$G,MATCH(1,('[1]PROSES ENJEKSİYON'!$A:$A=$H$2)*('[1]PROSES ENJEKSİYON'!$F:$F=A27),0)),"")</f>
        <v>PET0017-01 200ML SEFFAF SEFFAF 24MM YIVLI 25GR</v>
      </c>
      <c r="I27" s="64" cm="1">
        <f t="array" ref="I27">IFERROR(INDEX('[1]PROSES ENJEKSİYON'!$J:$J,MATCH(1,('[1]PROSES ENJEKSİYON'!$A:$A=$H$2)*('[1]PROSES ENJEKSİYON'!$F:$F=A27),0)),"")</f>
        <v>3</v>
      </c>
      <c r="J27" s="64" cm="1">
        <f t="array" ref="J27">IFERROR(INDEX('[1]PROSES ENJEKSİYON'!$K:$K,MATCH(1,('[1]PROSES ENJEKSİYON'!$A:$A=$H$2)*('[1]PROSES ENJEKSİYON'!$F:$F=A27),0)),"")</f>
        <v>3</v>
      </c>
      <c r="K27" s="44" cm="1">
        <f t="array" ref="K27">IFERROR(INDEX('[1]PROSES ENJEKSİYON'!$L:$L,MATCH(1,('[1]PROSES ENJEKSİYON'!$A:$A=$H$2)*('[1]PROSES ENJEKSİYON'!$F:$F=A27),0)),"")</f>
        <v>18.59</v>
      </c>
      <c r="L27" s="66" t="str" cm="1">
        <f t="array" ref="L27">IFERROR(INDEX('[1]PROSES ENJEKSİYON'!$G:$G,MATCH(1,('[1]PROSES ENJEKSİYON'!$A:$A=$L$2)*('[1]PROSES ENJEKSİYON'!$F:$F=A27),0)),"")</f>
        <v/>
      </c>
      <c r="M27" s="64" t="str" cm="1">
        <f t="array" ref="M27">IFERROR(INDEX('[1]PROSES ENJEKSİYON'!$J:$J,MATCH(1,('[1]PROSES ENJEKSİYON'!$A:$A=$L$2)*('[1]PROSES ENJEKSİYON'!$F:$F=A27),0)),"")</f>
        <v/>
      </c>
      <c r="N27" s="64" t="str" cm="1">
        <f t="array" ref="N27">IFERROR(INDEX('[1]PROSES ENJEKSİYON'!$K:$K,MATCH(1,('[1]PROSES ENJEKSİYON'!$A:$A=$L$2)*('[1]PROSES ENJEKSİYON'!$F:$F=A27),0)),"")</f>
        <v/>
      </c>
      <c r="O27" s="44" t="str" cm="1">
        <f t="array" ref="O27">IFERROR(INDEX('[1]PROSES ENJEKSİYON'!$L:$L,MATCH(1,('[1]PROSES ENJEKSİYON'!$A:$A=$L$2)*('[1]PROSES ENJEKSİYON'!$F:$F=A27),0)),"")</f>
        <v/>
      </c>
      <c r="P27" s="68" t="str" cm="1">
        <f t="array" ref="P27">IFERROR(INDEX('[1]PROSES ENJEKSİYON'!$G:$G,MATCH(1,('[1]PROSES ENJEKSİYON'!$A:$A=$P$2)*('[1]PROSES ENJEKSİYON'!$F:$F=A27),0)),"")</f>
        <v>MM-PET0064-06-024Y-025 - PET0064-06 200ML SEFFAF YESIL 24MM YIVLI 25GR</v>
      </c>
      <c r="Q27" s="64" cm="1">
        <f t="array" ref="Q27">IFERROR(INDEX('[1]PROSES ENJEKSİYON'!$J:$J,MATCH(1,('[1]PROSES ENJEKSİYON'!$A:$A=$P$2)*('[1]PROSES ENJEKSİYON'!$F:$F=A27),0)),"")</f>
        <v>3</v>
      </c>
      <c r="R27" s="64" cm="1">
        <f t="array" ref="R27">IFERROR(INDEX('[1]PROSES ENJEKSİYON'!$K:$K,MATCH(1,('[1]PROSES ENJEKSİYON'!$A:$A=$P$2)*('[1]PROSES ENJEKSİYON'!$F:$F=A27),0)),"")</f>
        <v>3</v>
      </c>
      <c r="S27" s="44" cm="1">
        <f t="array" ref="S27">IFERROR(INDEX('[1]PROSES ENJEKSİYON'!$L:$L,MATCH(1,('[1]PROSES ENJEKSİYON'!$A:$A=$P$2)*('[1]PROSES ENJEKSİYON'!$F:$F=A27),0)),"")</f>
        <v>17.87</v>
      </c>
      <c r="T27" s="70" t="str" cm="1">
        <f t="array" ref="T27">IFERROR(INDEX('[1]PROSES ENJEKSİYON'!$G:$G,MATCH(1,('[1]PROSES ENJEKSİYON'!$A:$A=$T$2)*('[1]PROSES ENJEKSİYON'!$F:$F=A27),0)),"")</f>
        <v>PET0064-06 200ML SEFFAF YESIL 24MM YIVLI 25GR</v>
      </c>
      <c r="U27" s="64" cm="1">
        <f t="array" ref="U27">IFERROR(INDEX('[1]PROSES ENJEKSİYON'!$J:$J,MATCH(1,('[1]PROSES ENJEKSİYON'!$A:$A=$T$2)*('[1]PROSES ENJEKSİYON'!$F:$F=A27),0)),"")</f>
        <v>3</v>
      </c>
      <c r="V27" s="64" cm="1">
        <f t="array" ref="V27">IFERROR(INDEX('[1]PROSES ENJEKSİYON'!$K:$K,MATCH(1,('[1]PROSES ENJEKSİYON'!$A:$A=$T$2)*('[1]PROSES ENJEKSİYON'!$F:$F=A27),0)),"")</f>
        <v>3</v>
      </c>
      <c r="W27" s="44" cm="1">
        <f t="array" ref="W27">IFERROR(INDEX('[1]PROSES ENJEKSİYON'!$L:$L,MATCH(1,('[1]PROSES ENJEKSİYON'!$A:$A=$T$2)*('[1]PROSES ENJEKSİYON'!$F:$F=A27),0)),"")</f>
        <v>17.77</v>
      </c>
      <c r="X27" s="68" t="str" cm="1">
        <f t="array" ref="X27">IFERROR(INDEX('[1]PROSES ENJEKSİYON'!$G:$G,MATCH(1,('[1]PROSES ENJEKSİYON'!$A:$A=$X$2)*('[1]PROSES ENJEKSİYON'!$F:$F=A27),0)),"")</f>
        <v/>
      </c>
      <c r="Y27" s="64" t="str" cm="1">
        <f t="array" ref="Y27">IFERROR(INDEX('[1]PROSES ENJEKSİYON'!$J:$J,MATCH(1,('[1]PROSES ENJEKSİYON'!$A:$A=$X$2)*('[1]PROSES ENJEKSİYON'!$F:$F=A27),0)),"")</f>
        <v/>
      </c>
      <c r="Z27" s="64" t="str" cm="1">
        <f t="array" ref="Z27">IFERROR(INDEX('[1]PROSES ENJEKSİYON'!$K:$K,MATCH(1,('[1]PROSES ENJEKSİYON'!$A:$A=$X$2)*('[1]PROSES ENJEKSİYON'!$F:$F=A27),0)),"")</f>
        <v/>
      </c>
      <c r="AA27" s="44" t="str" cm="1">
        <f t="array" ref="AA27">IFERROR(INDEX('[1]PROSES ENJEKSİYON'!$L:$L,MATCH(1,('[1]PROSES ENJEKSİYON'!$A:$A=$X$2)*('[1]PROSES ENJEKSİYON'!$F:$F=A27),0)),"")</f>
        <v/>
      </c>
      <c r="AB27" s="34" t="str" cm="1">
        <f t="array" ref="AB27">IFERROR(INDEX('[1]PROSES ENJEKSİYON'!$G:$G,MATCH(1,('[1]PROSES ENJEKSİYON'!$A:$A=$AB$2)*('[1]PROSES ENJEKSİYON'!$F:$F=A27),0)),"")</f>
        <v/>
      </c>
      <c r="AC27" s="32" t="str" cm="1">
        <f t="array" ref="AC27">IFERROR(INDEX('[1]PROSES ENJEKSİYON'!$J:$J,MATCH(1,('[1]PROSES ENJEKSİYON'!$A:$A=$AB$2)*('[1]PROSES ENJEKSİYON'!$F:$F=M27),0)),"")</f>
        <v/>
      </c>
      <c r="AD27" s="32" t="str" cm="1">
        <f t="array" ref="AD27">IFERROR(INDEX('[1]PROSES ENJEKSİYON'!$K:$K,MATCH(1,('[1]PROSES ENJEKSİYON'!$A:$A=$AD$2)*('[1]PROSES ENJEKSİYON'!$F:$F=M27),0)),"")</f>
        <v/>
      </c>
      <c r="AE27" s="35" t="str" cm="1">
        <f t="array" ref="AE27">IFERROR(INDEX('[1]PROSES ENJEKSİYON'!$L:$L,MATCH(1,('[1]PROSES ENJEKSİYON'!$A:$A=$AB$2)*('[1]PROSES ENJEKSİYON'!$F:$F=A27),0)),"")</f>
        <v/>
      </c>
    </row>
    <row r="28" spans="1:31" ht="46.95" hidden="1" customHeight="1" x14ac:dyDescent="0.4">
      <c r="A28" s="83">
        <v>133</v>
      </c>
      <c r="B28" s="31" t="str" cm="1">
        <f t="array" ref="B28">IFERROR(INDEX('[1]PROSES ENJEKSİYON'!$L:$L, MATCH(1,('[1]PROSES ENJEKSİYON'!$A:$A=$B$2)*('[1]PROSES ENJEKSİYON'!$F:$F=A28),0)), "")</f>
        <v/>
      </c>
      <c r="C28" s="31" t="str" cm="1">
        <f t="array" ref="C28">IFERROR(INDEX('[1]PROSES ENJEKSİYON'!$L:$L,MATCH(1,('[1]PROSES ENJEKSİYON'!$A:$A=$C$2)*('[1]PROSES ENJEKSİYON'!$F:$F=A28),0)),"")</f>
        <v/>
      </c>
      <c r="D28" s="31" t="str" cm="1">
        <f t="array" ref="D28">IFERROR(INDEX('[1]PROSES ENJEKSİYON'!$L:$L,MATCH(1,('[1]PROSES ENJEKSİYON'!$A:$A=$D$2)*('[1]PROSES ENJEKSİYON'!$F:$F=A28),0)),"")</f>
        <v/>
      </c>
      <c r="E28" s="31" t="str" cm="1">
        <f t="array" ref="E28">IFERROR(INDEX('[1]PROSES ENJEKSİYON'!$L:$L,MATCH(1,('[1]PROSES ENJEKSİYON'!$A:$A=$E$2)*('[1]PROSES ENJEKSİYON'!$F:$F=A28),0)),"")</f>
        <v/>
      </c>
      <c r="F28" s="31" t="str" cm="1">
        <f t="array" ref="F28">IFERROR(INDEX('[1]PROSES ENJEKSİYON'!$L:$L,MATCH(1,('[1]PROSES ENJEKSİYON'!$A:$A=$F$2)*('[1]PROSES ENJEKSİYON'!$F:$F=A28),0)),"")</f>
        <v/>
      </c>
      <c r="G28" s="31" t="str" cm="1">
        <f t="array" ref="G28">IFERROR(INDEX('[1]PROSES ENJEKSİYON'!$L:$L,MATCH(1,('[1]PROSES ENJEKSİYON'!$A:$A=$G$2)*('[1]PROSES ENJEKSİYON'!$F:$F=A28),0)),"")</f>
        <v/>
      </c>
      <c r="H28" s="70" t="str" cm="1">
        <f t="array" ref="H28">IFERROR(INDEX('[1]PROSES ENJEKSİYON'!$G:$G,MATCH(1,('[1]PROSES ENJEKSİYON'!$A:$A=$H$2)*('[1]PROSES ENJEKSİYON'!$F:$F=A28),0)),"")</f>
        <v/>
      </c>
      <c r="I28" s="64" t="str" cm="1">
        <f t="array" ref="I28">IFERROR(INDEX('[1]PROSES ENJEKSİYON'!$J:$J,MATCH(1,('[1]PROSES ENJEKSİYON'!$A:$A=$H$2)*('[1]PROSES ENJEKSİYON'!$F:$F=A28),0)),"")</f>
        <v/>
      </c>
      <c r="J28" s="64" t="str" cm="1">
        <f t="array" ref="J28">IFERROR(INDEX('[1]PROSES ENJEKSİYON'!$K:$K,MATCH(1,('[1]PROSES ENJEKSİYON'!$A:$A=$H$2)*('[1]PROSES ENJEKSİYON'!$F:$F=A28),0)),"")</f>
        <v/>
      </c>
      <c r="K28" s="44" t="str" cm="1">
        <f t="array" ref="K28">IFERROR(INDEX('[1]PROSES ENJEKSİYON'!$L:$L,MATCH(1,('[1]PROSES ENJEKSİYON'!$A:$A=$H$2)*('[1]PROSES ENJEKSİYON'!$F:$F=A28),0)),"")</f>
        <v/>
      </c>
      <c r="L28" s="66" t="str" cm="1">
        <f t="array" ref="L28">IFERROR(INDEX('[1]PROSES ENJEKSİYON'!$G:$G,MATCH(1,('[1]PROSES ENJEKSİYON'!$A:$A=$L$2)*('[1]PROSES ENJEKSİYON'!$F:$F=A28),0)),"")</f>
        <v/>
      </c>
      <c r="M28" s="64" t="str" cm="1">
        <f t="array" ref="M28">IFERROR(INDEX('[1]PROSES ENJEKSİYON'!$J:$J,MATCH(1,('[1]PROSES ENJEKSİYON'!$A:$A=$L$2)*('[1]PROSES ENJEKSİYON'!$F:$F=A28),0)),"")</f>
        <v/>
      </c>
      <c r="N28" s="64" t="str" cm="1">
        <f t="array" ref="N28">IFERROR(INDEX('[1]PROSES ENJEKSİYON'!$K:$K,MATCH(1,('[1]PROSES ENJEKSİYON'!$A:$A=$L$2)*('[1]PROSES ENJEKSİYON'!$F:$F=A28),0)),"")</f>
        <v/>
      </c>
      <c r="O28" s="44" t="str" cm="1">
        <f t="array" ref="O28">IFERROR(INDEX('[1]PROSES ENJEKSİYON'!$L:$L,MATCH(1,('[1]PROSES ENJEKSİYON'!$A:$A=$L$2)*('[1]PROSES ENJEKSİYON'!$F:$F=A28),0)),"")</f>
        <v/>
      </c>
      <c r="P28" s="68" t="str" cm="1">
        <f t="array" ref="P28">IFERROR(INDEX('[1]PROSES ENJEKSİYON'!$G:$G,MATCH(1,('[1]PROSES ENJEKSİYON'!$A:$A=$P$2)*('[1]PROSES ENJEKSİYON'!$F:$F=A28),0)),"")</f>
        <v/>
      </c>
      <c r="Q28" s="64" t="str" cm="1">
        <f t="array" ref="Q28">IFERROR(INDEX('[1]PROSES ENJEKSİYON'!$J:$J,MATCH(1,('[1]PROSES ENJEKSİYON'!$A:$A=$P$2)*('[1]PROSES ENJEKSİYON'!$F:$F=A28),0)),"")</f>
        <v/>
      </c>
      <c r="R28" s="64" t="str" cm="1">
        <f t="array" ref="R28">IFERROR(INDEX('[1]PROSES ENJEKSİYON'!$K:$K,MATCH(1,('[1]PROSES ENJEKSİYON'!$A:$A=$P$2)*('[1]PROSES ENJEKSİYON'!$F:$F=A28),0)),"")</f>
        <v/>
      </c>
      <c r="S28" s="44" t="str" cm="1">
        <f t="array" ref="S28">IFERROR(INDEX('[1]PROSES ENJEKSİYON'!$L:$L,MATCH(1,('[1]PROSES ENJEKSİYON'!$A:$A=$P$2)*('[1]PROSES ENJEKSİYON'!$F:$F=A28),0)),"")</f>
        <v/>
      </c>
      <c r="T28" s="70" t="str" cm="1">
        <f t="array" ref="T28">IFERROR(INDEX('[1]PROSES ENJEKSİYON'!$G:$G,MATCH(1,('[1]PROSES ENJEKSİYON'!$A:$A=$T$2)*('[1]PROSES ENJEKSİYON'!$F:$F=A28),0)),"")</f>
        <v/>
      </c>
      <c r="U28" s="64" t="str" cm="1">
        <f t="array" ref="U28">IFERROR(INDEX('[1]PROSES ENJEKSİYON'!$J:$J,MATCH(1,('[1]PROSES ENJEKSİYON'!$A:$A=$T$2)*('[1]PROSES ENJEKSİYON'!$F:$F=A28),0)),"")</f>
        <v/>
      </c>
      <c r="V28" s="64" t="str" cm="1">
        <f t="array" ref="V28">IFERROR(INDEX('[1]PROSES ENJEKSİYON'!$K:$K,MATCH(1,('[1]PROSES ENJEKSİYON'!$A:$A=$T$2)*('[1]PROSES ENJEKSİYON'!$F:$F=A28),0)),"")</f>
        <v/>
      </c>
      <c r="W28" s="44" t="str" cm="1">
        <f t="array" ref="W28">IFERROR(INDEX('[1]PROSES ENJEKSİYON'!$L:$L,MATCH(1,('[1]PROSES ENJEKSİYON'!$A:$A=$T$2)*('[1]PROSES ENJEKSİYON'!$F:$F=A28),0)),"")</f>
        <v/>
      </c>
      <c r="X28" s="68" t="str" cm="1">
        <f t="array" ref="X28">IFERROR(INDEX('[1]PROSES ENJEKSİYON'!$G:$G,MATCH(1,('[1]PROSES ENJEKSİYON'!$A:$A=$X$2)*('[1]PROSES ENJEKSİYON'!$F:$F=A28),0)),"")</f>
        <v/>
      </c>
      <c r="Y28" s="64" t="str" cm="1">
        <f t="array" ref="Y28">IFERROR(INDEX('[1]PROSES ENJEKSİYON'!$J:$J,MATCH(1,('[1]PROSES ENJEKSİYON'!$A:$A=$X$2)*('[1]PROSES ENJEKSİYON'!$F:$F=A28),0)),"")</f>
        <v/>
      </c>
      <c r="Z28" s="64" t="str" cm="1">
        <f t="array" ref="Z28">IFERROR(INDEX('[1]PROSES ENJEKSİYON'!$K:$K,MATCH(1,('[1]PROSES ENJEKSİYON'!$A:$A=$X$2)*('[1]PROSES ENJEKSİYON'!$F:$F=A28),0)),"")</f>
        <v/>
      </c>
      <c r="AA28" s="44" t="str" cm="1">
        <f t="array" ref="AA28">IFERROR(INDEX('[1]PROSES ENJEKSİYON'!$L:$L,MATCH(1,('[1]PROSES ENJEKSİYON'!$A:$A=$X$2)*('[1]PROSES ENJEKSİYON'!$F:$F=A28),0)),"")</f>
        <v/>
      </c>
      <c r="AB28" s="34" t="str" cm="1">
        <f t="array" ref="AB28">IFERROR(INDEX('[1]PROSES ENJEKSİYON'!$G:$G,MATCH(1,('[1]PROSES ENJEKSİYON'!$A:$A=$AB$2)*('[1]PROSES ENJEKSİYON'!$F:$F=A28),0)),"")</f>
        <v/>
      </c>
      <c r="AC28" s="32" t="str" cm="1">
        <f t="array" ref="AC28">IFERROR(INDEX('[1]PROSES ENJEKSİYON'!$J:$J,MATCH(1,('[1]PROSES ENJEKSİYON'!$A:$A=$AB$2)*('[1]PROSES ENJEKSİYON'!$F:$F=M28),0)),"")</f>
        <v/>
      </c>
      <c r="AD28" s="32" t="str" cm="1">
        <f t="array" ref="AD28">IFERROR(INDEX('[1]PROSES ENJEKSİYON'!$K:$K,MATCH(1,('[1]PROSES ENJEKSİYON'!$A:$A=$AD$2)*('[1]PROSES ENJEKSİYON'!$F:$F=M28),0)),"")</f>
        <v/>
      </c>
      <c r="AE28" s="35" t="str" cm="1">
        <f t="array" ref="AE28">IFERROR(INDEX('[1]PROSES ENJEKSİYON'!$L:$L,MATCH(1,('[1]PROSES ENJEKSİYON'!$A:$A=$AB$2)*('[1]PROSES ENJEKSİYON'!$F:$F=A28),0)),"")</f>
        <v/>
      </c>
    </row>
    <row r="29" spans="1:31" ht="46.95" hidden="1" customHeight="1" x14ac:dyDescent="0.4">
      <c r="A29" s="83">
        <v>134</v>
      </c>
      <c r="B29" s="31" t="str" cm="1">
        <f t="array" ref="B29">IFERROR(INDEX('[1]PROSES ENJEKSİYON'!$L:$L, MATCH(1,('[1]PROSES ENJEKSİYON'!$A:$A=$B$2)*('[1]PROSES ENJEKSİYON'!$F:$F=A29),0)), "")</f>
        <v/>
      </c>
      <c r="C29" s="31" t="str" cm="1">
        <f t="array" ref="C29">IFERROR(INDEX('[1]PROSES ENJEKSİYON'!$L:$L,MATCH(1,('[1]PROSES ENJEKSİYON'!$A:$A=$C$2)*('[1]PROSES ENJEKSİYON'!$F:$F=A29),0)),"")</f>
        <v/>
      </c>
      <c r="D29" s="31" t="str" cm="1">
        <f t="array" ref="D29">IFERROR(INDEX('[1]PROSES ENJEKSİYON'!$L:$L,MATCH(1,('[1]PROSES ENJEKSİYON'!$A:$A=$D$2)*('[1]PROSES ENJEKSİYON'!$F:$F=A29),0)),"")</f>
        <v/>
      </c>
      <c r="E29" s="31" t="str" cm="1">
        <f t="array" ref="E29">IFERROR(INDEX('[1]PROSES ENJEKSİYON'!$L:$L,MATCH(1,('[1]PROSES ENJEKSİYON'!$A:$A=$E$2)*('[1]PROSES ENJEKSİYON'!$F:$F=A29),0)),"")</f>
        <v/>
      </c>
      <c r="F29" s="31" t="str" cm="1">
        <f t="array" ref="F29">IFERROR(INDEX('[1]PROSES ENJEKSİYON'!$L:$L,MATCH(1,('[1]PROSES ENJEKSİYON'!$A:$A=$F$2)*('[1]PROSES ENJEKSİYON'!$F:$F=A29),0)),"")</f>
        <v/>
      </c>
      <c r="G29" s="31" t="str" cm="1">
        <f t="array" ref="G29">IFERROR(INDEX('[1]PROSES ENJEKSİYON'!$L:$L,MATCH(1,('[1]PROSES ENJEKSİYON'!$A:$A=$G$2)*('[1]PROSES ENJEKSİYON'!$F:$F=A29),0)),"")</f>
        <v/>
      </c>
      <c r="H29" s="70" t="str" cm="1">
        <f t="array" ref="H29">IFERROR(INDEX('[1]PROSES ENJEKSİYON'!$G:$G,MATCH(1,('[1]PROSES ENJEKSİYON'!$A:$A=$H$2)*('[1]PROSES ENJEKSİYON'!$F:$F=A29),0)),"")</f>
        <v/>
      </c>
      <c r="I29" s="64" t="str" cm="1">
        <f t="array" ref="I29">IFERROR(INDEX('[1]PROSES ENJEKSİYON'!$J:$J,MATCH(1,('[1]PROSES ENJEKSİYON'!$A:$A=$H$2)*('[1]PROSES ENJEKSİYON'!$F:$F=A29),0)),"")</f>
        <v/>
      </c>
      <c r="J29" s="64" t="str" cm="1">
        <f t="array" ref="J29">IFERROR(INDEX('[1]PROSES ENJEKSİYON'!$K:$K,MATCH(1,('[1]PROSES ENJEKSİYON'!$A:$A=$H$2)*('[1]PROSES ENJEKSİYON'!$F:$F=A29),0)),"")</f>
        <v/>
      </c>
      <c r="K29" s="44" t="str" cm="1">
        <f t="array" ref="K29">IFERROR(INDEX('[1]PROSES ENJEKSİYON'!$L:$L,MATCH(1,('[1]PROSES ENJEKSİYON'!$A:$A=$H$2)*('[1]PROSES ENJEKSİYON'!$F:$F=A29),0)),"")</f>
        <v/>
      </c>
      <c r="L29" s="66" t="str" cm="1">
        <f t="array" ref="L29">IFERROR(INDEX('[1]PROSES ENJEKSİYON'!$G:$G,MATCH(1,('[1]PROSES ENJEKSİYON'!$A:$A=$L$2)*('[1]PROSES ENJEKSİYON'!$F:$F=A29),0)),"")</f>
        <v/>
      </c>
      <c r="M29" s="64" t="str" cm="1">
        <f t="array" ref="M29">IFERROR(INDEX('[1]PROSES ENJEKSİYON'!$J:$J,MATCH(1,('[1]PROSES ENJEKSİYON'!$A:$A=$L$2)*('[1]PROSES ENJEKSİYON'!$F:$F=A29),0)),"")</f>
        <v/>
      </c>
      <c r="N29" s="64" t="str" cm="1">
        <f t="array" ref="N29">IFERROR(INDEX('[1]PROSES ENJEKSİYON'!$K:$K,MATCH(1,('[1]PROSES ENJEKSİYON'!$A:$A=$L$2)*('[1]PROSES ENJEKSİYON'!$F:$F=A29),0)),"")</f>
        <v/>
      </c>
      <c r="O29" s="44" t="str" cm="1">
        <f t="array" ref="O29">IFERROR(INDEX('[1]PROSES ENJEKSİYON'!$L:$L,MATCH(1,('[1]PROSES ENJEKSİYON'!$A:$A=$L$2)*('[1]PROSES ENJEKSİYON'!$F:$F=A29),0)),"")</f>
        <v/>
      </c>
      <c r="P29" s="68" t="str" cm="1">
        <f t="array" ref="P29">IFERROR(INDEX('[1]PROSES ENJEKSİYON'!$G:$G,MATCH(1,('[1]PROSES ENJEKSİYON'!$A:$A=$P$2)*('[1]PROSES ENJEKSİYON'!$F:$F=A29),0)),"")</f>
        <v/>
      </c>
      <c r="Q29" s="64" t="str" cm="1">
        <f t="array" ref="Q29">IFERROR(INDEX('[1]PROSES ENJEKSİYON'!$J:$J,MATCH(1,('[1]PROSES ENJEKSİYON'!$A:$A=$P$2)*('[1]PROSES ENJEKSİYON'!$F:$F=A29),0)),"")</f>
        <v/>
      </c>
      <c r="R29" s="64" t="str" cm="1">
        <f t="array" ref="R29">IFERROR(INDEX('[1]PROSES ENJEKSİYON'!$K:$K,MATCH(1,('[1]PROSES ENJEKSİYON'!$A:$A=$P$2)*('[1]PROSES ENJEKSİYON'!$F:$F=A29),0)),"")</f>
        <v/>
      </c>
      <c r="S29" s="44" t="str" cm="1">
        <f t="array" ref="S29">IFERROR(INDEX('[1]PROSES ENJEKSİYON'!$L:$L,MATCH(1,('[1]PROSES ENJEKSİYON'!$A:$A=$P$2)*('[1]PROSES ENJEKSİYON'!$F:$F=A29),0)),"")</f>
        <v/>
      </c>
      <c r="T29" s="70" t="str" cm="1">
        <f t="array" ref="T29">IFERROR(INDEX('[1]PROSES ENJEKSİYON'!$G:$G,MATCH(1,('[1]PROSES ENJEKSİYON'!$A:$A=$T$2)*('[1]PROSES ENJEKSİYON'!$F:$F=A29),0)),"")</f>
        <v/>
      </c>
      <c r="U29" s="64" t="str" cm="1">
        <f t="array" ref="U29">IFERROR(INDEX('[1]PROSES ENJEKSİYON'!$J:$J,MATCH(1,('[1]PROSES ENJEKSİYON'!$A:$A=$T$2)*('[1]PROSES ENJEKSİYON'!$F:$F=A29),0)),"")</f>
        <v/>
      </c>
      <c r="V29" s="64" t="str" cm="1">
        <f t="array" ref="V29">IFERROR(INDEX('[1]PROSES ENJEKSİYON'!$K:$K,MATCH(1,('[1]PROSES ENJEKSİYON'!$A:$A=$T$2)*('[1]PROSES ENJEKSİYON'!$F:$F=A29),0)),"")</f>
        <v/>
      </c>
      <c r="W29" s="44" t="str" cm="1">
        <f t="array" ref="W29">IFERROR(INDEX('[1]PROSES ENJEKSİYON'!$L:$L,MATCH(1,('[1]PROSES ENJEKSİYON'!$A:$A=$T$2)*('[1]PROSES ENJEKSİYON'!$F:$F=A29),0)),"")</f>
        <v/>
      </c>
      <c r="X29" s="68" t="str" cm="1">
        <f t="array" ref="X29">IFERROR(INDEX('[1]PROSES ENJEKSİYON'!$G:$G,MATCH(1,('[1]PROSES ENJEKSİYON'!$A:$A=$X$2)*('[1]PROSES ENJEKSİYON'!$F:$F=A29),0)),"")</f>
        <v/>
      </c>
      <c r="Y29" s="64" t="str" cm="1">
        <f t="array" ref="Y29">IFERROR(INDEX('[1]PROSES ENJEKSİYON'!$J:$J,MATCH(1,('[1]PROSES ENJEKSİYON'!$A:$A=$X$2)*('[1]PROSES ENJEKSİYON'!$F:$F=A29),0)),"")</f>
        <v/>
      </c>
      <c r="Z29" s="64" t="str" cm="1">
        <f t="array" ref="Z29">IFERROR(INDEX('[1]PROSES ENJEKSİYON'!$K:$K,MATCH(1,('[1]PROSES ENJEKSİYON'!$A:$A=$X$2)*('[1]PROSES ENJEKSİYON'!$F:$F=A29),0)),"")</f>
        <v/>
      </c>
      <c r="AA29" s="44" t="str" cm="1">
        <f t="array" ref="AA29">IFERROR(INDEX('[1]PROSES ENJEKSİYON'!$L:$L,MATCH(1,('[1]PROSES ENJEKSİYON'!$A:$A=$X$2)*('[1]PROSES ENJEKSİYON'!$F:$F=A29),0)),"")</f>
        <v/>
      </c>
      <c r="AB29" s="34" t="str" cm="1">
        <f t="array" ref="AB29">IFERROR(INDEX('[1]PROSES ENJEKSİYON'!$G:$G,MATCH(1,('[1]PROSES ENJEKSİYON'!$A:$A=$AB$2)*('[1]PROSES ENJEKSİYON'!$F:$F=A29),0)),"")</f>
        <v/>
      </c>
      <c r="AC29" s="32" t="str" cm="1">
        <f t="array" ref="AC29">IFERROR(INDEX('[1]PROSES ENJEKSİYON'!$J:$J,MATCH(1,('[1]PROSES ENJEKSİYON'!$A:$A=$AB$2)*('[1]PROSES ENJEKSİYON'!$F:$F=M29),0)),"")</f>
        <v/>
      </c>
      <c r="AD29" s="32" t="str" cm="1">
        <f t="array" ref="AD29">IFERROR(INDEX('[1]PROSES ENJEKSİYON'!$K:$K,MATCH(1,('[1]PROSES ENJEKSİYON'!$A:$A=$AD$2)*('[1]PROSES ENJEKSİYON'!$F:$F=M29),0)),"")</f>
        <v/>
      </c>
      <c r="AE29" s="35" t="str" cm="1">
        <f t="array" ref="AE29">IFERROR(INDEX('[1]PROSES ENJEKSİYON'!$L:$L,MATCH(1,('[1]PROSES ENJEKSİYON'!$A:$A=$AB$2)*('[1]PROSES ENJEKSİYON'!$F:$F=A29),0)),"")</f>
        <v/>
      </c>
    </row>
    <row r="30" spans="1:31" ht="46.95" hidden="1" customHeight="1" x14ac:dyDescent="0.4">
      <c r="A30" s="83">
        <v>135</v>
      </c>
      <c r="B30" s="31" t="str" cm="1">
        <f t="array" ref="B30">IFERROR(INDEX('[1]PROSES ENJEKSİYON'!$L:$L, MATCH(1,('[1]PROSES ENJEKSİYON'!$A:$A=$B$2)*('[1]PROSES ENJEKSİYON'!$F:$F=A30),0)), "")</f>
        <v/>
      </c>
      <c r="C30" s="31" t="str" cm="1">
        <f t="array" ref="C30">IFERROR(INDEX('[1]PROSES ENJEKSİYON'!$L:$L,MATCH(1,('[1]PROSES ENJEKSİYON'!$A:$A=$C$2)*('[1]PROSES ENJEKSİYON'!$F:$F=A30),0)),"")</f>
        <v/>
      </c>
      <c r="D30" s="31" t="str" cm="1">
        <f t="array" ref="D30">IFERROR(INDEX('[1]PROSES ENJEKSİYON'!$L:$L,MATCH(1,('[1]PROSES ENJEKSİYON'!$A:$A=$D$2)*('[1]PROSES ENJEKSİYON'!$F:$F=A30),0)),"")</f>
        <v/>
      </c>
      <c r="E30" s="31" t="str" cm="1">
        <f t="array" ref="E30">IFERROR(INDEX('[1]PROSES ENJEKSİYON'!$L:$L,MATCH(1,('[1]PROSES ENJEKSİYON'!$A:$A=$E$2)*('[1]PROSES ENJEKSİYON'!$F:$F=A30),0)),"")</f>
        <v/>
      </c>
      <c r="F30" s="31" t="str" cm="1">
        <f t="array" ref="F30">IFERROR(INDEX('[1]PROSES ENJEKSİYON'!$L:$L,MATCH(1,('[1]PROSES ENJEKSİYON'!$A:$A=$F$2)*('[1]PROSES ENJEKSİYON'!$F:$F=A30),0)),"")</f>
        <v/>
      </c>
      <c r="G30" s="31" t="str" cm="1">
        <f t="array" ref="G30">IFERROR(INDEX('[1]PROSES ENJEKSİYON'!$L:$L,MATCH(1,('[1]PROSES ENJEKSİYON'!$A:$A=$G$2)*('[1]PROSES ENJEKSİYON'!$F:$F=A30),0)),"")</f>
        <v/>
      </c>
      <c r="H30" s="70" t="str" cm="1">
        <f t="array" ref="H30">IFERROR(INDEX('[1]PROSES ENJEKSİYON'!$G:$G,MATCH(1,('[1]PROSES ENJEKSİYON'!$A:$A=$H$2)*('[1]PROSES ENJEKSİYON'!$F:$F=A30),0)),"")</f>
        <v xml:space="preserve"> PET0324-01 110ML OPAK KIRMIZI 38MM YIVLI 25GR</v>
      </c>
      <c r="I30" s="64" cm="1">
        <f t="array" ref="I30">IFERROR(INDEX('[1]PROSES ENJEKSİYON'!$J:$J,MATCH(1,('[1]PROSES ENJEKSİYON'!$A:$A=$H$2)*('[1]PROSES ENJEKSİYON'!$F:$F=A30),0)),"")</f>
        <v>2</v>
      </c>
      <c r="J30" s="64" cm="1">
        <f t="array" ref="J30">IFERROR(INDEX('[1]PROSES ENJEKSİYON'!$K:$K,MATCH(1,('[1]PROSES ENJEKSİYON'!$A:$A=$H$2)*('[1]PROSES ENJEKSİYON'!$F:$F=A30),0)),"")</f>
        <v>2</v>
      </c>
      <c r="K30" s="44" cm="1">
        <f t="array" ref="K30">IFERROR(INDEX('[1]PROSES ENJEKSİYON'!$L:$L,MATCH(1,('[1]PROSES ENJEKSİYON'!$A:$A=$H$2)*('[1]PROSES ENJEKSİYON'!$F:$F=A30),0)),"")</f>
        <v>18.690000000000001</v>
      </c>
      <c r="L30" s="66" t="str" cm="1">
        <f t="array" ref="L30">IFERROR(INDEX('[1]PROSES ENJEKSİYON'!$G:$G,MATCH(1,('[1]PROSES ENJEKSİYON'!$A:$A=$L$2)*('[1]PROSES ENJEKSİYON'!$F:$F=A30),0)),"")</f>
        <v/>
      </c>
      <c r="M30" s="64" t="str" cm="1">
        <f t="array" ref="M30">IFERROR(INDEX('[1]PROSES ENJEKSİYON'!$J:$J,MATCH(1,('[1]PROSES ENJEKSİYON'!$A:$A=$L$2)*('[1]PROSES ENJEKSİYON'!$F:$F=A30),0)),"")</f>
        <v/>
      </c>
      <c r="N30" s="64" t="str" cm="1">
        <f t="array" ref="N30">IFERROR(INDEX('[1]PROSES ENJEKSİYON'!$K:$K,MATCH(1,('[1]PROSES ENJEKSİYON'!$A:$A=$L$2)*('[1]PROSES ENJEKSİYON'!$F:$F=A30),0)),"")</f>
        <v/>
      </c>
      <c r="O30" s="44" t="str" cm="1">
        <f t="array" ref="O30">IFERROR(INDEX('[1]PROSES ENJEKSİYON'!$L:$L,MATCH(1,('[1]PROSES ENJEKSİYON'!$A:$A=$L$2)*('[1]PROSES ENJEKSİYON'!$F:$F=A30),0)),"")</f>
        <v/>
      </c>
      <c r="P30" s="68" t="str" cm="1">
        <f t="array" ref="P30">IFERROR(INDEX('[1]PROSES ENJEKSİYON'!$G:$G,MATCH(1,('[1]PROSES ENJEKSİYON'!$A:$A=$P$2)*('[1]PROSES ENJEKSİYON'!$F:$F=A30),0)),"")</f>
        <v>MM-PET0145-01-038Y-025 - PET0145-01 150ML SEFFAF KAHVE 38MM YIVLI 25GR</v>
      </c>
      <c r="Q30" s="64" cm="1">
        <f t="array" ref="Q30">IFERROR(INDEX('[1]PROSES ENJEKSİYON'!$J:$J,MATCH(1,('[1]PROSES ENJEKSİYON'!$A:$A=$P$2)*('[1]PROSES ENJEKSİYON'!$F:$F=A30),0)),"")</f>
        <v>2</v>
      </c>
      <c r="R30" s="64" cm="1">
        <f t="array" ref="R30">IFERROR(INDEX('[1]PROSES ENJEKSİYON'!$K:$K,MATCH(1,('[1]PROSES ENJEKSİYON'!$A:$A=$P$2)*('[1]PROSES ENJEKSİYON'!$F:$F=A30),0)),"")</f>
        <v>2</v>
      </c>
      <c r="S30" s="44" cm="1">
        <f t="array" ref="S30">IFERROR(INDEX('[1]PROSES ENJEKSİYON'!$L:$L,MATCH(1,('[1]PROSES ENJEKSİYON'!$A:$A=$P$2)*('[1]PROSES ENJEKSİYON'!$F:$F=A30),0)),"")</f>
        <v>20.46</v>
      </c>
      <c r="T30" s="70" t="str" cm="1">
        <f t="array" ref="T30">IFERROR(INDEX('[1]PROSES ENJEKSİYON'!$G:$G,MATCH(1,('[1]PROSES ENJEKSİYON'!$A:$A=$T$2)*('[1]PROSES ENJEKSİYON'!$F:$F=A30),0)),"")</f>
        <v/>
      </c>
      <c r="U30" s="64" t="str" cm="1">
        <f t="array" ref="U30">IFERROR(INDEX('[1]PROSES ENJEKSİYON'!$J:$J,MATCH(1,('[1]PROSES ENJEKSİYON'!$A:$A=$T$2)*('[1]PROSES ENJEKSİYON'!$F:$F=A30),0)),"")</f>
        <v/>
      </c>
      <c r="V30" s="64" t="str" cm="1">
        <f t="array" ref="V30">IFERROR(INDEX('[1]PROSES ENJEKSİYON'!$K:$K,MATCH(1,('[1]PROSES ENJEKSİYON'!$A:$A=$T$2)*('[1]PROSES ENJEKSİYON'!$F:$F=A30),0)),"")</f>
        <v/>
      </c>
      <c r="W30" s="44" t="str" cm="1">
        <f t="array" ref="W30">IFERROR(INDEX('[1]PROSES ENJEKSİYON'!$L:$L,MATCH(1,('[1]PROSES ENJEKSİYON'!$A:$A=$T$2)*('[1]PROSES ENJEKSİYON'!$F:$F=A30),0)),"")</f>
        <v/>
      </c>
      <c r="X30" s="68" t="str" cm="1">
        <f t="array" ref="X30">IFERROR(INDEX('[1]PROSES ENJEKSİYON'!$G:$G,MATCH(1,('[1]PROSES ENJEKSİYON'!$A:$A=$X$2)*('[1]PROSES ENJEKSİYON'!$F:$F=A30),0)),"")</f>
        <v/>
      </c>
      <c r="Y30" s="64" t="str" cm="1">
        <f t="array" ref="Y30">IFERROR(INDEX('[1]PROSES ENJEKSİYON'!$J:$J,MATCH(1,('[1]PROSES ENJEKSİYON'!$A:$A=$X$2)*('[1]PROSES ENJEKSİYON'!$F:$F=A30),0)),"")</f>
        <v/>
      </c>
      <c r="Z30" s="64" t="str" cm="1">
        <f t="array" ref="Z30">IFERROR(INDEX('[1]PROSES ENJEKSİYON'!$K:$K,MATCH(1,('[1]PROSES ENJEKSİYON'!$A:$A=$X$2)*('[1]PROSES ENJEKSİYON'!$F:$F=A30),0)),"")</f>
        <v/>
      </c>
      <c r="AA30" s="44" t="str" cm="1">
        <f t="array" ref="AA30">IFERROR(INDEX('[1]PROSES ENJEKSİYON'!$L:$L,MATCH(1,('[1]PROSES ENJEKSİYON'!$A:$A=$X$2)*('[1]PROSES ENJEKSİYON'!$F:$F=A30),0)),"")</f>
        <v/>
      </c>
      <c r="AB30" s="34" t="str" cm="1">
        <f t="array" ref="AB30">IFERROR(INDEX('[1]PROSES ENJEKSİYON'!$G:$G,MATCH(1,('[1]PROSES ENJEKSİYON'!$A:$A=$AB$2)*('[1]PROSES ENJEKSİYON'!$F:$F=A30),0)),"")</f>
        <v/>
      </c>
      <c r="AC30" s="32" t="str" cm="1">
        <f t="array" ref="AC30">IFERROR(INDEX('[1]PROSES ENJEKSİYON'!$J:$J,MATCH(1,('[1]PROSES ENJEKSİYON'!$A:$A=$AB$2)*('[1]PROSES ENJEKSİYON'!$F:$F=M30),0)),"")</f>
        <v/>
      </c>
      <c r="AD30" s="32" t="str" cm="1">
        <f t="array" ref="AD30">IFERROR(INDEX('[1]PROSES ENJEKSİYON'!$K:$K,MATCH(1,('[1]PROSES ENJEKSİYON'!$A:$A=$AD$2)*('[1]PROSES ENJEKSİYON'!$F:$F=M30),0)),"")</f>
        <v/>
      </c>
      <c r="AE30" s="35" t="str" cm="1">
        <f t="array" ref="AE30">IFERROR(INDEX('[1]PROSES ENJEKSİYON'!$L:$L,MATCH(1,('[1]PROSES ENJEKSİYON'!$A:$A=$AB$2)*('[1]PROSES ENJEKSİYON'!$F:$F=A30),0)),"")</f>
        <v/>
      </c>
    </row>
    <row r="31" spans="1:31" ht="46.95" hidden="1" customHeight="1" x14ac:dyDescent="0.4">
      <c r="A31" s="82">
        <v>201</v>
      </c>
      <c r="B31" s="31" t="str" cm="1">
        <f t="array" ref="B31">IFERROR(INDEX('[1]PROSES ENJEKSİYON'!$L:$L, MATCH(1,('[1]PROSES ENJEKSİYON'!$A:$A=$B$2)*('[1]PROSES ENJEKSİYON'!$F:$F=A31),0)), "")</f>
        <v/>
      </c>
      <c r="C31" s="31" t="str" cm="1">
        <f t="array" ref="C31">IFERROR(INDEX('[1]PROSES ENJEKSİYON'!$L:$L,MATCH(1,('[1]PROSES ENJEKSİYON'!$A:$A=$C$2)*('[1]PROSES ENJEKSİYON'!$F:$F=A31),0)),"")</f>
        <v/>
      </c>
      <c r="D31" s="31" t="str" cm="1">
        <f t="array" ref="D31">IFERROR(INDEX('[1]PROSES ENJEKSİYON'!$L:$L,MATCH(1,('[1]PROSES ENJEKSİYON'!$A:$A=$D$2)*('[1]PROSES ENJEKSİYON'!$F:$F=A31),0)),"")</f>
        <v/>
      </c>
      <c r="E31" s="31" t="str" cm="1">
        <f t="array" ref="E31">IFERROR(INDEX('[1]PROSES ENJEKSİYON'!$L:$L,MATCH(1,('[1]PROSES ENJEKSİYON'!$A:$A=$E$2)*('[1]PROSES ENJEKSİYON'!$F:$F=A31),0)),"")</f>
        <v/>
      </c>
      <c r="F31" s="31" t="str" cm="1">
        <f t="array" ref="F31">IFERROR(INDEX('[1]PROSES ENJEKSİYON'!$L:$L,MATCH(1,('[1]PROSES ENJEKSİYON'!$A:$A=$F$2)*('[1]PROSES ENJEKSİYON'!$F:$F=A31),0)),"")</f>
        <v/>
      </c>
      <c r="G31" s="31" t="str" cm="1">
        <f t="array" ref="G31">IFERROR(INDEX('[1]PROSES ENJEKSİYON'!$L:$L,MATCH(1,('[1]PROSES ENJEKSİYON'!$A:$A=$G$2)*('[1]PROSES ENJEKSİYON'!$F:$F=A31),0)),"")</f>
        <v/>
      </c>
      <c r="H31" s="70" t="str" cm="1">
        <f t="array" ref="H31">IFERROR(INDEX('[1]PROSES ENJEKSİYON'!$G:$G,MATCH(1,('[1]PROSES ENJEKSİYON'!$A:$A=$H$2)*('[1]PROSES ENJEKSİYON'!$F:$F=A31),0)),"")</f>
        <v/>
      </c>
      <c r="I31" s="64" t="str" cm="1">
        <f t="array" ref="I31">IFERROR(INDEX('[1]PROSES ENJEKSİYON'!$J:$J,MATCH(1,('[1]PROSES ENJEKSİYON'!$A:$A=$H$2)*('[1]PROSES ENJEKSİYON'!$F:$F=A31),0)),"")</f>
        <v/>
      </c>
      <c r="J31" s="64" t="str" cm="1">
        <f t="array" ref="J31">IFERROR(INDEX('[1]PROSES ENJEKSİYON'!$K:$K,MATCH(1,('[1]PROSES ENJEKSİYON'!$A:$A=$H$2)*('[1]PROSES ENJEKSİYON'!$F:$F=A31),0)),"")</f>
        <v/>
      </c>
      <c r="K31" s="44" t="str" cm="1">
        <f t="array" ref="K31">IFERROR(INDEX('[1]PROSES ENJEKSİYON'!$L:$L,MATCH(1,('[1]PROSES ENJEKSİYON'!$A:$A=$H$2)*('[1]PROSES ENJEKSİYON'!$F:$F=A31),0)),"")</f>
        <v/>
      </c>
      <c r="L31" s="66" t="str" cm="1">
        <f t="array" ref="L31">IFERROR(INDEX('[1]PROSES ENJEKSİYON'!$G:$G,MATCH(1,('[1]PROSES ENJEKSİYON'!$A:$A=$L$2)*('[1]PROSES ENJEKSİYON'!$F:$F=A31),0)),"")</f>
        <v/>
      </c>
      <c r="M31" s="64" t="str" cm="1">
        <f t="array" ref="M31">IFERROR(INDEX('[1]PROSES ENJEKSİYON'!$J:$J,MATCH(1,('[1]PROSES ENJEKSİYON'!$A:$A=$L$2)*('[1]PROSES ENJEKSİYON'!$F:$F=A31),0)),"")</f>
        <v/>
      </c>
      <c r="N31" s="64" t="str" cm="1">
        <f t="array" ref="N31">IFERROR(INDEX('[1]PROSES ENJEKSİYON'!$K:$K,MATCH(1,('[1]PROSES ENJEKSİYON'!$A:$A=$L$2)*('[1]PROSES ENJEKSİYON'!$F:$F=A31),0)),"")</f>
        <v/>
      </c>
      <c r="O31" s="44" t="str" cm="1">
        <f t="array" ref="O31">IFERROR(INDEX('[1]PROSES ENJEKSİYON'!$L:$L,MATCH(1,('[1]PROSES ENJEKSİYON'!$A:$A=$L$2)*('[1]PROSES ENJEKSİYON'!$F:$F=A31),0)),"")</f>
        <v/>
      </c>
      <c r="P31" s="68" t="str" cm="1">
        <f t="array" ref="P31">IFERROR(INDEX('[1]PROSES ENJEKSİYON'!$G:$G,MATCH(1,('[1]PROSES ENJEKSİYON'!$A:$A=$P$2)*('[1]PROSES ENJEKSİYON'!$F:$F=A31),0)),"")</f>
        <v/>
      </c>
      <c r="Q31" s="64" t="str" cm="1">
        <f t="array" ref="Q31">IFERROR(INDEX('[1]PROSES ENJEKSİYON'!$J:$J,MATCH(1,('[1]PROSES ENJEKSİYON'!$A:$A=$P$2)*('[1]PROSES ENJEKSİYON'!$F:$F=A31),0)),"")</f>
        <v/>
      </c>
      <c r="R31" s="64" t="str" cm="1">
        <f t="array" ref="R31">IFERROR(INDEX('[1]PROSES ENJEKSİYON'!$K:$K,MATCH(1,('[1]PROSES ENJEKSİYON'!$A:$A=$P$2)*('[1]PROSES ENJEKSİYON'!$F:$F=A31),0)),"")</f>
        <v/>
      </c>
      <c r="S31" s="44" t="str" cm="1">
        <f t="array" ref="S31">IFERROR(INDEX('[1]PROSES ENJEKSİYON'!$L:$L,MATCH(1,('[1]PROSES ENJEKSİYON'!$A:$A=$P$2)*('[1]PROSES ENJEKSİYON'!$F:$F=A31),0)),"")</f>
        <v/>
      </c>
      <c r="T31" s="70" t="str" cm="1">
        <f t="array" ref="T31">IFERROR(INDEX('[1]PROSES ENJEKSİYON'!$G:$G,MATCH(1,('[1]PROSES ENJEKSİYON'!$A:$A=$T$2)*('[1]PROSES ENJEKSİYON'!$F:$F=A31),0)),"")</f>
        <v/>
      </c>
      <c r="U31" s="64" t="str" cm="1">
        <f t="array" ref="U31">IFERROR(INDEX('[1]PROSES ENJEKSİYON'!$J:$J,MATCH(1,('[1]PROSES ENJEKSİYON'!$A:$A=$T$2)*('[1]PROSES ENJEKSİYON'!$F:$F=A31),0)),"")</f>
        <v/>
      </c>
      <c r="V31" s="64" t="str" cm="1">
        <f t="array" ref="V31">IFERROR(INDEX('[1]PROSES ENJEKSİYON'!$K:$K,MATCH(1,('[1]PROSES ENJEKSİYON'!$A:$A=$T$2)*('[1]PROSES ENJEKSİYON'!$F:$F=A31),0)),"")</f>
        <v/>
      </c>
      <c r="W31" s="44" t="str" cm="1">
        <f t="array" ref="W31">IFERROR(INDEX('[1]PROSES ENJEKSİYON'!$L:$L,MATCH(1,('[1]PROSES ENJEKSİYON'!$A:$A=$T$2)*('[1]PROSES ENJEKSİYON'!$F:$F=A31),0)),"")</f>
        <v/>
      </c>
      <c r="X31" s="68" t="str" cm="1">
        <f t="array" ref="X31">IFERROR(INDEX('[1]PROSES ENJEKSİYON'!$G:$G,MATCH(1,('[1]PROSES ENJEKSİYON'!$A:$A=$X$2)*('[1]PROSES ENJEKSİYON'!$F:$F=A31),0)),"")</f>
        <v/>
      </c>
      <c r="Y31" s="64" t="str" cm="1">
        <f t="array" ref="Y31">IFERROR(INDEX('[1]PROSES ENJEKSİYON'!$J:$J,MATCH(1,('[1]PROSES ENJEKSİYON'!$A:$A=$X$2)*('[1]PROSES ENJEKSİYON'!$F:$F=A31),0)),"")</f>
        <v/>
      </c>
      <c r="Z31" s="64" t="str" cm="1">
        <f t="array" ref="Z31">IFERROR(INDEX('[1]PROSES ENJEKSİYON'!$K:$K,MATCH(1,('[1]PROSES ENJEKSİYON'!$A:$A=$X$2)*('[1]PROSES ENJEKSİYON'!$F:$F=A31),0)),"")</f>
        <v/>
      </c>
      <c r="AA31" s="44" t="str" cm="1">
        <f t="array" ref="AA31">IFERROR(INDEX('[1]PROSES ENJEKSİYON'!$L:$L,MATCH(1,('[1]PROSES ENJEKSİYON'!$A:$A=$X$2)*('[1]PROSES ENJEKSİYON'!$F:$F=A31),0)),"")</f>
        <v/>
      </c>
      <c r="AB31" s="34" t="str" cm="1">
        <f t="array" ref="AB31">IFERROR(INDEX('[1]PROSES ENJEKSİYON'!$G:$G,MATCH(1,('[1]PROSES ENJEKSİYON'!$A:$A=$AB$2)*('[1]PROSES ENJEKSİYON'!$F:$F=A31),0)),"")</f>
        <v/>
      </c>
      <c r="AC31" s="32" t="str" cm="1">
        <f t="array" ref="AC31">IFERROR(INDEX('[1]PROSES ENJEKSİYON'!$J:$J,MATCH(1,('[1]PROSES ENJEKSİYON'!$A:$A=$AB$2)*('[1]PROSES ENJEKSİYON'!$F:$F=M31),0)),"")</f>
        <v/>
      </c>
      <c r="AD31" s="32" t="str" cm="1">
        <f t="array" ref="AD31">IFERROR(INDEX('[1]PROSES ENJEKSİYON'!$K:$K,MATCH(1,('[1]PROSES ENJEKSİYON'!$A:$A=$AD$2)*('[1]PROSES ENJEKSİYON'!$F:$F=M31),0)),"")</f>
        <v/>
      </c>
      <c r="AE31" s="35" t="str" cm="1">
        <f t="array" ref="AE31">IFERROR(INDEX('[1]PROSES ENJEKSİYON'!$L:$L,MATCH(1,('[1]PROSES ENJEKSİYON'!$A:$A=$AB$2)*('[1]PROSES ENJEKSİYON'!$F:$F=A31),0)),"")</f>
        <v/>
      </c>
    </row>
    <row r="32" spans="1:31" ht="46.95" hidden="1" customHeight="1" x14ac:dyDescent="0.4">
      <c r="A32" s="82">
        <v>202</v>
      </c>
      <c r="B32" s="31" t="str" cm="1">
        <f t="array" ref="B32">IFERROR(INDEX('[1]PROSES ENJEKSİYON'!$L:$L, MATCH(1,('[1]PROSES ENJEKSİYON'!$A:$A=$B$2)*('[1]PROSES ENJEKSİYON'!$F:$F=A32),0)), "")</f>
        <v/>
      </c>
      <c r="C32" s="31" t="str" cm="1">
        <f t="array" ref="C32">IFERROR(INDEX('[1]PROSES ENJEKSİYON'!$L:$L,MATCH(1,('[1]PROSES ENJEKSİYON'!$A:$A=$C$2)*('[1]PROSES ENJEKSİYON'!$F:$F=A32),0)),"")</f>
        <v/>
      </c>
      <c r="D32" s="31" t="str" cm="1">
        <f t="array" ref="D32">IFERROR(INDEX('[1]PROSES ENJEKSİYON'!$L:$L,MATCH(1,('[1]PROSES ENJEKSİYON'!$A:$A=$D$2)*('[1]PROSES ENJEKSİYON'!$F:$F=A32),0)),"")</f>
        <v/>
      </c>
      <c r="E32" s="31" t="str" cm="1">
        <f t="array" ref="E32">IFERROR(INDEX('[1]PROSES ENJEKSİYON'!$L:$L,MATCH(1,('[1]PROSES ENJEKSİYON'!$A:$A=$E$2)*('[1]PROSES ENJEKSİYON'!$F:$F=A32),0)),"")</f>
        <v/>
      </c>
      <c r="F32" s="31" t="str" cm="1">
        <f t="array" ref="F32">IFERROR(INDEX('[1]PROSES ENJEKSİYON'!$L:$L,MATCH(1,('[1]PROSES ENJEKSİYON'!$A:$A=$F$2)*('[1]PROSES ENJEKSİYON'!$F:$F=A32),0)),"")</f>
        <v/>
      </c>
      <c r="G32" s="31" t="str" cm="1">
        <f t="array" ref="G32">IFERROR(INDEX('[1]PROSES ENJEKSİYON'!$L:$L,MATCH(1,('[1]PROSES ENJEKSİYON'!$A:$A=$G$2)*('[1]PROSES ENJEKSİYON'!$F:$F=A32),0)),"")</f>
        <v/>
      </c>
      <c r="H32" s="70" t="str" cm="1">
        <f t="array" ref="H32">IFERROR(INDEX('[1]PROSES ENJEKSİYON'!$G:$G,MATCH(1,('[1]PROSES ENJEKSİYON'!$A:$A=$H$2)*('[1]PROSES ENJEKSİYON'!$F:$F=A32),0)),"")</f>
        <v/>
      </c>
      <c r="I32" s="64" t="str" cm="1">
        <f t="array" ref="I32">IFERROR(INDEX('[1]PROSES ENJEKSİYON'!$J:$J,MATCH(1,('[1]PROSES ENJEKSİYON'!$A:$A=$H$2)*('[1]PROSES ENJEKSİYON'!$F:$F=A32),0)),"")</f>
        <v/>
      </c>
      <c r="J32" s="64" t="str" cm="1">
        <f t="array" ref="J32">IFERROR(INDEX('[1]PROSES ENJEKSİYON'!$K:$K,MATCH(1,('[1]PROSES ENJEKSİYON'!$A:$A=$H$2)*('[1]PROSES ENJEKSİYON'!$F:$F=A32),0)),"")</f>
        <v/>
      </c>
      <c r="K32" s="44" t="str" cm="1">
        <f t="array" ref="K32">IFERROR(INDEX('[1]PROSES ENJEKSİYON'!$L:$L,MATCH(1,('[1]PROSES ENJEKSİYON'!$A:$A=$H$2)*('[1]PROSES ENJEKSİYON'!$F:$F=A32),0)),"")</f>
        <v/>
      </c>
      <c r="L32" s="66" t="str" cm="1">
        <f t="array" ref="L32">IFERROR(INDEX('[1]PROSES ENJEKSİYON'!$G:$G,MATCH(1,('[1]PROSES ENJEKSİYON'!$A:$A=$L$2)*('[1]PROSES ENJEKSİYON'!$F:$F=A32),0)),"")</f>
        <v/>
      </c>
      <c r="M32" s="64" t="str" cm="1">
        <f t="array" ref="M32">IFERROR(INDEX('[1]PROSES ENJEKSİYON'!$J:$J,MATCH(1,('[1]PROSES ENJEKSİYON'!$A:$A=$L$2)*('[1]PROSES ENJEKSİYON'!$F:$F=A32),0)),"")</f>
        <v/>
      </c>
      <c r="N32" s="64" t="str" cm="1">
        <f t="array" ref="N32">IFERROR(INDEX('[1]PROSES ENJEKSİYON'!$K:$K,MATCH(1,('[1]PROSES ENJEKSİYON'!$A:$A=$L$2)*('[1]PROSES ENJEKSİYON'!$F:$F=A32),0)),"")</f>
        <v/>
      </c>
      <c r="O32" s="44" t="str" cm="1">
        <f t="array" ref="O32">IFERROR(INDEX('[1]PROSES ENJEKSİYON'!$L:$L,MATCH(1,('[1]PROSES ENJEKSİYON'!$A:$A=$L$2)*('[1]PROSES ENJEKSİYON'!$F:$F=A32),0)),"")</f>
        <v/>
      </c>
      <c r="P32" s="68" t="str" cm="1">
        <f t="array" ref="P32">IFERROR(INDEX('[1]PROSES ENJEKSİYON'!$G:$G,MATCH(1,('[1]PROSES ENJEKSİYON'!$A:$A=$P$2)*('[1]PROSES ENJEKSİYON'!$F:$F=A32),0)),"")</f>
        <v/>
      </c>
      <c r="Q32" s="64" t="str" cm="1">
        <f t="array" ref="Q32">IFERROR(INDEX('[1]PROSES ENJEKSİYON'!$J:$J,MATCH(1,('[1]PROSES ENJEKSİYON'!$A:$A=$P$2)*('[1]PROSES ENJEKSİYON'!$F:$F=A32),0)),"")</f>
        <v/>
      </c>
      <c r="R32" s="64" t="str" cm="1">
        <f t="array" ref="R32">IFERROR(INDEX('[1]PROSES ENJEKSİYON'!$K:$K,MATCH(1,('[1]PROSES ENJEKSİYON'!$A:$A=$P$2)*('[1]PROSES ENJEKSİYON'!$F:$F=A32),0)),"")</f>
        <v/>
      </c>
      <c r="S32" s="44" t="str" cm="1">
        <f t="array" ref="S32">IFERROR(INDEX('[1]PROSES ENJEKSİYON'!$L:$L,MATCH(1,('[1]PROSES ENJEKSİYON'!$A:$A=$P$2)*('[1]PROSES ENJEKSİYON'!$F:$F=A32),0)),"")</f>
        <v/>
      </c>
      <c r="T32" s="70" t="str" cm="1">
        <f t="array" ref="T32">IFERROR(INDEX('[1]PROSES ENJEKSİYON'!$G:$G,MATCH(1,('[1]PROSES ENJEKSİYON'!$A:$A=$T$2)*('[1]PROSES ENJEKSİYON'!$F:$F=A32),0)),"")</f>
        <v/>
      </c>
      <c r="U32" s="64" t="str" cm="1">
        <f t="array" ref="U32">IFERROR(INDEX('[1]PROSES ENJEKSİYON'!$J:$J,MATCH(1,('[1]PROSES ENJEKSİYON'!$A:$A=$T$2)*('[1]PROSES ENJEKSİYON'!$F:$F=A32),0)),"")</f>
        <v/>
      </c>
      <c r="V32" s="64" t="str" cm="1">
        <f t="array" ref="V32">IFERROR(INDEX('[1]PROSES ENJEKSİYON'!$K:$K,MATCH(1,('[1]PROSES ENJEKSİYON'!$A:$A=$T$2)*('[1]PROSES ENJEKSİYON'!$F:$F=A32),0)),"")</f>
        <v/>
      </c>
      <c r="W32" s="44" t="str" cm="1">
        <f t="array" ref="W32">IFERROR(INDEX('[1]PROSES ENJEKSİYON'!$L:$L,MATCH(1,('[1]PROSES ENJEKSİYON'!$A:$A=$T$2)*('[1]PROSES ENJEKSİYON'!$F:$F=A32),0)),"")</f>
        <v/>
      </c>
      <c r="X32" s="68" t="str" cm="1">
        <f t="array" ref="X32">IFERROR(INDEX('[1]PROSES ENJEKSİYON'!$G:$G,MATCH(1,('[1]PROSES ENJEKSİYON'!$A:$A=$X$2)*('[1]PROSES ENJEKSİYON'!$F:$F=A32),0)),"")</f>
        <v/>
      </c>
      <c r="Y32" s="64" t="str" cm="1">
        <f t="array" ref="Y32">IFERROR(INDEX('[1]PROSES ENJEKSİYON'!$J:$J,MATCH(1,('[1]PROSES ENJEKSİYON'!$A:$A=$X$2)*('[1]PROSES ENJEKSİYON'!$F:$F=A32),0)),"")</f>
        <v/>
      </c>
      <c r="Z32" s="64" t="str" cm="1">
        <f t="array" ref="Z32">IFERROR(INDEX('[1]PROSES ENJEKSİYON'!$K:$K,MATCH(1,('[1]PROSES ENJEKSİYON'!$A:$A=$X$2)*('[1]PROSES ENJEKSİYON'!$F:$F=A32),0)),"")</f>
        <v/>
      </c>
      <c r="AA32" s="44" t="str" cm="1">
        <f t="array" ref="AA32">IFERROR(INDEX('[1]PROSES ENJEKSİYON'!$L:$L,MATCH(1,('[1]PROSES ENJEKSİYON'!$A:$A=$X$2)*('[1]PROSES ENJEKSİYON'!$F:$F=A32),0)),"")</f>
        <v/>
      </c>
      <c r="AB32" s="34" t="str" cm="1">
        <f t="array" ref="AB32">IFERROR(INDEX('[1]PROSES ENJEKSİYON'!$G:$G,MATCH(1,('[1]PROSES ENJEKSİYON'!$A:$A=$AB$2)*('[1]PROSES ENJEKSİYON'!$F:$F=A32),0)),"")</f>
        <v/>
      </c>
      <c r="AC32" s="32" t="str" cm="1">
        <f t="array" ref="AC32">IFERROR(INDEX('[1]PROSES ENJEKSİYON'!$J:$J,MATCH(1,('[1]PROSES ENJEKSİYON'!$A:$A=$AB$2)*('[1]PROSES ENJEKSİYON'!$F:$F=M32),0)),"")</f>
        <v/>
      </c>
      <c r="AD32" s="32" t="str" cm="1">
        <f t="array" ref="AD32">IFERROR(INDEX('[1]PROSES ENJEKSİYON'!$K:$K,MATCH(1,('[1]PROSES ENJEKSİYON'!$A:$A=$AD$2)*('[1]PROSES ENJEKSİYON'!$F:$F=M32),0)),"")</f>
        <v/>
      </c>
      <c r="AE32" s="35" t="str" cm="1">
        <f t="array" ref="AE32">IFERROR(INDEX('[1]PROSES ENJEKSİYON'!$L:$L,MATCH(1,('[1]PROSES ENJEKSİYON'!$A:$A=$AB$2)*('[1]PROSES ENJEKSİYON'!$F:$F=A32),0)),"")</f>
        <v/>
      </c>
    </row>
    <row r="33" spans="1:31" ht="46.95" customHeight="1" x14ac:dyDescent="0.4">
      <c r="A33" s="82">
        <v>203</v>
      </c>
      <c r="B33" s="31" t="str" cm="1">
        <f t="array" ref="B33">IFERROR(INDEX('[1]PROSES ENJEKSİYON'!$L:$L, MATCH(1,('[1]PROSES ENJEKSİYON'!$A:$A=$B$2)*('[1]PROSES ENJEKSİYON'!$F:$F=A33),0)), "")</f>
        <v/>
      </c>
      <c r="C33" s="31" cm="1">
        <f t="array" ref="C33">IFERROR(INDEX('[1]PROSES ENJEKSİYON'!$L:$L,MATCH(1,('[1]PROSES ENJEKSİYON'!$A:$A=$C$2)*('[1]PROSES ENJEKSİYON'!$F:$F=A33),0)),"")</f>
        <v>18.2</v>
      </c>
      <c r="D33" s="31" cm="1">
        <f t="array" ref="D33">IFERROR(INDEX('[1]PROSES ENJEKSİYON'!$L:$L,MATCH(1,('[1]PROSES ENJEKSİYON'!$A:$A=$D$2)*('[1]PROSES ENJEKSİYON'!$F:$F=A33),0)),"")</f>
        <v>18.5</v>
      </c>
      <c r="E33" s="31" cm="1">
        <f t="array" ref="E33">IFERROR(INDEX('[1]PROSES ENJEKSİYON'!$L:$L,MATCH(1,('[1]PROSES ENJEKSİYON'!$A:$A=$E$2)*('[1]PROSES ENJEKSİYON'!$F:$F=A33),0)),"")</f>
        <v>17</v>
      </c>
      <c r="F33" s="31" cm="1">
        <f t="array" ref="F33">IFERROR(INDEX('[1]PROSES ENJEKSİYON'!$L:$L,MATCH(1,('[1]PROSES ENJEKSİYON'!$A:$A=$F$2)*('[1]PROSES ENJEKSİYON'!$F:$F=A33),0)),"")</f>
        <v>17</v>
      </c>
      <c r="G33" s="31" cm="1">
        <f t="array" ref="G33">IFERROR(INDEX('[1]PROSES ENJEKSİYON'!$L:$L,MATCH(1,('[1]PROSES ENJEKSİYON'!$A:$A=$G$2)*('[1]PROSES ENJEKSİYON'!$F:$F=A33),0)),"")</f>
        <v>16.899999999999999</v>
      </c>
      <c r="H33" s="70" t="str" cm="1">
        <f t="array" ref="H33">IFERROR(INDEX('[1]PROSES ENJEKSİYON'!$G:$G,MATCH(1,('[1]PROSES ENJEKSİYON'!$A:$A=$H$2)*('[1]PROSES ENJEKSİYON'!$F:$F=A33),0)),"")</f>
        <v>ENJ0065-01 KULP OPAK SİYAH 45MM 5,5GR</v>
      </c>
      <c r="I33" s="64" cm="1">
        <f t="array" ref="I33">IFERROR(INDEX('[1]PROSES ENJEKSİYON'!$J:$J,MATCH(1,('[1]PROSES ENJEKSİYON'!$A:$A=$H$2)*('[1]PROSES ENJEKSİYON'!$F:$F=A33),0)),"")</f>
        <v>4</v>
      </c>
      <c r="J33" s="64" cm="1">
        <f t="array" ref="J33">IFERROR(INDEX('[1]PROSES ENJEKSİYON'!$K:$K,MATCH(1,('[1]PROSES ENJEKSİYON'!$A:$A=$H$2)*('[1]PROSES ENJEKSİYON'!$F:$F=A33),0)),"")</f>
        <v>4</v>
      </c>
      <c r="K33" s="44" cm="1">
        <f t="array" ref="K33">IFERROR(INDEX('[1]PROSES ENJEKSİYON'!$L:$L,MATCH(1,('[1]PROSES ENJEKSİYON'!$A:$A=$H$2)*('[1]PROSES ENJEKSİYON'!$F:$F=A33),0)),"")</f>
        <v>15.6</v>
      </c>
      <c r="L33" s="66" t="str" cm="1">
        <f t="array" ref="L33">IFERROR(INDEX('[1]PROSES ENJEKSİYON'!$G:$G,MATCH(1,('[1]PROSES ENJEKSİYON'!$A:$A=$L$2)*('[1]PROSES ENJEKSİYON'!$F:$F=A33),0)),"")</f>
        <v/>
      </c>
      <c r="M33" s="64" t="str" cm="1">
        <f t="array" ref="M33">IFERROR(INDEX('[1]PROSES ENJEKSİYON'!$J:$J,MATCH(1,('[1]PROSES ENJEKSİYON'!$A:$A=$L$2)*('[1]PROSES ENJEKSİYON'!$F:$F=A33),0)),"")</f>
        <v/>
      </c>
      <c r="N33" s="64" t="str" cm="1">
        <f t="array" ref="N33">IFERROR(INDEX('[1]PROSES ENJEKSİYON'!$K:$K,MATCH(1,('[1]PROSES ENJEKSİYON'!$A:$A=$L$2)*('[1]PROSES ENJEKSİYON'!$F:$F=A33),0)),"")</f>
        <v/>
      </c>
      <c r="O33" s="44" t="str" cm="1">
        <f t="array" ref="O33">IFERROR(INDEX('[1]PROSES ENJEKSİYON'!$L:$L,MATCH(1,('[1]PROSES ENJEKSİYON'!$A:$A=$L$2)*('[1]PROSES ENJEKSİYON'!$F:$F=A33),0)),"")</f>
        <v/>
      </c>
      <c r="P33" s="68" t="str" cm="1">
        <f t="array" ref="P33">IFERROR(INDEX('[1]PROSES ENJEKSİYON'!$G:$G,MATCH(1,('[1]PROSES ENJEKSİYON'!$A:$A=$P$2)*('[1]PROSES ENJEKSİYON'!$F:$F=A33),0)),"")</f>
        <v>MM-ENJ0057-01-044C-006 - ENJ0057-01 KAPAK SEFFAF SARI 44MM CAKMA 6GR</v>
      </c>
      <c r="Q33" s="64" cm="1">
        <f t="array" ref="Q33">IFERROR(INDEX('[1]PROSES ENJEKSİYON'!$J:$J,MATCH(1,('[1]PROSES ENJEKSİYON'!$A:$A=$P$2)*('[1]PROSES ENJEKSİYON'!$F:$F=A33),0)),"")</f>
        <v>8</v>
      </c>
      <c r="R33" s="64" cm="1">
        <f t="array" ref="R33">IFERROR(INDEX('[1]PROSES ENJEKSİYON'!$K:$K,MATCH(1,('[1]PROSES ENJEKSİYON'!$A:$A=$P$2)*('[1]PROSES ENJEKSİYON'!$F:$F=A33),0)),"")</f>
        <v>8</v>
      </c>
      <c r="S33" s="44" cm="1">
        <f t="array" ref="S33">IFERROR(INDEX('[1]PROSES ENJEKSİYON'!$L:$L,MATCH(1,('[1]PROSES ENJEKSİYON'!$A:$A=$P$2)*('[1]PROSES ENJEKSİYON'!$F:$F=A33),0)),"")</f>
        <v>19</v>
      </c>
      <c r="T33" s="70" t="str" cm="1">
        <f t="array" ref="T33">IFERROR(INDEX('[1]PROSES ENJEKSİYON'!$G:$G,MATCH(1,('[1]PROSES ENJEKSİYON'!$A:$A=$T$2)*('[1]PROSES ENJEKSİYON'!$F:$F=A33),0)),"")</f>
        <v>ENJ0057-01 KAPAK SEFFAF SARI 44MM CAKMA 6GR</v>
      </c>
      <c r="U33" s="64" cm="1">
        <f t="array" ref="U33">IFERROR(INDEX('[1]PROSES ENJEKSİYON'!$J:$J,MATCH(1,('[1]PROSES ENJEKSİYON'!$A:$A=$T$2)*('[1]PROSES ENJEKSİYON'!$F:$F=A33),0)),"")</f>
        <v>8</v>
      </c>
      <c r="V33" s="64" cm="1">
        <f t="array" ref="V33">IFERROR(INDEX('[1]PROSES ENJEKSİYON'!$K:$K,MATCH(1,('[1]PROSES ENJEKSİYON'!$A:$A=$T$2)*('[1]PROSES ENJEKSİYON'!$F:$F=A33),0)),"")</f>
        <v>8</v>
      </c>
      <c r="W33" s="44" cm="1">
        <f t="array" ref="W33">IFERROR(INDEX('[1]PROSES ENJEKSİYON'!$L:$L,MATCH(1,('[1]PROSES ENJEKSİYON'!$A:$A=$T$2)*('[1]PROSES ENJEKSİYON'!$F:$F=A33),0)),"")</f>
        <v>19</v>
      </c>
      <c r="X33" s="68" t="str" cm="1">
        <f t="array" ref="X33">IFERROR(INDEX('[1]PROSES ENJEKSİYON'!$G:$G,MATCH(1,('[1]PROSES ENJEKSİYON'!$A:$A=$X$2)*('[1]PROSES ENJEKSİYON'!$F:$F=A33),0)),"")</f>
        <v>ENJ0057-01 KAPAK SEFFAF SARI 44MM CAKMA 6GR</v>
      </c>
      <c r="Y33" s="64" cm="1">
        <f t="array" ref="Y33">IFERROR(INDEX('[1]PROSES ENJEKSİYON'!$J:$J,MATCH(1,('[1]PROSES ENJEKSİYON'!$A:$A=$X$2)*('[1]PROSES ENJEKSİYON'!$F:$F=A33),0)),"")</f>
        <v>8</v>
      </c>
      <c r="Z33" s="64" cm="1">
        <f t="array" ref="Z33">IFERROR(INDEX('[1]PROSES ENJEKSİYON'!$K:$K,MATCH(1,('[1]PROSES ENJEKSİYON'!$A:$A=$X$2)*('[1]PROSES ENJEKSİYON'!$F:$F=A33),0)),"")</f>
        <v>8</v>
      </c>
      <c r="AA33" s="44" cm="1">
        <f t="array" ref="AA33">IFERROR(INDEX('[1]PROSES ENJEKSİYON'!$L:$L,MATCH(1,('[1]PROSES ENJEKSİYON'!$A:$A=$X$2)*('[1]PROSES ENJEKSİYON'!$F:$F=A33),0)),"")</f>
        <v>18.899999999999999</v>
      </c>
      <c r="AB33" s="34" t="str" cm="1">
        <f t="array" ref="AB33">IFERROR(INDEX('[1]PROSES ENJEKSİYON'!$G:$G,MATCH(1,('[1]PROSES ENJEKSİYON'!$A:$A=$AB$2)*('[1]PROSES ENJEKSİYON'!$F:$F=A33),0)),"")</f>
        <v>ENJ0057-01 KAPAK SEFFAF SARI 44MM CAKMA 6GR</v>
      </c>
      <c r="AC33" s="32" t="str" cm="1">
        <f t="array" ref="AC33">IFERROR(INDEX('[1]PROSES ENJEKSİYON'!$J:$J,MATCH(1,('[1]PROSES ENJEKSİYON'!$A:$A=$AB$2)*('[1]PROSES ENJEKSİYON'!$F:$F=M33),0)),"")</f>
        <v/>
      </c>
      <c r="AD33" s="32" t="str" cm="1">
        <f t="array" ref="AD33">IFERROR(INDEX('[1]PROSES ENJEKSİYON'!$K:$K,MATCH(1,('[1]PROSES ENJEKSİYON'!$A:$A=$AD$2)*('[1]PROSES ENJEKSİYON'!$F:$F=M33),0)),"")</f>
        <v/>
      </c>
      <c r="AE33" s="35" cm="1">
        <f t="array" ref="AE33">IFERROR(INDEX('[1]PROSES ENJEKSİYON'!$L:$L,MATCH(1,('[1]PROSES ENJEKSİYON'!$A:$A=$AB$2)*('[1]PROSES ENJEKSİYON'!$F:$F=A33),0)),"")</f>
        <v>19.5</v>
      </c>
    </row>
    <row r="34" spans="1:31" ht="46.95" customHeight="1" x14ac:dyDescent="0.4">
      <c r="A34" s="82">
        <v>204</v>
      </c>
      <c r="B34" s="31" t="str" cm="1">
        <f t="array" ref="B34">IFERROR(INDEX('[1]PROSES ENJEKSİYON'!$L:$L, MATCH(1,('[1]PROSES ENJEKSİYON'!$A:$A=$B$2)*('[1]PROSES ENJEKSİYON'!$F:$F=A34),0)), "")</f>
        <v/>
      </c>
      <c r="C34" s="31" t="str" cm="1">
        <f t="array" ref="C34">IFERROR(INDEX('[1]PROSES ENJEKSİYON'!$L:$L,MATCH(1,('[1]PROSES ENJEKSİYON'!$A:$A=$C$2)*('[1]PROSES ENJEKSİYON'!$F:$F=A34),0)),"")</f>
        <v/>
      </c>
      <c r="D34" s="31" cm="1">
        <f t="array" ref="D34">IFERROR(INDEX('[1]PROSES ENJEKSİYON'!$L:$L,MATCH(1,('[1]PROSES ENJEKSİYON'!$A:$A=$D$2)*('[1]PROSES ENJEKSİYON'!$F:$F=A34),0)),"")</f>
        <v>21.4</v>
      </c>
      <c r="E34" s="31" cm="1">
        <f t="array" ref="E34">IFERROR(INDEX('[1]PROSES ENJEKSİYON'!$L:$L,MATCH(1,('[1]PROSES ENJEKSİYON'!$A:$A=$E$2)*('[1]PROSES ENJEKSİYON'!$F:$F=A34),0)),"")</f>
        <v>23.5</v>
      </c>
      <c r="F34" s="31" cm="1">
        <f t="array" ref="F34">IFERROR(INDEX('[1]PROSES ENJEKSİYON'!$L:$L,MATCH(1,('[1]PROSES ENJEKSİYON'!$A:$A=$F$2)*('[1]PROSES ENJEKSİYON'!$F:$F=A34),0)),"")</f>
        <v>18</v>
      </c>
      <c r="G34" s="31" cm="1">
        <f t="array" ref="G34">IFERROR(INDEX('[1]PROSES ENJEKSİYON'!$L:$L,MATCH(1,('[1]PROSES ENJEKSİYON'!$A:$A=$G$2)*('[1]PROSES ENJEKSİYON'!$F:$F=A34),0)),"")</f>
        <v>18</v>
      </c>
      <c r="H34" s="70" t="str" cm="1">
        <f t="array" ref="H34">IFERROR(INDEX('[1]PROSES ENJEKSİYON'!$G:$G,MATCH(1,('[1]PROSES ENJEKSİYON'!$A:$A=$H$2)*('[1]PROSES ENJEKSİYON'!$F:$F=A34),0)),"")</f>
        <v>ENJ0006-01 KAPAK OPAK SIYAH 24MM YIVLI 9GR</v>
      </c>
      <c r="I34" s="64" cm="1">
        <f t="array" ref="I34">IFERROR(INDEX('[1]PROSES ENJEKSİYON'!$J:$J,MATCH(1,('[1]PROSES ENJEKSİYON'!$A:$A=$H$2)*('[1]PROSES ENJEKSİYON'!$F:$F=A34),0)),"")</f>
        <v>8</v>
      </c>
      <c r="J34" s="64" cm="1">
        <f t="array" ref="J34">IFERROR(INDEX('[1]PROSES ENJEKSİYON'!$K:$K,MATCH(1,('[1]PROSES ENJEKSİYON'!$A:$A=$H$2)*('[1]PROSES ENJEKSİYON'!$F:$F=A34),0)),"")</f>
        <v>6</v>
      </c>
      <c r="K34" s="44" cm="1">
        <f t="array" ref="K34">IFERROR(INDEX('[1]PROSES ENJEKSİYON'!$L:$L,MATCH(1,('[1]PROSES ENJEKSİYON'!$A:$A=$H$2)*('[1]PROSES ENJEKSİYON'!$F:$F=A34),0)),"")</f>
        <v>27</v>
      </c>
      <c r="L34" s="66" t="str" cm="1">
        <f t="array" ref="L34">IFERROR(INDEX('[1]PROSES ENJEKSİYON'!$G:$G,MATCH(1,('[1]PROSES ENJEKSİYON'!$A:$A=$L$2)*('[1]PROSES ENJEKSİYON'!$F:$F=A34),0)),"")</f>
        <v/>
      </c>
      <c r="M34" s="64" t="str" cm="1">
        <f t="array" ref="M34">IFERROR(INDEX('[1]PROSES ENJEKSİYON'!$J:$J,MATCH(1,('[1]PROSES ENJEKSİYON'!$A:$A=$L$2)*('[1]PROSES ENJEKSİYON'!$F:$F=A34),0)),"")</f>
        <v/>
      </c>
      <c r="N34" s="64" t="str" cm="1">
        <f t="array" ref="N34">IFERROR(INDEX('[1]PROSES ENJEKSİYON'!$K:$K,MATCH(1,('[1]PROSES ENJEKSİYON'!$A:$A=$L$2)*('[1]PROSES ENJEKSİYON'!$F:$F=A34),0)),"")</f>
        <v/>
      </c>
      <c r="O34" s="44" t="str" cm="1">
        <f t="array" ref="O34">IFERROR(INDEX('[1]PROSES ENJEKSİYON'!$L:$L,MATCH(1,('[1]PROSES ENJEKSİYON'!$A:$A=$L$2)*('[1]PROSES ENJEKSİYON'!$F:$F=A34),0)),"")</f>
        <v/>
      </c>
      <c r="P34" s="68" t="str" cm="1">
        <f t="array" ref="P34">IFERROR(INDEX('[1]PROSES ENJEKSİYON'!$G:$G,MATCH(1,('[1]PROSES ENJEKSİYON'!$A:$A=$P$2)*('[1]PROSES ENJEKSİYON'!$F:$F=A34),0)),"")</f>
        <v>MM-ENJ0035-02-028P-001 - ENJ0035-02 TIPA SEFFAF 28MM YIVLI 1GR ( KOLONYA )</v>
      </c>
      <c r="Q34" s="64" cm="1">
        <f t="array" ref="Q34">IFERROR(INDEX('[1]PROSES ENJEKSİYON'!$J:$J,MATCH(1,('[1]PROSES ENJEKSİYON'!$A:$A=$P$2)*('[1]PROSES ENJEKSİYON'!$F:$F=A34),0)),"")</f>
        <v>24</v>
      </c>
      <c r="R34" s="64" cm="1">
        <f t="array" ref="R34">IFERROR(INDEX('[1]PROSES ENJEKSİYON'!$K:$K,MATCH(1,('[1]PROSES ENJEKSİYON'!$A:$A=$P$2)*('[1]PROSES ENJEKSİYON'!$F:$F=A34),0)),"")</f>
        <v>22</v>
      </c>
      <c r="S34" s="44" cm="1">
        <f t="array" ref="S34">IFERROR(INDEX('[1]PROSES ENJEKSİYON'!$L:$L,MATCH(1,('[1]PROSES ENJEKSİYON'!$A:$A=$P$2)*('[1]PROSES ENJEKSİYON'!$F:$F=A34),0)),"")</f>
        <v>25.9</v>
      </c>
      <c r="T34" s="70" t="str" cm="1">
        <f t="array" ref="T34">IFERROR(INDEX('[1]PROSES ENJEKSİYON'!$G:$G,MATCH(1,('[1]PROSES ENJEKSİYON'!$A:$A=$T$2)*('[1]PROSES ENJEKSİYON'!$F:$F=A34),0)),"")</f>
        <v>ENJ0035-02 TIPA SEFFAF 28MM YIVLI 1GR ( KOLONYA )</v>
      </c>
      <c r="U34" s="64" cm="1">
        <f t="array" ref="U34">IFERROR(INDEX('[1]PROSES ENJEKSİYON'!$J:$J,MATCH(1,('[1]PROSES ENJEKSİYON'!$A:$A=$T$2)*('[1]PROSES ENJEKSİYON'!$F:$F=A34),0)),"")</f>
        <v>24</v>
      </c>
      <c r="V34" s="64" cm="1">
        <f t="array" ref="V34">IFERROR(INDEX('[1]PROSES ENJEKSİYON'!$K:$K,MATCH(1,('[1]PROSES ENJEKSİYON'!$A:$A=$T$2)*('[1]PROSES ENJEKSİYON'!$F:$F=A34),0)),"")</f>
        <v>21</v>
      </c>
      <c r="W34" s="44" cm="1">
        <f t="array" ref="W34">IFERROR(INDEX('[1]PROSES ENJEKSİYON'!$L:$L,MATCH(1,('[1]PROSES ENJEKSİYON'!$A:$A=$T$2)*('[1]PROSES ENJEKSİYON'!$F:$F=A34),0)),"")</f>
        <v>25.9</v>
      </c>
      <c r="X34" s="68" t="str" cm="1">
        <f t="array" ref="X34">IFERROR(INDEX('[1]PROSES ENJEKSİYON'!$G:$G,MATCH(1,('[1]PROSES ENJEKSİYON'!$A:$A=$X$2)*('[1]PROSES ENJEKSİYON'!$F:$F=A34),0)),"")</f>
        <v>ENJ0035-02 TIPA SEFFAF 28MM YIVLI 1GR ( KOLONYA )</v>
      </c>
      <c r="Y34" s="64" cm="1">
        <f t="array" ref="Y34">IFERROR(INDEX('[1]PROSES ENJEKSİYON'!$J:$J,MATCH(1,('[1]PROSES ENJEKSİYON'!$A:$A=$X$2)*('[1]PROSES ENJEKSİYON'!$F:$F=A34),0)),"")</f>
        <v>24</v>
      </c>
      <c r="Z34" s="64" cm="1">
        <f t="array" ref="Z34">IFERROR(INDEX('[1]PROSES ENJEKSİYON'!$K:$K,MATCH(1,('[1]PROSES ENJEKSİYON'!$A:$A=$X$2)*('[1]PROSES ENJEKSİYON'!$F:$F=A34),0)),"")</f>
        <v>21</v>
      </c>
      <c r="AA34" s="44" cm="1">
        <f t="array" ref="AA34">IFERROR(INDEX('[1]PROSES ENJEKSİYON'!$L:$L,MATCH(1,('[1]PROSES ENJEKSİYON'!$A:$A=$X$2)*('[1]PROSES ENJEKSİYON'!$F:$F=A34),0)),"")</f>
        <v>25.8</v>
      </c>
      <c r="AB34" s="34" t="str" cm="1">
        <f t="array" ref="AB34">IFERROR(INDEX('[1]PROSES ENJEKSİYON'!$G:$G,MATCH(1,('[1]PROSES ENJEKSİYON'!$A:$A=$AB$2)*('[1]PROSES ENJEKSİYON'!$F:$F=A34),0)),"")</f>
        <v>ENJ0035-02 TIPA SEFFAF 28MM YIVLI 1GR ( KOLONYA )</v>
      </c>
      <c r="AC34" s="32" t="str" cm="1">
        <f t="array" ref="AC34">IFERROR(INDEX('[1]PROSES ENJEKSİYON'!$J:$J,MATCH(1,('[1]PROSES ENJEKSİYON'!$A:$A=$AB$2)*('[1]PROSES ENJEKSİYON'!$F:$F=M34),0)),"")</f>
        <v/>
      </c>
      <c r="AD34" s="32" t="str" cm="1">
        <f t="array" ref="AD34">IFERROR(INDEX('[1]PROSES ENJEKSİYON'!$K:$K,MATCH(1,('[1]PROSES ENJEKSİYON'!$A:$A=$AD$2)*('[1]PROSES ENJEKSİYON'!$F:$F=M34),0)),"")</f>
        <v/>
      </c>
      <c r="AE34" s="35" cm="1">
        <f t="array" ref="AE34">IFERROR(INDEX('[1]PROSES ENJEKSİYON'!$L:$L,MATCH(1,('[1]PROSES ENJEKSİYON'!$A:$A=$AB$2)*('[1]PROSES ENJEKSİYON'!$F:$F=A34),0)),"")</f>
        <v>27.9</v>
      </c>
    </row>
    <row r="35" spans="1:31" ht="46.95" customHeight="1" x14ac:dyDescent="0.4">
      <c r="A35" s="82">
        <v>205</v>
      </c>
      <c r="B35" s="31" t="str" cm="1">
        <f t="array" ref="B35">IFERROR(INDEX('[1]PROSES ENJEKSİYON'!$L:$L, MATCH(1,('[1]PROSES ENJEKSİYON'!$A:$A=$B$2)*('[1]PROSES ENJEKSİYON'!$F:$F=A35),0)), "")</f>
        <v/>
      </c>
      <c r="C35" s="31" cm="1">
        <f t="array" ref="C35">IFERROR(INDEX('[1]PROSES ENJEKSİYON'!$L:$L,MATCH(1,('[1]PROSES ENJEKSİYON'!$A:$A=$C$2)*('[1]PROSES ENJEKSİYON'!$F:$F=A35),0)),"")</f>
        <v>24.6</v>
      </c>
      <c r="D35" s="31" cm="1">
        <f t="array" ref="D35">IFERROR(INDEX('[1]PROSES ENJEKSİYON'!$L:$L,MATCH(1,('[1]PROSES ENJEKSİYON'!$A:$A=$D$2)*('[1]PROSES ENJEKSİYON'!$F:$F=A35),0)),"")</f>
        <v>22.5</v>
      </c>
      <c r="E35" s="31" cm="1">
        <f t="array" ref="E35">IFERROR(INDEX('[1]PROSES ENJEKSİYON'!$L:$L,MATCH(1,('[1]PROSES ENJEKSİYON'!$A:$A=$E$2)*('[1]PROSES ENJEKSİYON'!$F:$F=A35),0)),"")</f>
        <v>22.9</v>
      </c>
      <c r="F35" s="31" cm="1">
        <f t="array" ref="F35">IFERROR(INDEX('[1]PROSES ENJEKSİYON'!$L:$L,MATCH(1,('[1]PROSES ENJEKSİYON'!$A:$A=$F$2)*('[1]PROSES ENJEKSİYON'!$F:$F=A35),0)),"")</f>
        <v>22.4</v>
      </c>
      <c r="G35" s="31" cm="1">
        <f t="array" ref="G35">IFERROR(INDEX('[1]PROSES ENJEKSİYON'!$L:$L,MATCH(1,('[1]PROSES ENJEKSİYON'!$A:$A=$G$2)*('[1]PROSES ENJEKSİYON'!$F:$F=A35),0)),"")</f>
        <v>22.9</v>
      </c>
      <c r="H35" s="70" t="str" cm="1">
        <f t="array" ref="H35">IFERROR(INDEX('[1]PROSES ENJEKSİYON'!$G:$G,MATCH(1,('[1]PROSES ENJEKSİYON'!$A:$A=$H$2)*('[1]PROSES ENJEKSİYON'!$F:$F=A35),0)),"")</f>
        <v>ENJ0031-04 KAPAK OPAK YESIL 24MM YIVLI 3GR</v>
      </c>
      <c r="I35" s="64" cm="1">
        <f t="array" ref="I35">IFERROR(INDEX('[1]PROSES ENJEKSİYON'!$J:$J,MATCH(1,('[1]PROSES ENJEKSİYON'!$A:$A=$H$2)*('[1]PROSES ENJEKSİYON'!$F:$F=A35),0)),"")</f>
        <v>12</v>
      </c>
      <c r="J35" s="64" cm="1">
        <f t="array" ref="J35">IFERROR(INDEX('[1]PROSES ENJEKSİYON'!$K:$K,MATCH(1,('[1]PROSES ENJEKSİYON'!$A:$A=$H$2)*('[1]PROSES ENJEKSİYON'!$F:$F=A35),0)),"")</f>
        <v>12</v>
      </c>
      <c r="K35" s="44" cm="1">
        <f t="array" ref="K35">IFERROR(INDEX('[1]PROSES ENJEKSİYON'!$L:$L,MATCH(1,('[1]PROSES ENJEKSİYON'!$A:$A=$H$2)*('[1]PROSES ENJEKSİYON'!$F:$F=A35),0)),"")</f>
        <v>28.2</v>
      </c>
      <c r="L35" s="66" t="str" cm="1">
        <f t="array" ref="L35">IFERROR(INDEX('[1]PROSES ENJEKSİYON'!$G:$G,MATCH(1,('[1]PROSES ENJEKSİYON'!$A:$A=$L$2)*('[1]PROSES ENJEKSİYON'!$F:$F=A35),0)),"")</f>
        <v/>
      </c>
      <c r="M35" s="64" t="str" cm="1">
        <f t="array" ref="M35">IFERROR(INDEX('[1]PROSES ENJEKSİYON'!$J:$J,MATCH(1,('[1]PROSES ENJEKSİYON'!$A:$A=$L$2)*('[1]PROSES ENJEKSİYON'!$F:$F=A35),0)),"")</f>
        <v/>
      </c>
      <c r="N35" s="64" t="str" cm="1">
        <f t="array" ref="N35">IFERROR(INDEX('[1]PROSES ENJEKSİYON'!$K:$K,MATCH(1,('[1]PROSES ENJEKSİYON'!$A:$A=$L$2)*('[1]PROSES ENJEKSİYON'!$F:$F=A35),0)),"")</f>
        <v/>
      </c>
      <c r="O35" s="44" t="str" cm="1">
        <f t="array" ref="O35">IFERROR(INDEX('[1]PROSES ENJEKSİYON'!$L:$L,MATCH(1,('[1]PROSES ENJEKSİYON'!$A:$A=$L$2)*('[1]PROSES ENJEKSİYON'!$F:$F=A35),0)),"")</f>
        <v/>
      </c>
      <c r="P35" s="68" t="str" cm="1">
        <f t="array" ref="P35">IFERROR(INDEX('[1]PROSES ENJEKSİYON'!$G:$G,MATCH(1,('[1]PROSES ENJEKSİYON'!$A:$A=$P$2)*('[1]PROSES ENJEKSİYON'!$F:$F=A35),0)),"")</f>
        <v>MM-ENJ0031-04-024Y-003 - ENJ0031-04 KAPAK OPAK YESIL 24MM YIVLI 3GR</v>
      </c>
      <c r="Q35" s="64" cm="1">
        <f t="array" ref="Q35">IFERROR(INDEX('[1]PROSES ENJEKSİYON'!$J:$J,MATCH(1,('[1]PROSES ENJEKSİYON'!$A:$A=$P$2)*('[1]PROSES ENJEKSİYON'!$F:$F=A35),0)),"")</f>
        <v>12</v>
      </c>
      <c r="R35" s="64" cm="1">
        <f t="array" ref="R35">IFERROR(INDEX('[1]PROSES ENJEKSİYON'!$K:$K,MATCH(1,('[1]PROSES ENJEKSİYON'!$A:$A=$P$2)*('[1]PROSES ENJEKSİYON'!$F:$F=A35),0)),"")</f>
        <v>12</v>
      </c>
      <c r="S35" s="44" cm="1">
        <f t="array" ref="S35">IFERROR(INDEX('[1]PROSES ENJEKSİYON'!$L:$L,MATCH(1,('[1]PROSES ENJEKSİYON'!$A:$A=$P$2)*('[1]PROSES ENJEKSİYON'!$F:$F=A35),0)),"")</f>
        <v>26.2</v>
      </c>
      <c r="T35" s="70" t="str" cm="1">
        <f t="array" ref="T35">IFERROR(INDEX('[1]PROSES ENJEKSİYON'!$G:$G,MATCH(1,('[1]PROSES ENJEKSİYON'!$A:$A=$T$2)*('[1]PROSES ENJEKSİYON'!$F:$F=A35),0)),"")</f>
        <v>ENJ0031-04 KAPAK OPAK YESIL 24MM YIVLI 3GR</v>
      </c>
      <c r="U35" s="64" cm="1">
        <f t="array" ref="U35">IFERROR(INDEX('[1]PROSES ENJEKSİYON'!$J:$J,MATCH(1,('[1]PROSES ENJEKSİYON'!$A:$A=$T$2)*('[1]PROSES ENJEKSİYON'!$F:$F=A35),0)),"")</f>
        <v>12</v>
      </c>
      <c r="V35" s="64" cm="1">
        <f t="array" ref="V35">IFERROR(INDEX('[1]PROSES ENJEKSİYON'!$K:$K,MATCH(1,('[1]PROSES ENJEKSİYON'!$A:$A=$T$2)*('[1]PROSES ENJEKSİYON'!$F:$F=A35),0)),"")</f>
        <v>12</v>
      </c>
      <c r="W35" s="44" cm="1">
        <f t="array" ref="W35">IFERROR(INDEX('[1]PROSES ENJEKSİYON'!$L:$L,MATCH(1,('[1]PROSES ENJEKSİYON'!$A:$A=$T$2)*('[1]PROSES ENJEKSİYON'!$F:$F=A35),0)),"")</f>
        <v>26.5</v>
      </c>
      <c r="X35" s="68" t="str" cm="1">
        <f t="array" ref="X35">IFERROR(INDEX('[1]PROSES ENJEKSİYON'!$G:$G,MATCH(1,('[1]PROSES ENJEKSİYON'!$A:$A=$X$2)*('[1]PROSES ENJEKSİYON'!$F:$F=A35),0)),"")</f>
        <v>ENJ0031-04 KAPAK OPAK YESIL 24MM YIVLI 3GR</v>
      </c>
      <c r="Y35" s="64" cm="1">
        <f t="array" ref="Y35">IFERROR(INDEX('[1]PROSES ENJEKSİYON'!$J:$J,MATCH(1,('[1]PROSES ENJEKSİYON'!$A:$A=$X$2)*('[1]PROSES ENJEKSİYON'!$F:$F=A35),0)),"")</f>
        <v>12</v>
      </c>
      <c r="Z35" s="64" cm="1">
        <f t="array" ref="Z35">IFERROR(INDEX('[1]PROSES ENJEKSİYON'!$K:$K,MATCH(1,('[1]PROSES ENJEKSİYON'!$A:$A=$X$2)*('[1]PROSES ENJEKSİYON'!$F:$F=A35),0)),"")</f>
        <v>12</v>
      </c>
      <c r="AA35" s="44" cm="1">
        <f t="array" ref="AA35">IFERROR(INDEX('[1]PROSES ENJEKSİYON'!$L:$L,MATCH(1,('[1]PROSES ENJEKSİYON'!$A:$A=$X$2)*('[1]PROSES ENJEKSİYON'!$F:$F=A35),0)),"")</f>
        <v>26.5</v>
      </c>
      <c r="AB35" s="34" t="str" cm="1">
        <f t="array" ref="AB35">IFERROR(INDEX('[1]PROSES ENJEKSİYON'!$G:$G,MATCH(1,('[1]PROSES ENJEKSİYON'!$A:$A=$AB$2)*('[1]PROSES ENJEKSİYON'!$F:$F=A35),0)),"")</f>
        <v>ENJ0031-04 KAPAK OPAK YESIL 24MM YIVLI 3GR</v>
      </c>
      <c r="AC35" s="32" t="str" cm="1">
        <f t="array" ref="AC35">IFERROR(INDEX('[1]PROSES ENJEKSİYON'!$J:$J,MATCH(1,('[1]PROSES ENJEKSİYON'!$A:$A=$AB$2)*('[1]PROSES ENJEKSİYON'!$F:$F=M35),0)),"")</f>
        <v/>
      </c>
      <c r="AD35" s="32" t="str" cm="1">
        <f t="array" ref="AD35">IFERROR(INDEX('[1]PROSES ENJEKSİYON'!$K:$K,MATCH(1,('[1]PROSES ENJEKSİYON'!$A:$A=$AD$2)*('[1]PROSES ENJEKSİYON'!$F:$F=M35),0)),"")</f>
        <v/>
      </c>
      <c r="AE35" s="35" cm="1">
        <f t="array" ref="AE35">IFERROR(INDEX('[1]PROSES ENJEKSİYON'!$L:$L,MATCH(1,('[1]PROSES ENJEKSİYON'!$A:$A=$AB$2)*('[1]PROSES ENJEKSİYON'!$F:$F=A35),0)),"")</f>
        <v>28</v>
      </c>
    </row>
    <row r="36" spans="1:31" ht="46.95" hidden="1" customHeight="1" x14ac:dyDescent="0.4">
      <c r="A36" s="82">
        <v>206</v>
      </c>
      <c r="B36" s="31" t="str" cm="1">
        <f t="array" ref="B36">IFERROR(INDEX('[1]PROSES ENJEKSİYON'!$L:$L, MATCH(1,('[1]PROSES ENJEKSİYON'!$A:$A=$B$2)*('[1]PROSES ENJEKSİYON'!$F:$F=A36),0)), "")</f>
        <v/>
      </c>
      <c r="C36" s="31" t="str" cm="1">
        <f t="array" ref="C36">IFERROR(INDEX('[1]PROSES ENJEKSİYON'!$L:$L,MATCH(1,('[1]PROSES ENJEKSİYON'!$A:$A=$C$2)*('[1]PROSES ENJEKSİYON'!$F:$F=A36),0)),"")</f>
        <v/>
      </c>
      <c r="D36" s="31" t="str" cm="1">
        <f t="array" ref="D36">IFERROR(INDEX('[1]PROSES ENJEKSİYON'!$L:$L,MATCH(1,('[1]PROSES ENJEKSİYON'!$A:$A=$D$2)*('[1]PROSES ENJEKSİYON'!$F:$F=A36),0)),"")</f>
        <v/>
      </c>
      <c r="E36" s="31" t="str" cm="1">
        <f t="array" ref="E36">IFERROR(INDEX('[1]PROSES ENJEKSİYON'!$L:$L,MATCH(1,('[1]PROSES ENJEKSİYON'!$A:$A=$E$2)*('[1]PROSES ENJEKSİYON'!$F:$F=A36),0)),"")</f>
        <v/>
      </c>
      <c r="F36" s="31" t="str" cm="1">
        <f t="array" ref="F36">IFERROR(INDEX('[1]PROSES ENJEKSİYON'!$L:$L,MATCH(1,('[1]PROSES ENJEKSİYON'!$A:$A=$F$2)*('[1]PROSES ENJEKSİYON'!$F:$F=A36),0)),"")</f>
        <v/>
      </c>
      <c r="G36" s="31" cm="1">
        <f t="array" ref="G36">IFERROR(INDEX('[1]PROSES ENJEKSİYON'!$L:$L,MATCH(1,('[1]PROSES ENJEKSİYON'!$A:$A=$G$2)*('[1]PROSES ENJEKSİYON'!$F:$F=A36),0)),"")</f>
        <v>19.899999999999999</v>
      </c>
      <c r="H36" s="70" t="str" cm="1">
        <f t="array" ref="H36">IFERROR(INDEX('[1]PROSES ENJEKSİYON'!$G:$G,MATCH(1,('[1]PROSES ENJEKSİYON'!$A:$A=$H$2)*('[1]PROSES ENJEKSİYON'!$F:$F=A36),0)),"")</f>
        <v>ENJ0010-03 FLIPTOP OPAK SIYAH 45MM YIVLI 10GR</v>
      </c>
      <c r="I36" s="64" cm="1">
        <f t="array" ref="I36">IFERROR(INDEX('[1]PROSES ENJEKSİYON'!$J:$J,MATCH(1,('[1]PROSES ENJEKSİYON'!$A:$A=$H$2)*('[1]PROSES ENJEKSİYON'!$F:$F=A36),0)),"")</f>
        <v>8</v>
      </c>
      <c r="J36" s="64" cm="1">
        <f t="array" ref="J36">IFERROR(INDEX('[1]PROSES ENJEKSİYON'!$K:$K,MATCH(1,('[1]PROSES ENJEKSİYON'!$A:$A=$H$2)*('[1]PROSES ENJEKSİYON'!$F:$F=A36),0)),"")</f>
        <v>5</v>
      </c>
      <c r="K36" s="44" cm="1">
        <f t="array" ref="K36">IFERROR(INDEX('[1]PROSES ENJEKSİYON'!$L:$L,MATCH(1,('[1]PROSES ENJEKSİYON'!$A:$A=$H$2)*('[1]PROSES ENJEKSİYON'!$F:$F=A36),0)),"")</f>
        <v>33.1</v>
      </c>
      <c r="L36" s="66" t="str" cm="1">
        <f t="array" ref="L36">IFERROR(INDEX('[1]PROSES ENJEKSİYON'!$G:$G,MATCH(1,('[1]PROSES ENJEKSİYON'!$A:$A=$L$2)*('[1]PROSES ENJEKSİYON'!$F:$F=A36),0)),"")</f>
        <v/>
      </c>
      <c r="M36" s="64" t="str" cm="1">
        <f t="array" ref="M36">IFERROR(INDEX('[1]PROSES ENJEKSİYON'!$J:$J,MATCH(1,('[1]PROSES ENJEKSİYON'!$A:$A=$L$2)*('[1]PROSES ENJEKSİYON'!$F:$F=A36),0)),"")</f>
        <v/>
      </c>
      <c r="N36" s="64" t="str" cm="1">
        <f t="array" ref="N36">IFERROR(INDEX('[1]PROSES ENJEKSİYON'!$K:$K,MATCH(1,('[1]PROSES ENJEKSİYON'!$A:$A=$L$2)*('[1]PROSES ENJEKSİYON'!$F:$F=A36),0)),"")</f>
        <v/>
      </c>
      <c r="O36" s="44" t="str" cm="1">
        <f t="array" ref="O36">IFERROR(INDEX('[1]PROSES ENJEKSİYON'!$L:$L,MATCH(1,('[1]PROSES ENJEKSİYON'!$A:$A=$L$2)*('[1]PROSES ENJEKSİYON'!$F:$F=A36),0)),"")</f>
        <v/>
      </c>
      <c r="P36" s="68" t="str" cm="1">
        <f t="array" ref="P36">IFERROR(INDEX('[1]PROSES ENJEKSİYON'!$G:$G,MATCH(1,('[1]PROSES ENJEKSİYON'!$A:$A=$P$2)*('[1]PROSES ENJEKSİYON'!$F:$F=A36),0)),"")</f>
        <v/>
      </c>
      <c r="Q36" s="64" t="str" cm="1">
        <f t="array" ref="Q36">IFERROR(INDEX('[1]PROSES ENJEKSİYON'!$J:$J,MATCH(1,('[1]PROSES ENJEKSİYON'!$A:$A=$P$2)*('[1]PROSES ENJEKSİYON'!$F:$F=A36),0)),"")</f>
        <v/>
      </c>
      <c r="R36" s="64" t="str" cm="1">
        <f t="array" ref="R36">IFERROR(INDEX('[1]PROSES ENJEKSİYON'!$K:$K,MATCH(1,('[1]PROSES ENJEKSİYON'!$A:$A=$P$2)*('[1]PROSES ENJEKSİYON'!$F:$F=A36),0)),"")</f>
        <v/>
      </c>
      <c r="S36" s="44" t="str" cm="1">
        <f t="array" ref="S36">IFERROR(INDEX('[1]PROSES ENJEKSİYON'!$L:$L,MATCH(1,('[1]PROSES ENJEKSİYON'!$A:$A=$P$2)*('[1]PROSES ENJEKSİYON'!$F:$F=A36),0)),"")</f>
        <v/>
      </c>
      <c r="T36" s="70" t="str" cm="1">
        <f t="array" ref="T36">IFERROR(INDEX('[1]PROSES ENJEKSİYON'!$G:$G,MATCH(1,('[1]PROSES ENJEKSİYON'!$A:$A=$T$2)*('[1]PROSES ENJEKSİYON'!$F:$F=A36),0)),"")</f>
        <v>ENJ0063-01 BAHARAT FLIPTOP OPAK KIRMIZI 62MM YIVLI 12GR</v>
      </c>
      <c r="U36" s="64" cm="1">
        <f t="array" ref="U36">IFERROR(INDEX('[1]PROSES ENJEKSİYON'!$J:$J,MATCH(1,('[1]PROSES ENJEKSİYON'!$A:$A=$T$2)*('[1]PROSES ENJEKSİYON'!$F:$F=A36),0)),"")</f>
        <v>4</v>
      </c>
      <c r="V36" s="64" cm="1">
        <f t="array" ref="V36">IFERROR(INDEX('[1]PROSES ENJEKSİYON'!$K:$K,MATCH(1,('[1]PROSES ENJEKSİYON'!$A:$A=$T$2)*('[1]PROSES ENJEKSİYON'!$F:$F=A36),0)),"")</f>
        <v>4</v>
      </c>
      <c r="W36" s="44" cm="1">
        <f t="array" ref="W36">IFERROR(INDEX('[1]PROSES ENJEKSİYON'!$L:$L,MATCH(1,('[1]PROSES ENJEKSİYON'!$A:$A=$T$2)*('[1]PROSES ENJEKSİYON'!$F:$F=A36),0)),"")</f>
        <v>19.100000000000001</v>
      </c>
      <c r="X36" s="68" t="str" cm="1">
        <f t="array" ref="X36">IFERROR(INDEX('[1]PROSES ENJEKSİYON'!$G:$G,MATCH(1,('[1]PROSES ENJEKSİYON'!$A:$A=$X$2)*('[1]PROSES ENJEKSİYON'!$F:$F=A36),0)),"")</f>
        <v>ENJ0063-01 BAHARAT FLIPTOP OPAK KIRMIZI 62MM YIVLI 12GR</v>
      </c>
      <c r="Y36" s="64" cm="1">
        <f t="array" ref="Y36">IFERROR(INDEX('[1]PROSES ENJEKSİYON'!$J:$J,MATCH(1,('[1]PROSES ENJEKSİYON'!$A:$A=$X$2)*('[1]PROSES ENJEKSİYON'!$F:$F=A36),0)),"")</f>
        <v>4</v>
      </c>
      <c r="Z36" s="64" cm="1">
        <f t="array" ref="Z36">IFERROR(INDEX('[1]PROSES ENJEKSİYON'!$K:$K,MATCH(1,('[1]PROSES ENJEKSİYON'!$A:$A=$X$2)*('[1]PROSES ENJEKSİYON'!$F:$F=A36),0)),"")</f>
        <v>4</v>
      </c>
      <c r="AA36" s="44" cm="1">
        <f t="array" ref="AA36">IFERROR(INDEX('[1]PROSES ENJEKSİYON'!$L:$L,MATCH(1,('[1]PROSES ENJEKSİYON'!$A:$A=$X$2)*('[1]PROSES ENJEKSİYON'!$F:$F=A36),0)),"")</f>
        <v>19.100000000000001</v>
      </c>
      <c r="AB36" s="34" t="str" cm="1">
        <f t="array" ref="AB36">IFERROR(INDEX('[1]PROSES ENJEKSİYON'!$G:$G,MATCH(1,('[1]PROSES ENJEKSİYON'!$A:$A=$AB$2)*('[1]PROSES ENJEKSİYON'!$F:$F=A36),0)),"")</f>
        <v>ENJ0063-01 BAHARAT FLIPTOP OPAK KIRMIZI 62MM YIVLI 12GR</v>
      </c>
      <c r="AC36" s="32" t="str" cm="1">
        <f t="array" ref="AC36">IFERROR(INDEX('[1]PROSES ENJEKSİYON'!$J:$J,MATCH(1,('[1]PROSES ENJEKSİYON'!$A:$A=$AB$2)*('[1]PROSES ENJEKSİYON'!$F:$F=M36),0)),"")</f>
        <v/>
      </c>
      <c r="AD36" s="32" t="str" cm="1">
        <f t="array" ref="AD36">IFERROR(INDEX('[1]PROSES ENJEKSİYON'!$K:$K,MATCH(1,('[1]PROSES ENJEKSİYON'!$A:$A=$AD$2)*('[1]PROSES ENJEKSİYON'!$F:$F=M36),0)),"")</f>
        <v/>
      </c>
      <c r="AE36" s="35" cm="1">
        <f t="array" ref="AE36">IFERROR(INDEX('[1]PROSES ENJEKSİYON'!$L:$L,MATCH(1,('[1]PROSES ENJEKSİYON'!$A:$A=$AB$2)*('[1]PROSES ENJEKSİYON'!$F:$F=A36),0)),"")</f>
        <v>15.1</v>
      </c>
    </row>
    <row r="37" spans="1:31" ht="46.95" customHeight="1" x14ac:dyDescent="0.4">
      <c r="A37" s="82">
        <v>207</v>
      </c>
      <c r="B37" s="31" t="str" cm="1">
        <f t="array" ref="B37">IFERROR(INDEX('[1]PROSES ENJEKSİYON'!$L:$L, MATCH(1,('[1]PROSES ENJEKSİYON'!$A:$A=$B$2)*('[1]PROSES ENJEKSİYON'!$F:$F=A37),0)), "")</f>
        <v/>
      </c>
      <c r="C37" s="31" cm="1">
        <f t="array" ref="C37">IFERROR(INDEX('[1]PROSES ENJEKSİYON'!$L:$L,MATCH(1,('[1]PROSES ENJEKSİYON'!$A:$A=$C$2)*('[1]PROSES ENJEKSİYON'!$F:$F=A37),0)),"")</f>
        <v>30.62</v>
      </c>
      <c r="D37" s="31" t="str" cm="1">
        <f t="array" ref="D37">IFERROR(INDEX('[1]PROSES ENJEKSİYON'!$L:$L,MATCH(1,('[1]PROSES ENJEKSİYON'!$A:$A=$D$2)*('[1]PROSES ENJEKSİYON'!$F:$F=A37),0)),"")</f>
        <v/>
      </c>
      <c r="E37" s="31" t="str" cm="1">
        <f t="array" ref="E37">IFERROR(INDEX('[1]PROSES ENJEKSİYON'!$L:$L,MATCH(1,('[1]PROSES ENJEKSİYON'!$A:$A=$E$2)*('[1]PROSES ENJEKSİYON'!$F:$F=A37),0)),"")</f>
        <v/>
      </c>
      <c r="F37" s="31" t="str" cm="1">
        <f t="array" ref="F37">IFERROR(INDEX('[1]PROSES ENJEKSİYON'!$L:$L,MATCH(1,('[1]PROSES ENJEKSİYON'!$A:$A=$F$2)*('[1]PROSES ENJEKSİYON'!$F:$F=A37),0)),"")</f>
        <v/>
      </c>
      <c r="G37" s="31" cm="1">
        <f t="array" ref="G37">IFERROR(INDEX('[1]PROSES ENJEKSİYON'!$L:$L,MATCH(1,('[1]PROSES ENJEKSİYON'!$A:$A=$G$2)*('[1]PROSES ENJEKSİYON'!$F:$F=A37),0)),"")</f>
        <v>27</v>
      </c>
      <c r="H37" s="70" t="str" cm="1">
        <f t="array" ref="H37">IFERROR(INDEX('[1]PROSES ENJEKSİYON'!$G:$G,MATCH(1,('[1]PROSES ENJEKSİYON'!$A:$A=$H$2)*('[1]PROSES ENJEKSİYON'!$F:$F=A37),0)),"")</f>
        <v/>
      </c>
      <c r="I37" s="64" t="str" cm="1">
        <f t="array" ref="I37">IFERROR(INDEX('[1]PROSES ENJEKSİYON'!$J:$J,MATCH(1,('[1]PROSES ENJEKSİYON'!$A:$A=$H$2)*('[1]PROSES ENJEKSİYON'!$F:$F=A37),0)),"")</f>
        <v/>
      </c>
      <c r="J37" s="64" t="str" cm="1">
        <f t="array" ref="J37">IFERROR(INDEX('[1]PROSES ENJEKSİYON'!$K:$K,MATCH(1,('[1]PROSES ENJEKSİYON'!$A:$A=$H$2)*('[1]PROSES ENJEKSİYON'!$F:$F=A37),0)),"")</f>
        <v/>
      </c>
      <c r="K37" s="44" t="str" cm="1">
        <f t="array" ref="K37">IFERROR(INDEX('[1]PROSES ENJEKSİYON'!$L:$L,MATCH(1,('[1]PROSES ENJEKSİYON'!$A:$A=$H$2)*('[1]PROSES ENJEKSİYON'!$F:$F=A37),0)),"")</f>
        <v/>
      </c>
      <c r="L37" s="66" t="str" cm="1">
        <f t="array" ref="L37">IFERROR(INDEX('[1]PROSES ENJEKSİYON'!$G:$G,MATCH(1,('[1]PROSES ENJEKSİYON'!$A:$A=$L$2)*('[1]PROSES ENJEKSİYON'!$F:$F=A37),0)),"")</f>
        <v/>
      </c>
      <c r="M37" s="64" t="str" cm="1">
        <f t="array" ref="M37">IFERROR(INDEX('[1]PROSES ENJEKSİYON'!$J:$J,MATCH(1,('[1]PROSES ENJEKSİYON'!$A:$A=$L$2)*('[1]PROSES ENJEKSİYON'!$F:$F=A37),0)),"")</f>
        <v/>
      </c>
      <c r="N37" s="64" t="str" cm="1">
        <f t="array" ref="N37">IFERROR(INDEX('[1]PROSES ENJEKSİYON'!$K:$K,MATCH(1,('[1]PROSES ENJEKSİYON'!$A:$A=$L$2)*('[1]PROSES ENJEKSİYON'!$F:$F=A37),0)),"")</f>
        <v/>
      </c>
      <c r="O37" s="44" t="str" cm="1">
        <f t="array" ref="O37">IFERROR(INDEX('[1]PROSES ENJEKSİYON'!$L:$L,MATCH(1,('[1]PROSES ENJEKSİYON'!$A:$A=$L$2)*('[1]PROSES ENJEKSİYON'!$F:$F=A37),0)),"")</f>
        <v/>
      </c>
      <c r="P37" s="68" t="str" cm="1">
        <f t="array" ref="P37">IFERROR(INDEX('[1]PROSES ENJEKSİYON'!$G:$G,MATCH(1,('[1]PROSES ENJEKSİYON'!$A:$A=$P$2)*('[1]PROSES ENJEKSİYON'!$F:$F=A37),0)),"")</f>
        <v>MM-ENJ0038-10-028Y-010 - ENJ0038-10 KAPAK OPAK KIRMIZI 28MM YIVLI 10GR</v>
      </c>
      <c r="Q37" s="64" cm="1">
        <f t="array" ref="Q37">IFERROR(INDEX('[1]PROSES ENJEKSİYON'!$J:$J,MATCH(1,('[1]PROSES ENJEKSİYON'!$A:$A=$P$2)*('[1]PROSES ENJEKSİYON'!$F:$F=A37),0)),"")</f>
        <v>12</v>
      </c>
      <c r="R37" s="64" cm="1">
        <f t="array" ref="R37">IFERROR(INDEX('[1]PROSES ENJEKSİYON'!$K:$K,MATCH(1,('[1]PROSES ENJEKSİYON'!$A:$A=$P$2)*('[1]PROSES ENJEKSİYON'!$F:$F=A37),0)),"")</f>
        <v>10</v>
      </c>
      <c r="S37" s="44" cm="1">
        <f t="array" ref="S37">IFERROR(INDEX('[1]PROSES ENJEKSİYON'!$L:$L,MATCH(1,('[1]PROSES ENJEKSİYON'!$A:$A=$P$2)*('[1]PROSES ENJEKSİYON'!$F:$F=A37),0)),"")</f>
        <v>26.11</v>
      </c>
      <c r="T37" s="70" t="str" cm="1">
        <f t="array" ref="T37">IFERROR(INDEX('[1]PROSES ENJEKSİYON'!$G:$G,MATCH(1,('[1]PROSES ENJEKSİYON'!$A:$A=$T$2)*('[1]PROSES ENJEKSİYON'!$F:$F=A37),0)),"")</f>
        <v>ENJ0038-10 KAPAK OPAK KIRMIZI 28MM YIVLI 10GR</v>
      </c>
      <c r="U37" s="64" cm="1">
        <f t="array" ref="U37">IFERROR(INDEX('[1]PROSES ENJEKSİYON'!$J:$J,MATCH(1,('[1]PROSES ENJEKSİYON'!$A:$A=$T$2)*('[1]PROSES ENJEKSİYON'!$F:$F=A37),0)),"")</f>
        <v>12</v>
      </c>
      <c r="V37" s="64" cm="1">
        <f t="array" ref="V37">IFERROR(INDEX('[1]PROSES ENJEKSİYON'!$K:$K,MATCH(1,('[1]PROSES ENJEKSİYON'!$A:$A=$T$2)*('[1]PROSES ENJEKSİYON'!$F:$F=A37),0)),"")</f>
        <v>9</v>
      </c>
      <c r="W37" s="44" cm="1">
        <f t="array" ref="W37">IFERROR(INDEX('[1]PROSES ENJEKSİYON'!$L:$L,MATCH(1,('[1]PROSES ENJEKSİYON'!$A:$A=$T$2)*('[1]PROSES ENJEKSİYON'!$F:$F=A37),0)),"")</f>
        <v>26.08</v>
      </c>
      <c r="X37" s="68" t="str" cm="1">
        <f t="array" ref="X37">IFERROR(INDEX('[1]PROSES ENJEKSİYON'!$G:$G,MATCH(1,('[1]PROSES ENJEKSİYON'!$A:$A=$X$2)*('[1]PROSES ENJEKSİYON'!$F:$F=A37),0)),"")</f>
        <v>ENJ0038-10 KAPAK OPAK KIRMIZI 28MM YIVLI 10GR</v>
      </c>
      <c r="Y37" s="64" cm="1">
        <f t="array" ref="Y37">IFERROR(INDEX('[1]PROSES ENJEKSİYON'!$J:$J,MATCH(1,('[1]PROSES ENJEKSİYON'!$A:$A=$X$2)*('[1]PROSES ENJEKSİYON'!$F:$F=A37),0)),"")</f>
        <v>12</v>
      </c>
      <c r="Z37" s="64" cm="1">
        <f t="array" ref="Z37">IFERROR(INDEX('[1]PROSES ENJEKSİYON'!$K:$K,MATCH(1,('[1]PROSES ENJEKSİYON'!$A:$A=$X$2)*('[1]PROSES ENJEKSİYON'!$F:$F=A37),0)),"")</f>
        <v>9</v>
      </c>
      <c r="AA37" s="44" cm="1">
        <f t="array" ref="AA37">IFERROR(INDEX('[1]PROSES ENJEKSİYON'!$L:$L,MATCH(1,('[1]PROSES ENJEKSİYON'!$A:$A=$X$2)*('[1]PROSES ENJEKSİYON'!$F:$F=A37),0)),"")</f>
        <v>25.53</v>
      </c>
      <c r="AB37" s="34" t="str" cm="1">
        <f t="array" ref="AB37">IFERROR(INDEX('[1]PROSES ENJEKSİYON'!$G:$G,MATCH(1,('[1]PROSES ENJEKSİYON'!$A:$A=$AB$2)*('[1]PROSES ENJEKSİYON'!$F:$F=A37),0)),"")</f>
        <v>ENJ0038-10 KAPAK OPAK KIRMIZI 28MM YIVLI 10GR</v>
      </c>
      <c r="AC37" s="32" t="str" cm="1">
        <f t="array" ref="AC37">IFERROR(INDEX('[1]PROSES ENJEKSİYON'!$J:$J,MATCH(1,('[1]PROSES ENJEKSİYON'!$A:$A=$AB$2)*('[1]PROSES ENJEKSİYON'!$F:$F=M37),0)),"")</f>
        <v/>
      </c>
      <c r="AD37" s="32" t="str" cm="1">
        <f t="array" ref="AD37">IFERROR(INDEX('[1]PROSES ENJEKSİYON'!$K:$K,MATCH(1,('[1]PROSES ENJEKSİYON'!$A:$A=$AD$2)*('[1]PROSES ENJEKSİYON'!$F:$F=M37),0)),"")</f>
        <v/>
      </c>
      <c r="AE37" s="35" cm="1">
        <f t="array" ref="AE37">IFERROR(INDEX('[1]PROSES ENJEKSİYON'!$L:$L,MATCH(1,('[1]PROSES ENJEKSİYON'!$A:$A=$AB$2)*('[1]PROSES ENJEKSİYON'!$F:$F=A37),0)),"")</f>
        <v>25.15</v>
      </c>
    </row>
    <row r="38" spans="1:31" ht="46.95" hidden="1" customHeight="1" x14ac:dyDescent="0.4">
      <c r="A38" s="82">
        <v>208</v>
      </c>
      <c r="B38" s="31" t="str" cm="1">
        <f t="array" ref="B38">IFERROR(INDEX('[1]PROSES ENJEKSİYON'!$L:$L, MATCH(1,('[1]PROSES ENJEKSİYON'!$A:$A=$B$2)*('[1]PROSES ENJEKSİYON'!$F:$F=A38),0)), "")</f>
        <v/>
      </c>
      <c r="C38" s="31" t="str" cm="1">
        <f t="array" ref="C38">IFERROR(INDEX('[1]PROSES ENJEKSİYON'!$L:$L,MATCH(1,('[1]PROSES ENJEKSİYON'!$A:$A=$C$2)*('[1]PROSES ENJEKSİYON'!$F:$F=A38),0)),"")</f>
        <v/>
      </c>
      <c r="D38" s="31" t="str" cm="1">
        <f t="array" ref="D38">IFERROR(INDEX('[1]PROSES ENJEKSİYON'!$L:$L,MATCH(1,('[1]PROSES ENJEKSİYON'!$A:$A=$D$2)*('[1]PROSES ENJEKSİYON'!$F:$F=A38),0)),"")</f>
        <v/>
      </c>
      <c r="E38" s="31" cm="1">
        <f t="array" ref="E38">IFERROR(INDEX('[1]PROSES ENJEKSİYON'!$L:$L,MATCH(1,('[1]PROSES ENJEKSİYON'!$A:$A=$E$2)*('[1]PROSES ENJEKSİYON'!$F:$F=A38),0)),"")</f>
        <v>23.47</v>
      </c>
      <c r="F38" s="31" t="str" cm="1">
        <f t="array" ref="F38">IFERROR(INDEX('[1]PROSES ENJEKSİYON'!$L:$L,MATCH(1,('[1]PROSES ENJEKSİYON'!$A:$A=$F$2)*('[1]PROSES ENJEKSİYON'!$F:$F=A38),0)),"")</f>
        <v/>
      </c>
      <c r="G38" s="31" t="str" cm="1">
        <f t="array" ref="G38">IFERROR(INDEX('[1]PROSES ENJEKSİYON'!$L:$L,MATCH(1,('[1]PROSES ENJEKSİYON'!$A:$A=$G$2)*('[1]PROSES ENJEKSİYON'!$F:$F=A38),0)),"")</f>
        <v/>
      </c>
      <c r="H38" s="70" t="str" cm="1">
        <f t="array" ref="H38">IFERROR(INDEX('[1]PROSES ENJEKSİYON'!$G:$G,MATCH(1,('[1]PROSES ENJEKSİYON'!$A:$A=$H$2)*('[1]PROSES ENJEKSİYON'!$F:$F=A38),0)),"")</f>
        <v/>
      </c>
      <c r="I38" s="64" t="str" cm="1">
        <f t="array" ref="I38">IFERROR(INDEX('[1]PROSES ENJEKSİYON'!$J:$J,MATCH(1,('[1]PROSES ENJEKSİYON'!$A:$A=$H$2)*('[1]PROSES ENJEKSİYON'!$F:$F=A38),0)),"")</f>
        <v/>
      </c>
      <c r="J38" s="64" t="str" cm="1">
        <f t="array" ref="J38">IFERROR(INDEX('[1]PROSES ENJEKSİYON'!$K:$K,MATCH(1,('[1]PROSES ENJEKSİYON'!$A:$A=$H$2)*('[1]PROSES ENJEKSİYON'!$F:$F=A38),0)),"")</f>
        <v/>
      </c>
      <c r="K38" s="44" t="str" cm="1">
        <f t="array" ref="K38">IFERROR(INDEX('[1]PROSES ENJEKSİYON'!$L:$L,MATCH(1,('[1]PROSES ENJEKSİYON'!$A:$A=$H$2)*('[1]PROSES ENJEKSİYON'!$F:$F=A38),0)),"")</f>
        <v/>
      </c>
      <c r="L38" s="66" t="str" cm="1">
        <f t="array" ref="L38">IFERROR(INDEX('[1]PROSES ENJEKSİYON'!$G:$G,MATCH(1,('[1]PROSES ENJEKSİYON'!$A:$A=$L$2)*('[1]PROSES ENJEKSİYON'!$F:$F=A38),0)),"")</f>
        <v/>
      </c>
      <c r="M38" s="64" t="str" cm="1">
        <f t="array" ref="M38">IFERROR(INDEX('[1]PROSES ENJEKSİYON'!$J:$J,MATCH(1,('[1]PROSES ENJEKSİYON'!$A:$A=$L$2)*('[1]PROSES ENJEKSİYON'!$F:$F=A38),0)),"")</f>
        <v/>
      </c>
      <c r="N38" s="64" t="str" cm="1">
        <f t="array" ref="N38">IFERROR(INDEX('[1]PROSES ENJEKSİYON'!$K:$K,MATCH(1,('[1]PROSES ENJEKSİYON'!$A:$A=$L$2)*('[1]PROSES ENJEKSİYON'!$F:$F=A38),0)),"")</f>
        <v/>
      </c>
      <c r="O38" s="44" t="str" cm="1">
        <f t="array" ref="O38">IFERROR(INDEX('[1]PROSES ENJEKSİYON'!$L:$L,MATCH(1,('[1]PROSES ENJEKSİYON'!$A:$A=$L$2)*('[1]PROSES ENJEKSİYON'!$F:$F=A38),0)),"")</f>
        <v/>
      </c>
      <c r="P38" s="68" t="str" cm="1">
        <f t="array" ref="P38">IFERROR(INDEX('[1]PROSES ENJEKSİYON'!$G:$G,MATCH(1,('[1]PROSES ENJEKSİYON'!$A:$A=$P$2)*('[1]PROSES ENJEKSİYON'!$F:$F=A38),0)),"")</f>
        <v/>
      </c>
      <c r="Q38" s="64" t="str" cm="1">
        <f t="array" ref="Q38">IFERROR(INDEX('[1]PROSES ENJEKSİYON'!$J:$J,MATCH(1,('[1]PROSES ENJEKSİYON'!$A:$A=$P$2)*('[1]PROSES ENJEKSİYON'!$F:$F=A38),0)),"")</f>
        <v/>
      </c>
      <c r="R38" s="64" t="str" cm="1">
        <f t="array" ref="R38">IFERROR(INDEX('[1]PROSES ENJEKSİYON'!$K:$K,MATCH(1,('[1]PROSES ENJEKSİYON'!$A:$A=$P$2)*('[1]PROSES ENJEKSİYON'!$F:$F=A38),0)),"")</f>
        <v/>
      </c>
      <c r="S38" s="44" t="str" cm="1">
        <f t="array" ref="S38">IFERROR(INDEX('[1]PROSES ENJEKSİYON'!$L:$L,MATCH(1,('[1]PROSES ENJEKSİYON'!$A:$A=$P$2)*('[1]PROSES ENJEKSİYON'!$F:$F=A38),0)),"")</f>
        <v/>
      </c>
      <c r="T38" s="70" t="str" cm="1">
        <f t="array" ref="T38">IFERROR(INDEX('[1]PROSES ENJEKSİYON'!$G:$G,MATCH(1,('[1]PROSES ENJEKSİYON'!$A:$A=$T$2)*('[1]PROSES ENJEKSİYON'!$F:$F=A38),0)),"")</f>
        <v/>
      </c>
      <c r="U38" s="64" t="str" cm="1">
        <f t="array" ref="U38">IFERROR(INDEX('[1]PROSES ENJEKSİYON'!$J:$J,MATCH(1,('[1]PROSES ENJEKSİYON'!$A:$A=$T$2)*('[1]PROSES ENJEKSİYON'!$F:$F=A38),0)),"")</f>
        <v/>
      </c>
      <c r="V38" s="64" t="str" cm="1">
        <f t="array" ref="V38">IFERROR(INDEX('[1]PROSES ENJEKSİYON'!$K:$K,MATCH(1,('[1]PROSES ENJEKSİYON'!$A:$A=$T$2)*('[1]PROSES ENJEKSİYON'!$F:$F=A38),0)),"")</f>
        <v/>
      </c>
      <c r="W38" s="44" t="str" cm="1">
        <f t="array" ref="W38">IFERROR(INDEX('[1]PROSES ENJEKSİYON'!$L:$L,MATCH(1,('[1]PROSES ENJEKSİYON'!$A:$A=$T$2)*('[1]PROSES ENJEKSİYON'!$F:$F=A38),0)),"")</f>
        <v/>
      </c>
      <c r="X38" s="68" t="str" cm="1">
        <f t="array" ref="X38">IFERROR(INDEX('[1]PROSES ENJEKSİYON'!$G:$G,MATCH(1,('[1]PROSES ENJEKSİYON'!$A:$A=$X$2)*('[1]PROSES ENJEKSİYON'!$F:$F=A38),0)),"")</f>
        <v/>
      </c>
      <c r="Y38" s="64" t="str" cm="1">
        <f t="array" ref="Y38">IFERROR(INDEX('[1]PROSES ENJEKSİYON'!$J:$J,MATCH(1,('[1]PROSES ENJEKSİYON'!$A:$A=$X$2)*('[1]PROSES ENJEKSİYON'!$F:$F=A38),0)),"")</f>
        <v/>
      </c>
      <c r="Z38" s="64" t="str" cm="1">
        <f t="array" ref="Z38">IFERROR(INDEX('[1]PROSES ENJEKSİYON'!$K:$K,MATCH(1,('[1]PROSES ENJEKSİYON'!$A:$A=$X$2)*('[1]PROSES ENJEKSİYON'!$F:$F=A38),0)),"")</f>
        <v/>
      </c>
      <c r="AA38" s="44" t="str" cm="1">
        <f t="array" ref="AA38">IFERROR(INDEX('[1]PROSES ENJEKSİYON'!$L:$L,MATCH(1,('[1]PROSES ENJEKSİYON'!$A:$A=$X$2)*('[1]PROSES ENJEKSİYON'!$F:$F=A38),0)),"")</f>
        <v/>
      </c>
      <c r="AB38" s="34" t="str" cm="1">
        <f t="array" ref="AB38">IFERROR(INDEX('[1]PROSES ENJEKSİYON'!$G:$G,MATCH(1,('[1]PROSES ENJEKSİYON'!$A:$A=$AB$2)*('[1]PROSES ENJEKSİYON'!$F:$F=A38),0)),"")</f>
        <v/>
      </c>
      <c r="AC38" s="32" t="str" cm="1">
        <f t="array" ref="AC38">IFERROR(INDEX('[1]PROSES ENJEKSİYON'!$J:$J,MATCH(1,('[1]PROSES ENJEKSİYON'!$A:$A=$AB$2)*('[1]PROSES ENJEKSİYON'!$F:$F=M38),0)),"")</f>
        <v/>
      </c>
      <c r="AD38" s="32" t="str" cm="1">
        <f t="array" ref="AD38">IFERROR(INDEX('[1]PROSES ENJEKSİYON'!$K:$K,MATCH(1,('[1]PROSES ENJEKSİYON'!$A:$A=$AD$2)*('[1]PROSES ENJEKSİYON'!$F:$F=M38),0)),"")</f>
        <v/>
      </c>
      <c r="AE38" s="35" t="str" cm="1">
        <f t="array" ref="AE38">IFERROR(INDEX('[1]PROSES ENJEKSİYON'!$L:$L,MATCH(1,('[1]PROSES ENJEKSİYON'!$A:$A=$AB$2)*('[1]PROSES ENJEKSİYON'!$F:$F=A38),0)),"")</f>
        <v/>
      </c>
    </row>
    <row r="39" spans="1:31" ht="46.95" customHeight="1" x14ac:dyDescent="0.4">
      <c r="A39" s="82">
        <v>209</v>
      </c>
      <c r="B39" s="31" t="str" cm="1">
        <f t="array" ref="B39">IFERROR(INDEX('[1]PROSES ENJEKSİYON'!$L:$L, MATCH(1,('[1]PROSES ENJEKSİYON'!$A:$A=$B$2)*('[1]PROSES ENJEKSİYON'!$F:$F=A39),0)), "")</f>
        <v/>
      </c>
      <c r="C39" s="31" t="str" cm="1">
        <f t="array" ref="C39">IFERROR(INDEX('[1]PROSES ENJEKSİYON'!$L:$L,MATCH(1,('[1]PROSES ENJEKSİYON'!$A:$A=$C$2)*('[1]PROSES ENJEKSİYON'!$F:$F=A39),0)),"")</f>
        <v/>
      </c>
      <c r="D39" s="31" t="str" cm="1">
        <f t="array" ref="D39">IFERROR(INDEX('[1]PROSES ENJEKSİYON'!$L:$L,MATCH(1,('[1]PROSES ENJEKSİYON'!$A:$A=$D$2)*('[1]PROSES ENJEKSİYON'!$F:$F=A39),0)),"")</f>
        <v/>
      </c>
      <c r="E39" s="31" cm="1">
        <f t="array" ref="E39">IFERROR(INDEX('[1]PROSES ENJEKSİYON'!$L:$L,MATCH(1,('[1]PROSES ENJEKSİYON'!$A:$A=$E$2)*('[1]PROSES ENJEKSİYON'!$F:$F=A39),0)),"")</f>
        <v>28.4</v>
      </c>
      <c r="F39" s="31" t="str" cm="1">
        <f t="array" ref="F39">IFERROR(INDEX('[1]PROSES ENJEKSİYON'!$L:$L,MATCH(1,('[1]PROSES ENJEKSİYON'!$A:$A=$F$2)*('[1]PROSES ENJEKSİYON'!$F:$F=A39),0)),"")</f>
        <v/>
      </c>
      <c r="G39" s="31" cm="1">
        <f t="array" ref="G39">IFERROR(INDEX('[1]PROSES ENJEKSİYON'!$L:$L,MATCH(1,('[1]PROSES ENJEKSİYON'!$A:$A=$G$2)*('[1]PROSES ENJEKSİYON'!$F:$F=A39),0)),"")</f>
        <v>28.3</v>
      </c>
      <c r="H39" s="70" t="str" cm="1">
        <f t="array" ref="H39">IFERROR(INDEX('[1]PROSES ENJEKSİYON'!$G:$G,MATCH(1,('[1]PROSES ENJEKSİYON'!$A:$A=$H$2)*('[1]PROSES ENJEKSİYON'!$F:$F=A39),0)),"")</f>
        <v>ENJ0018-01 KAPAK OPAK SIYAH 24MM YIVLI 8GR</v>
      </c>
      <c r="I39" s="64" cm="1">
        <f t="array" ref="I39">IFERROR(INDEX('[1]PROSES ENJEKSİYON'!$J:$J,MATCH(1,('[1]PROSES ENJEKSİYON'!$A:$A=$H$2)*('[1]PROSES ENJEKSİYON'!$F:$F=A39),0)),"")</f>
        <v>16</v>
      </c>
      <c r="J39" s="64" cm="1">
        <f t="array" ref="J39">IFERROR(INDEX('[1]PROSES ENJEKSİYON'!$K:$K,MATCH(1,('[1]PROSES ENJEKSİYON'!$A:$A=$H$2)*('[1]PROSES ENJEKSİYON'!$F:$F=A39),0)),"")</f>
        <v>12</v>
      </c>
      <c r="K39" s="44" cm="1">
        <f t="array" ref="K39">IFERROR(INDEX('[1]PROSES ENJEKSİYON'!$L:$L,MATCH(1,('[1]PROSES ENJEKSİYON'!$A:$A=$H$2)*('[1]PROSES ENJEKSİYON'!$F:$F=A39),0)),"")</f>
        <v>29.5</v>
      </c>
      <c r="L39" s="66" t="str" cm="1">
        <f t="array" ref="L39">IFERROR(INDEX('[1]PROSES ENJEKSİYON'!$G:$G,MATCH(1,('[1]PROSES ENJEKSİYON'!$A:$A=$L$2)*('[1]PROSES ENJEKSİYON'!$F:$F=A39),0)),"")</f>
        <v/>
      </c>
      <c r="M39" s="64" t="str" cm="1">
        <f t="array" ref="M39">IFERROR(INDEX('[1]PROSES ENJEKSİYON'!$J:$J,MATCH(1,('[1]PROSES ENJEKSİYON'!$A:$A=$L$2)*('[1]PROSES ENJEKSİYON'!$F:$F=A39),0)),"")</f>
        <v/>
      </c>
      <c r="N39" s="64" t="str" cm="1">
        <f t="array" ref="N39">IFERROR(INDEX('[1]PROSES ENJEKSİYON'!$K:$K,MATCH(1,('[1]PROSES ENJEKSİYON'!$A:$A=$L$2)*('[1]PROSES ENJEKSİYON'!$F:$F=A39),0)),"")</f>
        <v/>
      </c>
      <c r="O39" s="44" t="str" cm="1">
        <f t="array" ref="O39">IFERROR(INDEX('[1]PROSES ENJEKSİYON'!$L:$L,MATCH(1,('[1]PROSES ENJEKSİYON'!$A:$A=$L$2)*('[1]PROSES ENJEKSİYON'!$F:$F=A39),0)),"")</f>
        <v/>
      </c>
      <c r="P39" s="68" t="str" cm="1">
        <f t="array" ref="P39">IFERROR(INDEX('[1]PROSES ENJEKSİYON'!$G:$G,MATCH(1,('[1]PROSES ENJEKSİYON'!$A:$A=$P$2)*('[1]PROSES ENJEKSİYON'!$F:$F=A39),0)),"")</f>
        <v>MM-ENJ0018-01-024Y-008 - ENJ0018-01 KAPAK OPAK SIYAH 24MM YIVLI 8GR</v>
      </c>
      <c r="Q39" s="64" cm="1">
        <f t="array" ref="Q39">IFERROR(INDEX('[1]PROSES ENJEKSİYON'!$J:$J,MATCH(1,('[1]PROSES ENJEKSİYON'!$A:$A=$P$2)*('[1]PROSES ENJEKSİYON'!$F:$F=A39),0)),"")</f>
        <v>8</v>
      </c>
      <c r="R39" s="64" cm="1">
        <f t="array" ref="R39">IFERROR(INDEX('[1]PROSES ENJEKSİYON'!$K:$K,MATCH(1,('[1]PROSES ENJEKSİYON'!$A:$A=$P$2)*('[1]PROSES ENJEKSİYON'!$F:$F=A39),0)),"")</f>
        <v>6</v>
      </c>
      <c r="S39" s="44" cm="1">
        <f t="array" ref="S39">IFERROR(INDEX('[1]PROSES ENJEKSİYON'!$L:$L,MATCH(1,('[1]PROSES ENJEKSİYON'!$A:$A=$P$2)*('[1]PROSES ENJEKSİYON'!$F:$F=A39),0)),"")</f>
        <v>24</v>
      </c>
      <c r="T39" s="70" t="str" cm="1">
        <f t="array" ref="T39">IFERROR(INDEX('[1]PROSES ENJEKSİYON'!$G:$G,MATCH(1,('[1]PROSES ENJEKSİYON'!$A:$A=$T$2)*('[1]PROSES ENJEKSİYON'!$F:$F=A39),0)),"")</f>
        <v>ENJ0018-01 KAPAK OPAK SIYAH 24MM YIVLI 8GR</v>
      </c>
      <c r="U39" s="64" cm="1">
        <f t="array" ref="U39">IFERROR(INDEX('[1]PROSES ENJEKSİYON'!$J:$J,MATCH(1,('[1]PROSES ENJEKSİYON'!$A:$A=$T$2)*('[1]PROSES ENJEKSİYON'!$F:$F=A39),0)),"")</f>
        <v>8</v>
      </c>
      <c r="V39" s="64" cm="1">
        <f t="array" ref="V39">IFERROR(INDEX('[1]PROSES ENJEKSİYON'!$K:$K,MATCH(1,('[1]PROSES ENJEKSİYON'!$A:$A=$T$2)*('[1]PROSES ENJEKSİYON'!$F:$F=A39),0)),"")</f>
        <v>6</v>
      </c>
      <c r="W39" s="44" cm="1">
        <f t="array" ref="W39">IFERROR(INDEX('[1]PROSES ENJEKSİYON'!$L:$L,MATCH(1,('[1]PROSES ENJEKSİYON'!$A:$A=$T$2)*('[1]PROSES ENJEKSİYON'!$F:$F=A39),0)),"")</f>
        <v>32.200000000000003</v>
      </c>
      <c r="X39" s="68" t="str" cm="1">
        <f t="array" ref="X39">IFERROR(INDEX('[1]PROSES ENJEKSİYON'!$G:$G,MATCH(1,('[1]PROSES ENJEKSİYON'!$A:$A=$X$2)*('[1]PROSES ENJEKSİYON'!$F:$F=A39),0)),"")</f>
        <v>ENJ0018-01 KAPAK OPAK SIYAH 24MM YIVLI 8GR</v>
      </c>
      <c r="Y39" s="64" cm="1">
        <f t="array" ref="Y39">IFERROR(INDEX('[1]PROSES ENJEKSİYON'!$J:$J,MATCH(1,('[1]PROSES ENJEKSİYON'!$A:$A=$X$2)*('[1]PROSES ENJEKSİYON'!$F:$F=A39),0)),"")</f>
        <v>8</v>
      </c>
      <c r="Z39" s="64" cm="1">
        <f t="array" ref="Z39">IFERROR(INDEX('[1]PROSES ENJEKSİYON'!$K:$K,MATCH(1,('[1]PROSES ENJEKSİYON'!$A:$A=$X$2)*('[1]PROSES ENJEKSİYON'!$F:$F=A39),0)),"")</f>
        <v>6</v>
      </c>
      <c r="AA39" s="44" cm="1">
        <f t="array" ref="AA39">IFERROR(INDEX('[1]PROSES ENJEKSİYON'!$L:$L,MATCH(1,('[1]PROSES ENJEKSİYON'!$A:$A=$X$2)*('[1]PROSES ENJEKSİYON'!$F:$F=A39),0)),"")</f>
        <v>31.9</v>
      </c>
      <c r="AB39" s="34" t="str" cm="1">
        <f t="array" ref="AB39">IFERROR(INDEX('[1]PROSES ENJEKSİYON'!$G:$G,MATCH(1,('[1]PROSES ENJEKSİYON'!$A:$A=$AB$2)*('[1]PROSES ENJEKSİYON'!$F:$F=A39),0)),"")</f>
        <v>ENJ0018-01 KAPAK OPAK SIYAH 24MM YIVLI 8GR</v>
      </c>
      <c r="AC39" s="32" t="str" cm="1">
        <f t="array" ref="AC39">IFERROR(INDEX('[1]PROSES ENJEKSİYON'!$J:$J,MATCH(1,('[1]PROSES ENJEKSİYON'!$A:$A=$AB$2)*('[1]PROSES ENJEKSİYON'!$F:$F=M39),0)),"")</f>
        <v/>
      </c>
      <c r="AD39" s="32" t="str" cm="1">
        <f t="array" ref="AD39">IFERROR(INDEX('[1]PROSES ENJEKSİYON'!$K:$K,MATCH(1,('[1]PROSES ENJEKSİYON'!$A:$A=$AD$2)*('[1]PROSES ENJEKSİYON'!$F:$F=M39),0)),"")</f>
        <v/>
      </c>
      <c r="AE39" s="35" cm="1">
        <f t="array" ref="AE39">IFERROR(INDEX('[1]PROSES ENJEKSİYON'!$L:$L,MATCH(1,('[1]PROSES ENJEKSİYON'!$A:$A=$AB$2)*('[1]PROSES ENJEKSİYON'!$F:$F=A39),0)),"")</f>
        <v>32.1</v>
      </c>
    </row>
    <row r="40" spans="1:31" ht="46.95" customHeight="1" x14ac:dyDescent="0.4">
      <c r="A40" s="82">
        <v>210</v>
      </c>
      <c r="B40" s="31" t="str" cm="1">
        <f t="array" ref="B40">IFERROR(INDEX('[1]PROSES ENJEKSİYON'!$L:$L, MATCH(1,('[1]PROSES ENJEKSİYON'!$A:$A=$B$2)*('[1]PROSES ENJEKSİYON'!$F:$F=A40),0)), "")</f>
        <v/>
      </c>
      <c r="C40" s="31" cm="1">
        <f t="array" ref="C40">IFERROR(INDEX('[1]PROSES ENJEKSİYON'!$L:$L,MATCH(1,('[1]PROSES ENJEKSİYON'!$A:$A=$C$2)*('[1]PROSES ENJEKSİYON'!$F:$F=A40),0)),"")</f>
        <v>21.2</v>
      </c>
      <c r="D40" s="31" cm="1">
        <f t="array" ref="D40">IFERROR(INDEX('[1]PROSES ENJEKSİYON'!$L:$L,MATCH(1,('[1]PROSES ENJEKSİYON'!$A:$A=$D$2)*('[1]PROSES ENJEKSİYON'!$F:$F=A40),0)),"")</f>
        <v>20.9</v>
      </c>
      <c r="E40" s="31" cm="1">
        <f t="array" ref="E40">IFERROR(INDEX('[1]PROSES ENJEKSİYON'!$L:$L,MATCH(1,('[1]PROSES ENJEKSİYON'!$A:$A=$E$2)*('[1]PROSES ENJEKSİYON'!$F:$F=A40),0)),"")</f>
        <v>21.1</v>
      </c>
      <c r="F40" s="31" cm="1">
        <f t="array" ref="F40">IFERROR(INDEX('[1]PROSES ENJEKSİYON'!$L:$L,MATCH(1,('[1]PROSES ENJEKSİYON'!$A:$A=$F$2)*('[1]PROSES ENJEKSİYON'!$F:$F=A40),0)),"")</f>
        <v>21</v>
      </c>
      <c r="G40" s="31" cm="1">
        <f t="array" ref="G40">IFERROR(INDEX('[1]PROSES ENJEKSİYON'!$L:$L,MATCH(1,('[1]PROSES ENJEKSİYON'!$A:$A=$G$2)*('[1]PROSES ENJEKSİYON'!$F:$F=A40),0)),"")</f>
        <v>22.2</v>
      </c>
      <c r="H40" s="70" t="str" cm="1">
        <f t="array" ref="H40">IFERROR(INDEX('[1]PROSES ENJEKSİYON'!$G:$G,MATCH(1,('[1]PROSES ENJEKSİYON'!$A:$A=$H$2)*('[1]PROSES ENJEKSİYON'!$F:$F=A40),0)),"")</f>
        <v>ENJ0023-02 KAVANOZ KAPAK OPAK YESIL 100MM YIVLI 13GR</v>
      </c>
      <c r="I40" s="64" cm="1">
        <f t="array" ref="I40">IFERROR(INDEX('[1]PROSES ENJEKSİYON'!$J:$J,MATCH(1,('[1]PROSES ENJEKSİYON'!$A:$A=$H$2)*('[1]PROSES ENJEKSİYON'!$F:$F=A40),0)),"")</f>
        <v>4</v>
      </c>
      <c r="J40" s="64" cm="1">
        <f t="array" ref="J40">IFERROR(INDEX('[1]PROSES ENJEKSİYON'!$K:$K,MATCH(1,('[1]PROSES ENJEKSİYON'!$A:$A=$H$2)*('[1]PROSES ENJEKSİYON'!$F:$F=A40),0)),"")</f>
        <v>4</v>
      </c>
      <c r="K40" s="44" cm="1">
        <f t="array" ref="K40">IFERROR(INDEX('[1]PROSES ENJEKSİYON'!$L:$L,MATCH(1,('[1]PROSES ENJEKSİYON'!$A:$A=$H$2)*('[1]PROSES ENJEKSİYON'!$F:$F=A40),0)),"")</f>
        <v>19.8</v>
      </c>
      <c r="L40" s="66" t="str" cm="1">
        <f t="array" ref="L40">IFERROR(INDEX('[1]PROSES ENJEKSİYON'!$G:$G,MATCH(1,('[1]PROSES ENJEKSİYON'!$A:$A=$L$2)*('[1]PROSES ENJEKSİYON'!$F:$F=A40),0)),"")</f>
        <v/>
      </c>
      <c r="M40" s="64" t="str" cm="1">
        <f t="array" ref="M40">IFERROR(INDEX('[1]PROSES ENJEKSİYON'!$J:$J,MATCH(1,('[1]PROSES ENJEKSİYON'!$A:$A=$L$2)*('[1]PROSES ENJEKSİYON'!$F:$F=A40),0)),"")</f>
        <v/>
      </c>
      <c r="N40" s="64" t="str" cm="1">
        <f t="array" ref="N40">IFERROR(INDEX('[1]PROSES ENJEKSİYON'!$K:$K,MATCH(1,('[1]PROSES ENJEKSİYON'!$A:$A=$L$2)*('[1]PROSES ENJEKSİYON'!$F:$F=A40),0)),"")</f>
        <v/>
      </c>
      <c r="O40" s="44" t="str" cm="1">
        <f t="array" ref="O40">IFERROR(INDEX('[1]PROSES ENJEKSİYON'!$L:$L,MATCH(1,('[1]PROSES ENJEKSİYON'!$A:$A=$L$2)*('[1]PROSES ENJEKSİYON'!$F:$F=A40),0)),"")</f>
        <v/>
      </c>
      <c r="P40" s="68" t="str" cm="1">
        <f t="array" ref="P40">IFERROR(INDEX('[1]PROSES ENJEKSİYON'!$G:$G,MATCH(1,('[1]PROSES ENJEKSİYON'!$A:$A=$P$2)*('[1]PROSES ENJEKSİYON'!$F:$F=A40),0)),"")</f>
        <v>MM-ENJ0022-07-110Y-017 - ENJ0022-07 KAVANOZ KAPAK OPAK GOLD CIZGILI 110MM YIVLI 17GR</v>
      </c>
      <c r="Q40" s="64" cm="1">
        <f t="array" ref="Q40">IFERROR(INDEX('[1]PROSES ENJEKSİYON'!$J:$J,MATCH(1,('[1]PROSES ENJEKSİYON'!$A:$A=$P$2)*('[1]PROSES ENJEKSİYON'!$F:$F=A40),0)),"")</f>
        <v>4</v>
      </c>
      <c r="R40" s="64" cm="1">
        <f t="array" ref="R40">IFERROR(INDEX('[1]PROSES ENJEKSİYON'!$K:$K,MATCH(1,('[1]PROSES ENJEKSİYON'!$A:$A=$P$2)*('[1]PROSES ENJEKSİYON'!$F:$F=A40),0)),"")</f>
        <v>4</v>
      </c>
      <c r="S40" s="44" cm="1">
        <f t="array" ref="S40">IFERROR(INDEX('[1]PROSES ENJEKSİYON'!$L:$L,MATCH(1,('[1]PROSES ENJEKSİYON'!$A:$A=$P$2)*('[1]PROSES ENJEKSİYON'!$F:$F=A40),0)),"")</f>
        <v>20.100000000000001</v>
      </c>
      <c r="T40" s="70" t="str" cm="1">
        <f t="array" ref="T40">IFERROR(INDEX('[1]PROSES ENJEKSİYON'!$G:$G,MATCH(1,('[1]PROSES ENJEKSİYON'!$A:$A=$T$2)*('[1]PROSES ENJEKSİYON'!$F:$F=A40),0)),"")</f>
        <v>ENJ0022-05 KAVANOZ KAPAK OPAK GOLD 110MM YIVLI 17GR</v>
      </c>
      <c r="U40" s="64" cm="1">
        <f t="array" ref="U40">IFERROR(INDEX('[1]PROSES ENJEKSİYON'!$J:$J,MATCH(1,('[1]PROSES ENJEKSİYON'!$A:$A=$T$2)*('[1]PROSES ENJEKSİYON'!$F:$F=A40),0)),"")</f>
        <v>4</v>
      </c>
      <c r="V40" s="64" cm="1">
        <f t="array" ref="V40">IFERROR(INDEX('[1]PROSES ENJEKSİYON'!$K:$K,MATCH(1,('[1]PROSES ENJEKSİYON'!$A:$A=$T$2)*('[1]PROSES ENJEKSİYON'!$F:$F=A40),0)),"")</f>
        <v>4</v>
      </c>
      <c r="W40" s="44" cm="1">
        <f t="array" ref="W40">IFERROR(INDEX('[1]PROSES ENJEKSİYON'!$L:$L,MATCH(1,('[1]PROSES ENJEKSİYON'!$A:$A=$T$2)*('[1]PROSES ENJEKSİYON'!$F:$F=A40),0)),"")</f>
        <v>20.100000000000001</v>
      </c>
      <c r="X40" s="68" t="str" cm="1">
        <f t="array" ref="X40">IFERROR(INDEX('[1]PROSES ENJEKSİYON'!$G:$G,MATCH(1,('[1]PROSES ENJEKSİYON'!$A:$A=$X$2)*('[1]PROSES ENJEKSİYON'!$F:$F=A40),0)),"")</f>
        <v>ENJ0022-05 KAVANOZ KAPAK OPAK GOLD 110MM YIVLI 17GR</v>
      </c>
      <c r="Y40" s="64" cm="1">
        <f t="array" ref="Y40">IFERROR(INDEX('[1]PROSES ENJEKSİYON'!$J:$J,MATCH(1,('[1]PROSES ENJEKSİYON'!$A:$A=$X$2)*('[1]PROSES ENJEKSİYON'!$F:$F=A40),0)),"")</f>
        <v>4</v>
      </c>
      <c r="Z40" s="64" cm="1">
        <f t="array" ref="Z40">IFERROR(INDEX('[1]PROSES ENJEKSİYON'!$K:$K,MATCH(1,('[1]PROSES ENJEKSİYON'!$A:$A=$X$2)*('[1]PROSES ENJEKSİYON'!$F:$F=A40),0)),"")</f>
        <v>4</v>
      </c>
      <c r="AA40" s="44" cm="1">
        <f t="array" ref="AA40">IFERROR(INDEX('[1]PROSES ENJEKSİYON'!$L:$L,MATCH(1,('[1]PROSES ENJEKSİYON'!$A:$A=$X$2)*('[1]PROSES ENJEKSİYON'!$F:$F=A40),0)),"")</f>
        <v>20.100000000000001</v>
      </c>
      <c r="AB40" s="34" t="str" cm="1">
        <f t="array" ref="AB40">IFERROR(INDEX('[1]PROSES ENJEKSİYON'!$G:$G,MATCH(1,('[1]PROSES ENJEKSİYON'!$A:$A=$AB$2)*('[1]PROSES ENJEKSİYON'!$F:$F=A40),0)),"")</f>
        <v>ENJ0022-05 KAVANOZ KAPAK OPAK GOLD 110MM YIVLI 17GR</v>
      </c>
      <c r="AC40" s="32" t="str" cm="1">
        <f t="array" ref="AC40">IFERROR(INDEX('[1]PROSES ENJEKSİYON'!$J:$J,MATCH(1,('[1]PROSES ENJEKSİYON'!$A:$A=$AB$2)*('[1]PROSES ENJEKSİYON'!$F:$F=M40),0)),"")</f>
        <v/>
      </c>
      <c r="AD40" s="32" t="str" cm="1">
        <f t="array" ref="AD40">IFERROR(INDEX('[1]PROSES ENJEKSİYON'!$K:$K,MATCH(1,('[1]PROSES ENJEKSİYON'!$A:$A=$AD$2)*('[1]PROSES ENJEKSİYON'!$F:$F=M40),0)),"")</f>
        <v/>
      </c>
      <c r="AE40" s="35" cm="1">
        <f t="array" ref="AE40">IFERROR(INDEX('[1]PROSES ENJEKSİYON'!$L:$L,MATCH(1,('[1]PROSES ENJEKSİYON'!$A:$A=$AB$2)*('[1]PROSES ENJEKSİYON'!$F:$F=A40),0)),"")</f>
        <v>20.100000000000001</v>
      </c>
    </row>
    <row r="41" spans="1:31" ht="46.95" customHeight="1" x14ac:dyDescent="0.4">
      <c r="A41" s="82">
        <v>301</v>
      </c>
      <c r="B41" s="31" t="str" cm="1">
        <f t="array" ref="B41">IFERROR(INDEX('[1]PROSES ENJEKSİYON'!$L:$L, MATCH(1,('[1]PROSES ENJEKSİYON'!$A:$A=$B$2)*('[1]PROSES ENJEKSİYON'!$F:$F=A41),0)), "")</f>
        <v/>
      </c>
      <c r="C41" s="31" t="str" cm="1">
        <f t="array" ref="C41">IFERROR(INDEX('[1]PROSES ENJEKSİYON'!$L:$L,MATCH(1,('[1]PROSES ENJEKSİYON'!$A:$A=$C$2)*('[1]PROSES ENJEKSİYON'!$F:$F=A41),0)),"")</f>
        <v/>
      </c>
      <c r="D41" s="31" t="str" cm="1">
        <f t="array" ref="D41">IFERROR(INDEX('[1]PROSES ENJEKSİYON'!$L:$L,MATCH(1,('[1]PROSES ENJEKSİYON'!$A:$A=$D$2)*('[1]PROSES ENJEKSİYON'!$F:$F=A41),0)),"")</f>
        <v/>
      </c>
      <c r="E41" s="31" t="str" cm="1">
        <f t="array" ref="E41">IFERROR(INDEX('[1]PROSES ENJEKSİYON'!$L:$L,MATCH(1,('[1]PROSES ENJEKSİYON'!$A:$A=$E$2)*('[1]PROSES ENJEKSİYON'!$F:$F=A41),0)),"")</f>
        <v/>
      </c>
      <c r="F41" s="31" t="str" cm="1">
        <f t="array" ref="F41">IFERROR(INDEX('[1]PROSES ENJEKSİYON'!$L:$L,MATCH(1,('[1]PROSES ENJEKSİYON'!$A:$A=$F$2)*('[1]PROSES ENJEKSİYON'!$F:$F=A41),0)),"")</f>
        <v/>
      </c>
      <c r="G41" s="31" t="str" cm="1">
        <f t="array" ref="G41">IFERROR(INDEX('[1]PROSES ENJEKSİYON'!$L:$L,MATCH(1,('[1]PROSES ENJEKSİYON'!$A:$A=$G$2)*('[1]PROSES ENJEKSİYON'!$F:$F=A41),0)),"")</f>
        <v/>
      </c>
      <c r="H41" s="70" t="str" cm="1">
        <f t="array" ref="H41">IFERROR(INDEX('[1]PROSES ENJEKSİYON'!$G:$G,MATCH(1,('[1]PROSES ENJEKSİYON'!$A:$A=$H$2)*('[1]PROSES ENJEKSİYON'!$F:$F=A41),0)),"")</f>
        <v>ENJ0024-01 KAVANOZ KAPAK OPAK SARI 100MM YIVLI 30GR</v>
      </c>
      <c r="I41" s="64" cm="1">
        <f t="array" ref="I41">IFERROR(INDEX('[1]PROSES ENJEKSİYON'!$J:$J,MATCH(1,('[1]PROSES ENJEKSİYON'!$A:$A=$H$2)*('[1]PROSES ENJEKSİYON'!$F:$F=A41),0)),"")</f>
        <v>2</v>
      </c>
      <c r="J41" s="64" cm="1">
        <f t="array" ref="J41">IFERROR(INDEX('[1]PROSES ENJEKSİYON'!$K:$K,MATCH(1,('[1]PROSES ENJEKSİYON'!$A:$A=$H$2)*('[1]PROSES ENJEKSİYON'!$F:$F=A41),0)),"")</f>
        <v>2</v>
      </c>
      <c r="K41" s="44" cm="1">
        <f t="array" ref="K41">IFERROR(INDEX('[1]PROSES ENJEKSİYON'!$L:$L,MATCH(1,('[1]PROSES ENJEKSİYON'!$A:$A=$H$2)*('[1]PROSES ENJEKSİYON'!$F:$F=A41),0)),"")</f>
        <v>38.799999999999997</v>
      </c>
      <c r="L41" s="66" t="str" cm="1">
        <f t="array" ref="L41">IFERROR(INDEX('[1]PROSES ENJEKSİYON'!$G:$G,MATCH(1,('[1]PROSES ENJEKSİYON'!$A:$A=$L$2)*('[1]PROSES ENJEKSİYON'!$F:$F=A41),0)),"")</f>
        <v/>
      </c>
      <c r="M41" s="64" t="str" cm="1">
        <f t="array" ref="M41">IFERROR(INDEX('[1]PROSES ENJEKSİYON'!$J:$J,MATCH(1,('[1]PROSES ENJEKSİYON'!$A:$A=$L$2)*('[1]PROSES ENJEKSİYON'!$F:$F=A41),0)),"")</f>
        <v/>
      </c>
      <c r="N41" s="64" t="str" cm="1">
        <f t="array" ref="N41">IFERROR(INDEX('[1]PROSES ENJEKSİYON'!$K:$K,MATCH(1,('[1]PROSES ENJEKSİYON'!$A:$A=$L$2)*('[1]PROSES ENJEKSİYON'!$F:$F=A41),0)),"")</f>
        <v/>
      </c>
      <c r="O41" s="44" t="str" cm="1">
        <f t="array" ref="O41">IFERROR(INDEX('[1]PROSES ENJEKSİYON'!$L:$L,MATCH(1,('[1]PROSES ENJEKSİYON'!$A:$A=$L$2)*('[1]PROSES ENJEKSİYON'!$F:$F=A41),0)),"")</f>
        <v/>
      </c>
      <c r="P41" s="68" t="str" cm="1">
        <f t="array" ref="P41">IFERROR(INDEX('[1]PROSES ENJEKSİYON'!$G:$G,MATCH(1,('[1]PROSES ENJEKSİYON'!$A:$A=$P$2)*('[1]PROSES ENJEKSİYON'!$F:$F=A41),0)),"")</f>
        <v>MM-ENJ0042-01-090Y-017 - ENJ0042-01 KAVANOZ KAPAK OPAK SARI 90MM YIVLI 17GR</v>
      </c>
      <c r="Q41" s="64" cm="1">
        <f t="array" ref="Q41">IFERROR(INDEX('[1]PROSES ENJEKSİYON'!$J:$J,MATCH(1,('[1]PROSES ENJEKSİYON'!$A:$A=$P$2)*('[1]PROSES ENJEKSİYON'!$F:$F=A41),0)),"")</f>
        <v>4</v>
      </c>
      <c r="R41" s="64" cm="1">
        <f t="array" ref="R41">IFERROR(INDEX('[1]PROSES ENJEKSİYON'!$K:$K,MATCH(1,('[1]PROSES ENJEKSİYON'!$A:$A=$P$2)*('[1]PROSES ENJEKSİYON'!$F:$F=A41),0)),"")</f>
        <v>4</v>
      </c>
      <c r="S41" s="44" cm="1">
        <f t="array" ref="S41">IFERROR(INDEX('[1]PROSES ENJEKSİYON'!$L:$L,MATCH(1,('[1]PROSES ENJEKSİYON'!$A:$A=$P$2)*('[1]PROSES ENJEKSİYON'!$F:$F=A41),0)),"")</f>
        <v>20.9</v>
      </c>
      <c r="T41" s="70" t="str" cm="1">
        <f t="array" ref="T41">IFERROR(INDEX('[1]PROSES ENJEKSİYON'!$G:$G,MATCH(1,('[1]PROSES ENJEKSİYON'!$A:$A=$T$2)*('[1]PROSES ENJEKSİYON'!$F:$F=A41),0)),"")</f>
        <v>ENJ0024-01 KAVANOZ KAPAK OPAK SARI 100MM YIVLI 30GR</v>
      </c>
      <c r="U41" s="64" cm="1">
        <f t="array" ref="U41">IFERROR(INDEX('[1]PROSES ENJEKSİYON'!$J:$J,MATCH(1,('[1]PROSES ENJEKSİYON'!$A:$A=$T$2)*('[1]PROSES ENJEKSİYON'!$F:$F=A41),0)),"")</f>
        <v>2</v>
      </c>
      <c r="V41" s="64" cm="1">
        <f t="array" ref="V41">IFERROR(INDEX('[1]PROSES ENJEKSİYON'!$K:$K,MATCH(1,('[1]PROSES ENJEKSİYON'!$A:$A=$T$2)*('[1]PROSES ENJEKSİYON'!$F:$F=A41),0)),"")</f>
        <v>2</v>
      </c>
      <c r="W41" s="44" cm="1">
        <f t="array" ref="W41">IFERROR(INDEX('[1]PROSES ENJEKSİYON'!$L:$L,MATCH(1,('[1]PROSES ENJEKSİYON'!$A:$A=$T$2)*('[1]PROSES ENJEKSİYON'!$F:$F=A41),0)),"")</f>
        <v>37.1</v>
      </c>
      <c r="X41" s="68" t="str" cm="1">
        <f t="array" ref="X41">IFERROR(INDEX('[1]PROSES ENJEKSİYON'!$G:$G,MATCH(1,('[1]PROSES ENJEKSİYON'!$A:$A=$X$2)*('[1]PROSES ENJEKSİYON'!$F:$F=A41),0)),"")</f>
        <v>ENJ0024-01 KAVANOZ KAPAK OPAK SARI 100MM YIVLI 30GR</v>
      </c>
      <c r="Y41" s="64" cm="1">
        <f t="array" ref="Y41">IFERROR(INDEX('[1]PROSES ENJEKSİYON'!$J:$J,MATCH(1,('[1]PROSES ENJEKSİYON'!$A:$A=$X$2)*('[1]PROSES ENJEKSİYON'!$F:$F=A41),0)),"")</f>
        <v>2</v>
      </c>
      <c r="Z41" s="64" cm="1">
        <f t="array" ref="Z41">IFERROR(INDEX('[1]PROSES ENJEKSİYON'!$K:$K,MATCH(1,('[1]PROSES ENJEKSİYON'!$A:$A=$X$2)*('[1]PROSES ENJEKSİYON'!$F:$F=A41),0)),"")</f>
        <v>2</v>
      </c>
      <c r="AA41" s="44" cm="1">
        <f t="array" ref="AA41">IFERROR(INDEX('[1]PROSES ENJEKSİYON'!$L:$L,MATCH(1,('[1]PROSES ENJEKSİYON'!$A:$A=$X$2)*('[1]PROSES ENJEKSİYON'!$F:$F=A41),0)),"")</f>
        <v>36.5</v>
      </c>
      <c r="AB41" s="34" t="str" cm="1">
        <f t="array" ref="AB41">IFERROR(INDEX('[1]PROSES ENJEKSİYON'!$G:$G,MATCH(1,('[1]PROSES ENJEKSİYON'!$A:$A=$AB$2)*('[1]PROSES ENJEKSİYON'!$F:$F=A41),0)),"")</f>
        <v>ENJ0024-01 KAVANOZ KAPAK OPAK SARI 100MM YIVLI 30GR</v>
      </c>
      <c r="AC41" s="32" t="str" cm="1">
        <f t="array" ref="AC41">IFERROR(INDEX('[1]PROSES ENJEKSİYON'!$J:$J,MATCH(1,('[1]PROSES ENJEKSİYON'!$A:$A=$AB$2)*('[1]PROSES ENJEKSİYON'!$F:$F=M41),0)),"")</f>
        <v/>
      </c>
      <c r="AD41" s="32" t="str" cm="1">
        <f t="array" ref="AD41">IFERROR(INDEX('[1]PROSES ENJEKSİYON'!$K:$K,MATCH(1,('[1]PROSES ENJEKSİYON'!$A:$A=$AD$2)*('[1]PROSES ENJEKSİYON'!$F:$F=M41),0)),"")</f>
        <v/>
      </c>
      <c r="AE41" s="35" cm="1">
        <f t="array" ref="AE41">IFERROR(INDEX('[1]PROSES ENJEKSİYON'!$L:$L,MATCH(1,('[1]PROSES ENJEKSİYON'!$A:$A=$AB$2)*('[1]PROSES ENJEKSİYON'!$F:$F=A41),0)),"")</f>
        <v>36.6</v>
      </c>
    </row>
    <row r="42" spans="1:31" ht="46.95" customHeight="1" x14ac:dyDescent="0.4">
      <c r="A42" s="82">
        <v>302</v>
      </c>
      <c r="B42" s="31" t="str" cm="1">
        <f t="array" ref="B42">IFERROR(INDEX('[1]PROSES ENJEKSİYON'!$L:$L, MATCH(1,('[1]PROSES ENJEKSİYON'!$A:$A=$B$2)*('[1]PROSES ENJEKSİYON'!$F:$F=A42),0)), "")</f>
        <v/>
      </c>
      <c r="C42" s="31" t="str" cm="1">
        <f t="array" ref="C42">IFERROR(INDEX('[1]PROSES ENJEKSİYON'!$L:$L,MATCH(1,('[1]PROSES ENJEKSİYON'!$A:$A=$C$2)*('[1]PROSES ENJEKSİYON'!$F:$F=A42),0)),"")</f>
        <v/>
      </c>
      <c r="D42" s="31" t="str" cm="1">
        <f t="array" ref="D42">IFERROR(INDEX('[1]PROSES ENJEKSİYON'!$L:$L,MATCH(1,('[1]PROSES ENJEKSİYON'!$A:$A=$D$2)*('[1]PROSES ENJEKSİYON'!$F:$F=A42),0)),"")</f>
        <v/>
      </c>
      <c r="E42" s="31" t="str" cm="1">
        <f t="array" ref="E42">IFERROR(INDEX('[1]PROSES ENJEKSİYON'!$L:$L,MATCH(1,('[1]PROSES ENJEKSİYON'!$A:$A=$E$2)*('[1]PROSES ENJEKSİYON'!$F:$F=A42),0)),"")</f>
        <v/>
      </c>
      <c r="F42" s="31" t="str" cm="1">
        <f t="array" ref="F42">IFERROR(INDEX('[1]PROSES ENJEKSİYON'!$L:$L,MATCH(1,('[1]PROSES ENJEKSİYON'!$A:$A=$F$2)*('[1]PROSES ENJEKSİYON'!$F:$F=A42),0)),"")</f>
        <v/>
      </c>
      <c r="G42" s="31" t="str" cm="1">
        <f t="array" ref="G42">IFERROR(INDEX('[1]PROSES ENJEKSİYON'!$L:$L,MATCH(1,('[1]PROSES ENJEKSİYON'!$A:$A=$G$2)*('[1]PROSES ENJEKSİYON'!$F:$F=A42),0)),"")</f>
        <v/>
      </c>
      <c r="H42" s="70" t="str" cm="1">
        <f t="array" ref="H42">IFERROR(INDEX('[1]PROSES ENJEKSİYON'!$G:$G,MATCH(1,('[1]PROSES ENJEKSİYON'!$A:$A=$H$2)*('[1]PROSES ENJEKSİYON'!$F:$F=A42),0)),"")</f>
        <v>PRE0008 38 MM 12 GOZ YIVLI PREFORM  73 OPAK BEYAZ KOLI STANDART</v>
      </c>
      <c r="I42" s="64" cm="1">
        <f t="array" ref="I42">IFERROR(INDEX('[1]PROSES ENJEKSİYON'!$J:$J,MATCH(1,('[1]PROSES ENJEKSİYON'!$A:$A=$H$2)*('[1]PROSES ENJEKSİYON'!$F:$F=A42),0)),"")</f>
        <v>12</v>
      </c>
      <c r="J42" s="64" cm="1">
        <f t="array" ref="J42">IFERROR(INDEX('[1]PROSES ENJEKSİYON'!$K:$K,MATCH(1,('[1]PROSES ENJEKSİYON'!$A:$A=$H$2)*('[1]PROSES ENJEKSİYON'!$F:$F=A42),0)),"")</f>
        <v>9</v>
      </c>
      <c r="K42" s="44" cm="1">
        <f t="array" ref="K42">IFERROR(INDEX('[1]PROSES ENJEKSİYON'!$L:$L,MATCH(1,('[1]PROSES ENJEKSİYON'!$A:$A=$H$2)*('[1]PROSES ENJEKSİYON'!$F:$F=A42),0)),"")</f>
        <v>49.45</v>
      </c>
      <c r="L42" s="66" t="str" cm="1">
        <f t="array" ref="L42">IFERROR(INDEX('[1]PROSES ENJEKSİYON'!$G:$G,MATCH(1,('[1]PROSES ENJEKSİYON'!$A:$A=$L$2)*('[1]PROSES ENJEKSİYON'!$F:$F=A42),0)),"")</f>
        <v/>
      </c>
      <c r="M42" s="64" t="str" cm="1">
        <f t="array" ref="M42">IFERROR(INDEX('[1]PROSES ENJEKSİYON'!$J:$J,MATCH(1,('[1]PROSES ENJEKSİYON'!$A:$A=$L$2)*('[1]PROSES ENJEKSİYON'!$F:$F=A42),0)),"")</f>
        <v/>
      </c>
      <c r="N42" s="64" t="str" cm="1">
        <f t="array" ref="N42">IFERROR(INDEX('[1]PROSES ENJEKSİYON'!$K:$K,MATCH(1,('[1]PROSES ENJEKSİYON'!$A:$A=$L$2)*('[1]PROSES ENJEKSİYON'!$F:$F=A42),0)),"")</f>
        <v/>
      </c>
      <c r="O42" s="44" t="str" cm="1">
        <f t="array" ref="O42">IFERROR(INDEX('[1]PROSES ENJEKSİYON'!$L:$L,MATCH(1,('[1]PROSES ENJEKSİYON'!$A:$A=$L$2)*('[1]PROSES ENJEKSİYON'!$F:$F=A42),0)),"")</f>
        <v/>
      </c>
      <c r="P42" s="68" t="str" cm="1">
        <f t="array" ref="P42">IFERROR(INDEX('[1]PROSES ENJEKSİYON'!$G:$G,MATCH(1,('[1]PROSES ENJEKSİYON'!$A:$A=$P$2)*('[1]PROSES ENJEKSİYON'!$F:$F=A42),0)),"")</f>
        <v/>
      </c>
      <c r="Q42" s="64" t="str" cm="1">
        <f t="array" ref="Q42">IFERROR(INDEX('[1]PROSES ENJEKSİYON'!$J:$J,MATCH(1,('[1]PROSES ENJEKSİYON'!$A:$A=$P$2)*('[1]PROSES ENJEKSİYON'!$F:$F=A42),0)),"")</f>
        <v/>
      </c>
      <c r="R42" s="64" t="str" cm="1">
        <f t="array" ref="R42">IFERROR(INDEX('[1]PROSES ENJEKSİYON'!$K:$K,MATCH(1,('[1]PROSES ENJEKSİYON'!$A:$A=$P$2)*('[1]PROSES ENJEKSİYON'!$F:$F=A42),0)),"")</f>
        <v/>
      </c>
      <c r="S42" s="44" t="str" cm="1">
        <f t="array" ref="S42">IFERROR(INDEX('[1]PROSES ENJEKSİYON'!$L:$L,MATCH(1,('[1]PROSES ENJEKSİYON'!$A:$A=$P$2)*('[1]PROSES ENJEKSİYON'!$F:$F=A42),0)),"")</f>
        <v/>
      </c>
      <c r="T42" s="70" t="str" cm="1">
        <f t="array" ref="T42">IFERROR(INDEX('[1]PROSES ENJEKSİYON'!$G:$G,MATCH(1,('[1]PROSES ENJEKSİYON'!$A:$A=$T$2)*('[1]PROSES ENJEKSİYON'!$F:$F=A42),0)),"")</f>
        <v/>
      </c>
      <c r="U42" s="64" t="str" cm="1">
        <f t="array" ref="U42">IFERROR(INDEX('[1]PROSES ENJEKSİYON'!$J:$J,MATCH(1,('[1]PROSES ENJEKSİYON'!$A:$A=$T$2)*('[1]PROSES ENJEKSİYON'!$F:$F=A42),0)),"")</f>
        <v/>
      </c>
      <c r="V42" s="64" t="str" cm="1">
        <f t="array" ref="V42">IFERROR(INDEX('[1]PROSES ENJEKSİYON'!$K:$K,MATCH(1,('[1]PROSES ENJEKSİYON'!$A:$A=$T$2)*('[1]PROSES ENJEKSİYON'!$F:$F=A42),0)),"")</f>
        <v/>
      </c>
      <c r="W42" s="44" t="str" cm="1">
        <f t="array" ref="W42">IFERROR(INDEX('[1]PROSES ENJEKSİYON'!$L:$L,MATCH(1,('[1]PROSES ENJEKSİYON'!$A:$A=$T$2)*('[1]PROSES ENJEKSİYON'!$F:$F=A42),0)),"")</f>
        <v/>
      </c>
      <c r="X42" s="68" t="str" cm="1">
        <f t="array" ref="X42">IFERROR(INDEX('[1]PROSES ENJEKSİYON'!$G:$G,MATCH(1,('[1]PROSES ENJEKSİYON'!$A:$A=$X$2)*('[1]PROSES ENJEKSİYON'!$F:$F=A42),0)),"")</f>
        <v>BLW0023-01 3000ML SEFFAF 38MM YIVLI 74GR (S059)</v>
      </c>
      <c r="Y42" s="64" cm="1">
        <f t="array" ref="Y42">IFERROR(INDEX('[1]PROSES ENJEKSİYON'!$J:$J,MATCH(1,('[1]PROSES ENJEKSİYON'!$A:$A=$X$2)*('[1]PROSES ENJEKSİYON'!$F:$F=A42),0)),"")</f>
        <v>12</v>
      </c>
      <c r="Z42" s="64" cm="1">
        <f t="array" ref="Z42">IFERROR(INDEX('[1]PROSES ENJEKSİYON'!$K:$K,MATCH(1,('[1]PROSES ENJEKSİYON'!$A:$A=$X$2)*('[1]PROSES ENJEKSİYON'!$F:$F=A42),0)),"")</f>
        <v>10</v>
      </c>
      <c r="AA42" s="44" cm="1">
        <f t="array" ref="AA42">IFERROR(INDEX('[1]PROSES ENJEKSİYON'!$L:$L,MATCH(1,('[1]PROSES ENJEKSİYON'!$A:$A=$X$2)*('[1]PROSES ENJEKSİYON'!$F:$F=A42),0)),"")</f>
        <v>51.4</v>
      </c>
      <c r="AB42" s="34" t="str" cm="1">
        <f t="array" ref="AB42">IFERROR(INDEX('[1]PROSES ENJEKSİYON'!$G:$G,MATCH(1,('[1]PROSES ENJEKSİYON'!$A:$A=$AB$2)*('[1]PROSES ENJEKSİYON'!$F:$F=A42),0)),"")</f>
        <v/>
      </c>
      <c r="AC42" s="32" t="str" cm="1">
        <f t="array" ref="AC42">IFERROR(INDEX('[1]PROSES ENJEKSİYON'!$J:$J,MATCH(1,('[1]PROSES ENJEKSİYON'!$A:$A=$AB$2)*('[1]PROSES ENJEKSİYON'!$F:$F=M42),0)),"")</f>
        <v/>
      </c>
      <c r="AD42" s="32" t="str" cm="1">
        <f t="array" ref="AD42">IFERROR(INDEX('[1]PROSES ENJEKSİYON'!$K:$K,MATCH(1,('[1]PROSES ENJEKSİYON'!$A:$A=$AD$2)*('[1]PROSES ENJEKSİYON'!$F:$F=M42),0)),"")</f>
        <v/>
      </c>
      <c r="AE42" s="35" t="str" cm="1">
        <f t="array" ref="AE42">IFERROR(INDEX('[1]PROSES ENJEKSİYON'!$L:$L,MATCH(1,('[1]PROSES ENJEKSİYON'!$A:$A=$AB$2)*('[1]PROSES ENJEKSİYON'!$F:$F=A42),0)),"")</f>
        <v/>
      </c>
    </row>
    <row r="43" spans="1:31" ht="46.95" customHeight="1" x14ac:dyDescent="0.4">
      <c r="A43" s="82">
        <v>303</v>
      </c>
      <c r="B43" s="31" t="str" cm="1">
        <f t="array" ref="B43">IFERROR(INDEX('[1]PROSES ENJEKSİYON'!$L:$L, MATCH(1,('[1]PROSES ENJEKSİYON'!$A:$A=$B$2)*('[1]PROSES ENJEKSİYON'!$F:$F=A43),0)), "")</f>
        <v/>
      </c>
      <c r="C43" s="31" cm="1">
        <f t="array" ref="C43">IFERROR(INDEX('[1]PROSES ENJEKSİYON'!$L:$L,MATCH(1,('[1]PROSES ENJEKSİYON'!$A:$A=$C$2)*('[1]PROSES ENJEKSİYON'!$F:$F=A43),0)),"")</f>
        <v>43.4</v>
      </c>
      <c r="D43" s="31" cm="1">
        <f t="array" ref="D43">IFERROR(INDEX('[1]PROSES ENJEKSİYON'!$L:$L,MATCH(1,('[1]PROSES ENJEKSİYON'!$A:$A=$D$2)*('[1]PROSES ENJEKSİYON'!$F:$F=A43),0)),"")</f>
        <v>43.5</v>
      </c>
      <c r="E43" s="31" cm="1">
        <f t="array" ref="E43">IFERROR(INDEX('[1]PROSES ENJEKSİYON'!$L:$L,MATCH(1,('[1]PROSES ENJEKSİYON'!$A:$A=$E$2)*('[1]PROSES ENJEKSİYON'!$F:$F=A43),0)),"")</f>
        <v>45</v>
      </c>
      <c r="F43" s="31" cm="1">
        <f t="array" ref="F43">IFERROR(INDEX('[1]PROSES ENJEKSİYON'!$L:$L,MATCH(1,('[1]PROSES ENJEKSİYON'!$A:$A=$F$2)*('[1]PROSES ENJEKSİYON'!$F:$F=A43),0)),"")</f>
        <v>43.5</v>
      </c>
      <c r="G43" s="31" cm="1">
        <f t="array" ref="G43">IFERROR(INDEX('[1]PROSES ENJEKSİYON'!$L:$L,MATCH(1,('[1]PROSES ENJEKSİYON'!$A:$A=$G$2)*('[1]PROSES ENJEKSİYON'!$F:$F=A43),0)),"")</f>
        <v>43.6</v>
      </c>
      <c r="H43" s="70" t="str" cm="1">
        <f t="array" ref="H43">IFERROR(INDEX('[1]PROSES ENJEKSİYON'!$G:$G,MATCH(1,('[1]PROSES ENJEKSİYON'!$A:$A=$H$2)*('[1]PROSES ENJEKSİYON'!$F:$F=A43),0)),"")</f>
        <v>PRE0010 100MM 45GR TWIST OFF OPAK SIYAH PREFORM KOLI STANDART 8GÖZ</v>
      </c>
      <c r="I43" s="64" cm="1">
        <f t="array" ref="I43">IFERROR(INDEX('[1]PROSES ENJEKSİYON'!$J:$J,MATCH(1,('[1]PROSES ENJEKSİYON'!$A:$A=$H$2)*('[1]PROSES ENJEKSİYON'!$F:$F=A43),0)),"")</f>
        <v>8</v>
      </c>
      <c r="J43" s="64" cm="1">
        <f t="array" ref="J43">IFERROR(INDEX('[1]PROSES ENJEKSİYON'!$K:$K,MATCH(1,('[1]PROSES ENJEKSİYON'!$A:$A=$H$2)*('[1]PROSES ENJEKSİYON'!$F:$F=A43),0)),"")</f>
        <v>8</v>
      </c>
      <c r="K43" s="44" cm="1">
        <f t="array" ref="K43">IFERROR(INDEX('[1]PROSES ENJEKSİYON'!$L:$L,MATCH(1,('[1]PROSES ENJEKSİYON'!$A:$A=$H$2)*('[1]PROSES ENJEKSİYON'!$F:$F=A43),0)),"")</f>
        <v>34.200000000000003</v>
      </c>
      <c r="L43" s="66" t="str" cm="1">
        <f t="array" ref="L43">IFERROR(INDEX('[1]PROSES ENJEKSİYON'!$G:$G,MATCH(1,('[1]PROSES ENJEKSİYON'!$A:$A=$L$2)*('[1]PROSES ENJEKSİYON'!$F:$F=A43),0)),"")</f>
        <v/>
      </c>
      <c r="M43" s="64" t="str" cm="1">
        <f t="array" ref="M43">IFERROR(INDEX('[1]PROSES ENJEKSİYON'!$J:$J,MATCH(1,('[1]PROSES ENJEKSİYON'!$A:$A=$L$2)*('[1]PROSES ENJEKSİYON'!$F:$F=A43),0)),"")</f>
        <v/>
      </c>
      <c r="N43" s="64" t="str" cm="1">
        <f t="array" ref="N43">IFERROR(INDEX('[1]PROSES ENJEKSİYON'!$K:$K,MATCH(1,('[1]PROSES ENJEKSİYON'!$A:$A=$L$2)*('[1]PROSES ENJEKSİYON'!$F:$F=A43),0)),"")</f>
        <v/>
      </c>
      <c r="O43" s="44" t="str" cm="1">
        <f t="array" ref="O43">IFERROR(INDEX('[1]PROSES ENJEKSİYON'!$L:$L,MATCH(1,('[1]PROSES ENJEKSİYON'!$A:$A=$L$2)*('[1]PROSES ENJEKSİYON'!$F:$F=A43),0)),"")</f>
        <v/>
      </c>
      <c r="P43" s="68" t="str" cm="1">
        <f t="array" ref="P43">IFERROR(INDEX('[1]PROSES ENJEKSİYON'!$G:$G,MATCH(1,('[1]PROSES ENJEKSİYON'!$A:$A=$P$2)*('[1]PROSES ENJEKSİYON'!$F:$F=A43),0)),"")</f>
        <v>YM-PRE0003-02-090Y-061 - PRE0003 90 MM 4 GOZ YIVLI PREFORM 61GR SEFFAF SEFFAF KOLI STANDART</v>
      </c>
      <c r="Q43" s="64" cm="1">
        <f t="array" ref="Q43">IFERROR(INDEX('[1]PROSES ENJEKSİYON'!$J:$J,MATCH(1,('[1]PROSES ENJEKSİYON'!$A:$A=$P$2)*('[1]PROSES ENJEKSİYON'!$F:$F=A43),0)),"")</f>
        <v>4</v>
      </c>
      <c r="R43" s="64" cm="1">
        <f t="array" ref="R43">IFERROR(INDEX('[1]PROSES ENJEKSİYON'!$K:$K,MATCH(1,('[1]PROSES ENJEKSİYON'!$A:$A=$P$2)*('[1]PROSES ENJEKSİYON'!$F:$F=A43),0)),"")</f>
        <v>3</v>
      </c>
      <c r="S43" s="44" cm="1">
        <f t="array" ref="S43">IFERROR(INDEX('[1]PROSES ENJEKSİYON'!$L:$L,MATCH(1,('[1]PROSES ENJEKSİYON'!$A:$A=$P$2)*('[1]PROSES ENJEKSİYON'!$F:$F=A43),0)),"")</f>
        <v>30.1</v>
      </c>
      <c r="T43" s="70" t="str" cm="1">
        <f t="array" ref="T43">IFERROR(INDEX('[1]PROSES ENJEKSİYON'!$G:$G,MATCH(1,('[1]PROSES ENJEKSİYON'!$A:$A=$T$2)*('[1]PROSES ENJEKSİYON'!$F:$F=A43),0)),"")</f>
        <v>PRE0003 90 MM 4 GOZ YIVLI PREFORM 61GR SEFFAF SEFFAF KOLI STANDART</v>
      </c>
      <c r="U43" s="64" cm="1">
        <f t="array" ref="U43">IFERROR(INDEX('[1]PROSES ENJEKSİYON'!$J:$J,MATCH(1,('[1]PROSES ENJEKSİYON'!$A:$A=$T$2)*('[1]PROSES ENJEKSİYON'!$F:$F=A43),0)),"")</f>
        <v>8</v>
      </c>
      <c r="V43" s="64" cm="1">
        <f t="array" ref="V43">IFERROR(INDEX('[1]PROSES ENJEKSİYON'!$K:$K,MATCH(1,('[1]PROSES ENJEKSİYON'!$A:$A=$T$2)*('[1]PROSES ENJEKSİYON'!$F:$F=A43),0)),"")</f>
        <v>8</v>
      </c>
      <c r="W43" s="44" cm="1">
        <f t="array" ref="W43">IFERROR(INDEX('[1]PROSES ENJEKSİYON'!$L:$L,MATCH(1,('[1]PROSES ENJEKSİYON'!$A:$A=$T$2)*('[1]PROSES ENJEKSİYON'!$F:$F=A43),0)),"")</f>
        <v>34</v>
      </c>
      <c r="X43" s="68" t="str" cm="1">
        <f t="array" ref="X43">IFERROR(INDEX('[1]PROSES ENJEKSİYON'!$G:$G,MATCH(1,('[1]PROSES ENJEKSİYON'!$A:$A=$X$2)*('[1]PROSES ENJEKSİYON'!$F:$F=A43),0)),"")</f>
        <v>PRE0010 100MM 45GR TWIST OFF OPAK SIYAH PREFORM KOLI STANDART 8GÖZ</v>
      </c>
      <c r="Y43" s="64" cm="1">
        <f t="array" ref="Y43">IFERROR(INDEX('[1]PROSES ENJEKSİYON'!$J:$J,MATCH(1,('[1]PROSES ENJEKSİYON'!$A:$A=$X$2)*('[1]PROSES ENJEKSİYON'!$F:$F=A43),0)),"")</f>
        <v>8</v>
      </c>
      <c r="Z43" s="64" cm="1">
        <f t="array" ref="Z43">IFERROR(INDEX('[1]PROSES ENJEKSİYON'!$K:$K,MATCH(1,('[1]PROSES ENJEKSİYON'!$A:$A=$X$2)*('[1]PROSES ENJEKSİYON'!$F:$F=A43),0)),"")</f>
        <v>8</v>
      </c>
      <c r="AA43" s="44" cm="1">
        <f t="array" ref="AA43">IFERROR(INDEX('[1]PROSES ENJEKSİYON'!$L:$L,MATCH(1,('[1]PROSES ENJEKSİYON'!$A:$A=$X$2)*('[1]PROSES ENJEKSİYON'!$F:$F=A43),0)),"")</f>
        <v>34.1</v>
      </c>
      <c r="AB43" s="34" t="str" cm="1">
        <f t="array" ref="AB43">IFERROR(INDEX('[1]PROSES ENJEKSİYON'!$G:$G,MATCH(1,('[1]PROSES ENJEKSİYON'!$A:$A=$AB$2)*('[1]PROSES ENJEKSİYON'!$F:$F=A43),0)),"")</f>
        <v>PRE0010 100MM 45GR TWIST OFF OPAK SIYAH PREFORM KOLI STANDART 8GÖZ</v>
      </c>
      <c r="AC43" s="32" t="str" cm="1">
        <f t="array" ref="AC43">IFERROR(INDEX('[1]PROSES ENJEKSİYON'!$J:$J,MATCH(1,('[1]PROSES ENJEKSİYON'!$A:$A=$AB$2)*('[1]PROSES ENJEKSİYON'!$F:$F=M43),0)),"")</f>
        <v/>
      </c>
      <c r="AD43" s="32" t="str" cm="1">
        <f t="array" ref="AD43">IFERROR(INDEX('[1]PROSES ENJEKSİYON'!$K:$K,MATCH(1,('[1]PROSES ENJEKSİYON'!$A:$A=$AD$2)*('[1]PROSES ENJEKSİYON'!$F:$F=M43),0)),"")</f>
        <v/>
      </c>
      <c r="AE43" s="35" cm="1">
        <f t="array" ref="AE43">IFERROR(INDEX('[1]PROSES ENJEKSİYON'!$L:$L,MATCH(1,('[1]PROSES ENJEKSİYON'!$A:$A=$AB$2)*('[1]PROSES ENJEKSİYON'!$F:$F=A43),0)),"")</f>
        <v>34.4</v>
      </c>
    </row>
    <row r="44" spans="1:31" ht="46.95" customHeight="1" x14ac:dyDescent="0.4">
      <c r="A44" s="82">
        <v>212</v>
      </c>
      <c r="B44" s="31" t="str" cm="1">
        <f t="array" ref="B44">IFERROR(INDEX('[1]PROSES ENJEKSİYON'!$L:$L, MATCH(1,('[1]PROSES ENJEKSİYON'!$A:$A=$B$2)*('[1]PROSES ENJEKSİYON'!$F:$F=A44),0)), "")</f>
        <v/>
      </c>
      <c r="C44" s="31" t="str" cm="1">
        <f t="array" ref="C44">IFERROR(INDEX('[1]PROSES ENJEKSİYON'!$L:$L,MATCH(1,('[1]PROSES ENJEKSİYON'!$A:$A=$C$2)*('[1]PROSES ENJEKSİYON'!$F:$F=A44),0)),"")</f>
        <v/>
      </c>
      <c r="D44" s="31" t="str" cm="1">
        <f t="array" ref="D44">IFERROR(INDEX('[1]PROSES ENJEKSİYON'!$L:$L,MATCH(1,('[1]PROSES ENJEKSİYON'!$A:$A=$D$2)*('[1]PROSES ENJEKSİYON'!$F:$F=A44),0)),"")</f>
        <v/>
      </c>
      <c r="E44" s="31" t="str" cm="1">
        <f t="array" ref="E44">IFERROR(INDEX('[1]PROSES ENJEKSİYON'!$L:$L,MATCH(1,('[1]PROSES ENJEKSİYON'!$A:$A=$E$2)*('[1]PROSES ENJEKSİYON'!$F:$F=A44),0)),"")</f>
        <v/>
      </c>
      <c r="F44" s="31" t="str" cm="1">
        <f t="array" ref="F44">IFERROR(INDEX('[1]PROSES ENJEKSİYON'!$L:$L,MATCH(1,('[1]PROSES ENJEKSİYON'!$A:$A=$F$2)*('[1]PROSES ENJEKSİYON'!$F:$F=A44),0)),"")</f>
        <v/>
      </c>
      <c r="G44" s="31" t="str" cm="1">
        <f t="array" ref="G44">IFERROR(INDEX('[1]PROSES ENJEKSİYON'!$L:$L,MATCH(1,('[1]PROSES ENJEKSİYON'!$A:$A=$G$2)*('[1]PROSES ENJEKSİYON'!$F:$F=A44),0)),"")</f>
        <v/>
      </c>
      <c r="H44" s="70" t="str" cm="1">
        <f t="array" ref="H44">IFERROR(INDEX('[1]PROSES ENJEKSİYON'!$G:$G,MATCH(1,('[1]PROSES ENJEKSİYON'!$A:$A=$H$2)*('[1]PROSES ENJEKSİYON'!$F:$F=A44),0)),"")</f>
        <v/>
      </c>
      <c r="I44" s="64" t="str" cm="1">
        <f t="array" ref="I44">IFERROR(INDEX('[1]PROSES ENJEKSİYON'!$J:$J,MATCH(1,('[1]PROSES ENJEKSİYON'!$A:$A=$H$2)*('[1]PROSES ENJEKSİYON'!$F:$F=A44),0)),"")</f>
        <v/>
      </c>
      <c r="J44" s="64" t="str" cm="1">
        <f t="array" ref="J44">IFERROR(INDEX('[1]PROSES ENJEKSİYON'!$K:$K,MATCH(1,('[1]PROSES ENJEKSİYON'!$A:$A=$H$2)*('[1]PROSES ENJEKSİYON'!$F:$F=A44),0)),"")</f>
        <v/>
      </c>
      <c r="K44" s="44" t="str" cm="1">
        <f t="array" ref="K44">IFERROR(INDEX('[1]PROSES ENJEKSİYON'!$L:$L,MATCH(1,('[1]PROSES ENJEKSİYON'!$A:$A=$H$2)*('[1]PROSES ENJEKSİYON'!$F:$F=A44),0)),"")</f>
        <v/>
      </c>
      <c r="L44" s="66" t="str" cm="1">
        <f t="array" ref="L44">IFERROR(INDEX('[1]PROSES ENJEKSİYON'!$G:$G,MATCH(1,('[1]PROSES ENJEKSİYON'!$A:$A=$L$2)*('[1]PROSES ENJEKSİYON'!$F:$F=A44),0)),"")</f>
        <v/>
      </c>
      <c r="M44" s="64" t="str" cm="1">
        <f t="array" ref="M44">IFERROR(INDEX('[1]PROSES ENJEKSİYON'!$J:$J,MATCH(1,('[1]PROSES ENJEKSİYON'!$A:$A=$L$2)*('[1]PROSES ENJEKSİYON'!$F:$F=A44),0)),"")</f>
        <v/>
      </c>
      <c r="N44" s="64" t="str" cm="1">
        <f t="array" ref="N44">IFERROR(INDEX('[1]PROSES ENJEKSİYON'!$K:$K,MATCH(1,('[1]PROSES ENJEKSİYON'!$A:$A=$L$2)*('[1]PROSES ENJEKSİYON'!$F:$F=A44),0)),"")</f>
        <v/>
      </c>
      <c r="O44" s="44" t="str" cm="1">
        <f t="array" ref="O44">IFERROR(INDEX('[1]PROSES ENJEKSİYON'!$L:$L,MATCH(1,('[1]PROSES ENJEKSİYON'!$A:$A=$L$2)*('[1]PROSES ENJEKSİYON'!$F:$F=A44),0)),"")</f>
        <v/>
      </c>
      <c r="P44" s="68" t="str" cm="1">
        <f t="array" ref="P44">IFERROR(INDEX('[1]PROSES ENJEKSİYON'!$G:$G,MATCH(1,('[1]PROSES ENJEKSİYON'!$A:$A=$P$2)*('[1]PROSES ENJEKSİYON'!$F:$F=A44),0)),"")</f>
        <v/>
      </c>
      <c r="Q44" s="64" t="str" cm="1">
        <f t="array" ref="Q44">IFERROR(INDEX('[1]PROSES ENJEKSİYON'!$J:$J,MATCH(1,('[1]PROSES ENJEKSİYON'!$A:$A=$P$2)*('[1]PROSES ENJEKSİYON'!$F:$F=A44),0)),"")</f>
        <v/>
      </c>
      <c r="R44" s="64" t="str" cm="1">
        <f t="array" ref="R44">IFERROR(INDEX('[1]PROSES ENJEKSİYON'!$K:$K,MATCH(1,('[1]PROSES ENJEKSİYON'!$A:$A=$P$2)*('[1]PROSES ENJEKSİYON'!$F:$F=A44),0)),"")</f>
        <v/>
      </c>
      <c r="S44" s="44" t="str" cm="1">
        <f t="array" ref="S44">IFERROR(INDEX('[1]PROSES ENJEKSİYON'!$L:$L,MATCH(1,('[1]PROSES ENJEKSİYON'!$A:$A=$P$2)*('[1]PROSES ENJEKSİYON'!$F:$F=A44),0)),"")</f>
        <v/>
      </c>
      <c r="T44" s="70" t="str" cm="1">
        <f t="array" ref="T44">IFERROR(INDEX('[1]PROSES ENJEKSİYON'!$G:$G,MATCH(1,('[1]PROSES ENJEKSİYON'!$A:$A=$T$2)*('[1]PROSES ENJEKSİYON'!$F:$F=A44),0)),"")</f>
        <v/>
      </c>
      <c r="U44" s="64" t="str" cm="1">
        <f t="array" ref="U44">IFERROR(INDEX('[1]PROSES ENJEKSİYON'!$J:$J,MATCH(1,('[1]PROSES ENJEKSİYON'!$A:$A=$T$2)*('[1]PROSES ENJEKSİYON'!$F:$F=A44),0)),"")</f>
        <v/>
      </c>
      <c r="V44" s="64" t="str" cm="1">
        <f t="array" ref="V44">IFERROR(INDEX('[1]PROSES ENJEKSİYON'!$K:$K,MATCH(1,('[1]PROSES ENJEKSİYON'!$A:$A=$T$2)*('[1]PROSES ENJEKSİYON'!$F:$F=A44),0)),"")</f>
        <v/>
      </c>
      <c r="W44" s="44" t="str" cm="1">
        <f t="array" ref="W44">IFERROR(INDEX('[1]PROSES ENJEKSİYON'!$L:$L,MATCH(1,('[1]PROSES ENJEKSİYON'!$A:$A=$T$2)*('[1]PROSES ENJEKSİYON'!$F:$F=A44),0)),"")</f>
        <v/>
      </c>
      <c r="X44" s="68" t="str" cm="1">
        <f t="array" ref="X44">IFERROR(INDEX('[1]PROSES ENJEKSİYON'!$G:$G,MATCH(1,('[1]PROSES ENJEKSİYON'!$A:$A=$X$2)*('[1]PROSES ENJEKSİYON'!$F:$F=A44),0)),"")</f>
        <v/>
      </c>
      <c r="Y44" s="64" t="str" cm="1">
        <f t="array" ref="Y44">IFERROR(INDEX('[1]PROSES ENJEKSİYON'!$J:$J,MATCH(1,('[1]PROSES ENJEKSİYON'!$A:$A=$X$2)*('[1]PROSES ENJEKSİYON'!$F:$F=A44),0)),"")</f>
        <v/>
      </c>
      <c r="Z44" s="64" t="str" cm="1">
        <f t="array" ref="Z44">IFERROR(INDEX('[1]PROSES ENJEKSİYON'!$K:$K,MATCH(1,('[1]PROSES ENJEKSİYON'!$A:$A=$X$2)*('[1]PROSES ENJEKSİYON'!$F:$F=A44),0)),"")</f>
        <v/>
      </c>
      <c r="AA44" s="44" t="str" cm="1">
        <f t="array" ref="AA44">IFERROR(INDEX('[1]PROSES ENJEKSİYON'!$L:$L,MATCH(1,('[1]PROSES ENJEKSİYON'!$A:$A=$X$2)*('[1]PROSES ENJEKSİYON'!$F:$F=A44),0)),"")</f>
        <v/>
      </c>
      <c r="AB44" s="34" t="str" cm="1">
        <f t="array" ref="AB44">IFERROR(INDEX('[1]PROSES ENJEKSİYON'!$G:$G,MATCH(1,('[1]PROSES ENJEKSİYON'!$A:$A=$AB$2)*('[1]PROSES ENJEKSİYON'!$F:$F=A44),0)),"")</f>
        <v/>
      </c>
      <c r="AC44" s="32" t="str" cm="1">
        <f t="array" ref="AC44">IFERROR(INDEX('[1]PROSES ENJEKSİYON'!$J:$J,MATCH(1,('[1]PROSES ENJEKSİYON'!$A:$A=$AB$2)*('[1]PROSES ENJEKSİYON'!$F:$F=M44),0)),"")</f>
        <v/>
      </c>
      <c r="AD44" s="32" t="str" cm="1">
        <f t="array" ref="AD44">IFERROR(INDEX('[1]PROSES ENJEKSİYON'!$K:$K,MATCH(1,('[1]PROSES ENJEKSİYON'!$A:$A=$AD$2)*('[1]PROSES ENJEKSİYON'!$F:$F=M44),0)),"")</f>
        <v/>
      </c>
      <c r="AE44" s="35" t="str" cm="1">
        <f t="array" ref="AE44">IFERROR(INDEX('[1]PROSES ENJEKSİYON'!$L:$L,MATCH(1,('[1]PROSES ENJEKSİYON'!$A:$A=$AB$2)*('[1]PROSES ENJEKSİYON'!$F:$F=A44),0)),"")</f>
        <v/>
      </c>
    </row>
    <row r="45" spans="1:31" ht="46.95" customHeight="1" x14ac:dyDescent="0.4">
      <c r="A45" s="82">
        <v>211</v>
      </c>
      <c r="B45" s="31" t="str" cm="1">
        <f t="array" ref="B45">IFERROR(INDEX('[1]PROSES ENJEKSİYON'!$L:$L, MATCH(1,('[1]PROSES ENJEKSİYON'!$A:$A=$B$2)*('[1]PROSES ENJEKSİYON'!$F:$F=A45),0)), "")</f>
        <v/>
      </c>
      <c r="C45" s="31" t="str" cm="1">
        <f t="array" ref="C45">IFERROR(INDEX('[1]PROSES ENJEKSİYON'!$L:$L,MATCH(1,('[1]PROSES ENJEKSİYON'!$A:$A=$C$2)*('[1]PROSES ENJEKSİYON'!$F:$F=A45),0)),"")</f>
        <v/>
      </c>
      <c r="D45" s="31" t="str" cm="1">
        <f t="array" ref="D45">IFERROR(INDEX('[1]PROSES ENJEKSİYON'!$L:$L,MATCH(1,('[1]PROSES ENJEKSİYON'!$A:$A=$D$2)*('[1]PROSES ENJEKSİYON'!$F:$F=A45),0)),"")</f>
        <v/>
      </c>
      <c r="E45" s="31" t="str" cm="1">
        <f t="array" ref="E45">IFERROR(INDEX('[1]PROSES ENJEKSİYON'!$L:$L,MATCH(1,('[1]PROSES ENJEKSİYON'!$A:$A=$E$2)*('[1]PROSES ENJEKSİYON'!$F:$F=A45),0)),"")</f>
        <v/>
      </c>
      <c r="F45" s="31" t="str" cm="1">
        <f t="array" ref="F45">IFERROR(INDEX('[1]PROSES ENJEKSİYON'!$L:$L,MATCH(1,('[1]PROSES ENJEKSİYON'!$A:$A=$F$2)*('[1]PROSES ENJEKSİYON'!$F:$F=A45),0)),"")</f>
        <v/>
      </c>
      <c r="G45" s="31" t="str" cm="1">
        <f t="array" ref="G45">IFERROR(INDEX('[1]PROSES ENJEKSİYON'!$L:$L,MATCH(1,('[1]PROSES ENJEKSİYON'!$A:$A=$G$2)*('[1]PROSES ENJEKSİYON'!$F:$F=A45),0)),"")</f>
        <v/>
      </c>
      <c r="H45" s="70" t="str" cm="1">
        <f t="array" ref="H45">IFERROR(INDEX('[1]PROSES ENJEKSİYON'!$G:$G,MATCH(1,('[1]PROSES ENJEKSİYON'!$A:$A=$H$2)*('[1]PROSES ENJEKSİYON'!$F:$F=A45),0)),"")</f>
        <v>ENJ0027-02 PIM SEFFAF 024MM YIVLI 1GR</v>
      </c>
      <c r="I45" s="64" cm="1">
        <f t="array" ref="I45">IFERROR(INDEX('[1]PROSES ENJEKSİYON'!$J:$J,MATCH(1,('[1]PROSES ENJEKSİYON'!$A:$A=$H$2)*('[1]PROSES ENJEKSİYON'!$F:$F=A45),0)),"")</f>
        <v>24</v>
      </c>
      <c r="J45" s="64" cm="1">
        <f t="array" ref="J45">IFERROR(INDEX('[1]PROSES ENJEKSİYON'!$K:$K,MATCH(1,('[1]PROSES ENJEKSİYON'!$A:$A=$H$2)*('[1]PROSES ENJEKSİYON'!$F:$F=A45),0)),"")</f>
        <v>21</v>
      </c>
      <c r="K45" s="44" cm="1">
        <f t="array" ref="K45">IFERROR(INDEX('[1]PROSES ENJEKSİYON'!$L:$L,MATCH(1,('[1]PROSES ENJEKSİYON'!$A:$A=$H$2)*('[1]PROSES ENJEKSİYON'!$F:$F=A45),0)),"")</f>
        <v>21.7</v>
      </c>
      <c r="L45" s="66" t="str" cm="1">
        <f t="array" ref="L45">IFERROR(INDEX('[1]PROSES ENJEKSİYON'!$G:$G,MATCH(1,('[1]PROSES ENJEKSİYON'!$A:$A=$L$2)*('[1]PROSES ENJEKSİYON'!$F:$F=A45),0)),"")</f>
        <v/>
      </c>
      <c r="M45" s="64" t="str" cm="1">
        <f t="array" ref="M45">IFERROR(INDEX('[1]PROSES ENJEKSİYON'!$J:$J,MATCH(1,('[1]PROSES ENJEKSİYON'!$A:$A=$L$2)*('[1]PROSES ENJEKSİYON'!$F:$F=A45),0)),"")</f>
        <v/>
      </c>
      <c r="N45" s="64" t="str" cm="1">
        <f t="array" ref="N45">IFERROR(INDEX('[1]PROSES ENJEKSİYON'!$K:$K,MATCH(1,('[1]PROSES ENJEKSİYON'!$A:$A=$L$2)*('[1]PROSES ENJEKSİYON'!$F:$F=A45),0)),"")</f>
        <v/>
      </c>
      <c r="O45" s="44" t="str" cm="1">
        <f t="array" ref="O45">IFERROR(INDEX('[1]PROSES ENJEKSİYON'!$L:$L,MATCH(1,('[1]PROSES ENJEKSİYON'!$A:$A=$L$2)*('[1]PROSES ENJEKSİYON'!$F:$F=A45),0)),"")</f>
        <v/>
      </c>
      <c r="P45" s="68" t="str" cm="1">
        <f t="array" ref="P45">IFERROR(INDEX('[1]PROSES ENJEKSİYON'!$G:$G,MATCH(1,('[1]PROSES ENJEKSİYON'!$A:$A=$P$2)*('[1]PROSES ENJEKSİYON'!$F:$F=A45),0)),"")</f>
        <v>MM-ENJ0027-02-024P-001 - ENJ0027-02 PIM SEFFAF 024MM YIVLI 1GR</v>
      </c>
      <c r="Q45" s="64" cm="1">
        <f t="array" ref="Q45">IFERROR(INDEX('[1]PROSES ENJEKSİYON'!$J:$J,MATCH(1,('[1]PROSES ENJEKSİYON'!$A:$A=$P$2)*('[1]PROSES ENJEKSİYON'!$F:$F=A45),0)),"")</f>
        <v>24</v>
      </c>
      <c r="R45" s="64" cm="1">
        <f t="array" ref="R45">IFERROR(INDEX('[1]PROSES ENJEKSİYON'!$K:$K,MATCH(1,('[1]PROSES ENJEKSİYON'!$A:$A=$P$2)*('[1]PROSES ENJEKSİYON'!$F:$F=A45),0)),"")</f>
        <v>21</v>
      </c>
      <c r="S45" s="44" cm="1">
        <f t="array" ref="S45">IFERROR(INDEX('[1]PROSES ENJEKSİYON'!$L:$L,MATCH(1,('[1]PROSES ENJEKSİYON'!$A:$A=$P$2)*('[1]PROSES ENJEKSİYON'!$F:$F=A45),0)),"")</f>
        <v>20.100000000000001</v>
      </c>
      <c r="T45" s="70" t="str" cm="1">
        <f t="array" ref="T45">IFERROR(INDEX('[1]PROSES ENJEKSİYON'!$G:$G,MATCH(1,('[1]PROSES ENJEKSİYON'!$A:$A=$T$2)*('[1]PROSES ENJEKSİYON'!$F:$F=A45),0)),"")</f>
        <v>ENJ0027-02 PIM SEFFAF 024MM YIVLI 1GR</v>
      </c>
      <c r="U45" s="64" cm="1">
        <f t="array" ref="U45">IFERROR(INDEX('[1]PROSES ENJEKSİYON'!$J:$J,MATCH(1,('[1]PROSES ENJEKSİYON'!$A:$A=$T$2)*('[1]PROSES ENJEKSİYON'!$F:$F=A45),0)),"")</f>
        <v>24</v>
      </c>
      <c r="V45" s="64" cm="1">
        <f t="array" ref="V45">IFERROR(INDEX('[1]PROSES ENJEKSİYON'!$K:$K,MATCH(1,('[1]PROSES ENJEKSİYON'!$A:$A=$T$2)*('[1]PROSES ENJEKSİYON'!$F:$F=A45),0)),"")</f>
        <v>21</v>
      </c>
      <c r="W45" s="44" cm="1">
        <f t="array" ref="W45">IFERROR(INDEX('[1]PROSES ENJEKSİYON'!$L:$L,MATCH(1,('[1]PROSES ENJEKSİYON'!$A:$A=$T$2)*('[1]PROSES ENJEKSİYON'!$F:$F=A45),0)),"")</f>
        <v>19.600000000000001</v>
      </c>
      <c r="X45" s="68" t="str" cm="1">
        <f t="array" ref="X45">IFERROR(INDEX('[1]PROSES ENJEKSİYON'!$G:$G,MATCH(1,('[1]PROSES ENJEKSİYON'!$A:$A=$X$2)*('[1]PROSES ENJEKSİYON'!$F:$F=A45),0)),"")</f>
        <v>ENJ0027-02 PIM SEFFAF 024MM YIVLI 1GR</v>
      </c>
      <c r="Y45" s="64" cm="1">
        <f t="array" ref="Y45">IFERROR(INDEX('[1]PROSES ENJEKSİYON'!$J:$J,MATCH(1,('[1]PROSES ENJEKSİYON'!$A:$A=$X$2)*('[1]PROSES ENJEKSİYON'!$F:$F=A45),0)),"")</f>
        <v>24</v>
      </c>
      <c r="Z45" s="64" cm="1">
        <f t="array" ref="Z45">IFERROR(INDEX('[1]PROSES ENJEKSİYON'!$K:$K,MATCH(1,('[1]PROSES ENJEKSİYON'!$A:$A=$X$2)*('[1]PROSES ENJEKSİYON'!$F:$F=A45),0)),"")</f>
        <v>21</v>
      </c>
      <c r="AA45" s="44" cm="1">
        <f t="array" ref="AA45">IFERROR(INDEX('[1]PROSES ENJEKSİYON'!$L:$L,MATCH(1,('[1]PROSES ENJEKSİYON'!$A:$A=$X$2)*('[1]PROSES ENJEKSİYON'!$F:$F=A45),0)),"")</f>
        <v>19.8</v>
      </c>
      <c r="AB45" s="34" t="str" cm="1">
        <f t="array" ref="AB45">IFERROR(INDEX('[1]PROSES ENJEKSİYON'!$G:$G,MATCH(1,('[1]PROSES ENJEKSİYON'!$A:$A=$AB$2)*('[1]PROSES ENJEKSİYON'!$F:$F=A45),0)),"")</f>
        <v>ENJ0027-02 PIM SEFFAF 024MM YIVLI 1GR</v>
      </c>
      <c r="AC45" s="32" t="str" cm="1">
        <f t="array" ref="AC45">IFERROR(INDEX('[1]PROSES ENJEKSİYON'!$J:$J,MATCH(1,('[1]PROSES ENJEKSİYON'!$A:$A=$AB$2)*('[1]PROSES ENJEKSİYON'!$F:$F=M45),0)),"")</f>
        <v/>
      </c>
      <c r="AD45" s="32" t="str" cm="1">
        <f t="array" ref="AD45">IFERROR(INDEX('[1]PROSES ENJEKSİYON'!$K:$K,MATCH(1,('[1]PROSES ENJEKSİYON'!$A:$A=$AD$2)*('[1]PROSES ENJEKSİYON'!$F:$F=M45),0)),"")</f>
        <v/>
      </c>
      <c r="AE45" s="35" cm="1">
        <f t="array" ref="AE45">IFERROR(INDEX('[1]PROSES ENJEKSİYON'!$L:$L,MATCH(1,('[1]PROSES ENJEKSİYON'!$A:$A=$AB$2)*('[1]PROSES ENJEKSİYON'!$F:$F=A45),0)),"")</f>
        <v>21.1</v>
      </c>
    </row>
    <row r="46" spans="1:31" ht="46.95" customHeight="1" x14ac:dyDescent="0.4">
      <c r="A46" s="82">
        <v>501</v>
      </c>
      <c r="B46" s="31" t="str" cm="1">
        <f t="array" ref="B46">IFERROR(INDEX('[1]PROSES ENJEKSİYON'!$L:$L, MATCH(1,('[1]PROSES ENJEKSİYON'!$A:$A=$B$2)*('[1]PROSES ENJEKSİYON'!$F:$F=A46),0)), "")</f>
        <v/>
      </c>
      <c r="C46" s="31" t="str" cm="1">
        <f t="array" ref="C46">IFERROR(INDEX('[1]PROSES ENJEKSİYON'!$L:$L,MATCH(1,('[1]PROSES ENJEKSİYON'!$A:$A=$C$2)*('[1]PROSES ENJEKSİYON'!$F:$F=A46),0)),"")</f>
        <v/>
      </c>
      <c r="D46" s="31" cm="1">
        <f t="array" ref="D46">IFERROR(INDEX('[1]PROSES ENJEKSİYON'!$L:$L,MATCH(1,('[1]PROSES ENJEKSİYON'!$A:$A=$D$2)*('[1]PROSES ENJEKSİYON'!$F:$F=A46),0)),"")</f>
        <v>16.02</v>
      </c>
      <c r="E46" s="31" cm="1">
        <f t="array" ref="E46">IFERROR(INDEX('[1]PROSES ENJEKSİYON'!$L:$L,MATCH(1,('[1]PROSES ENJEKSİYON'!$A:$A=$E$2)*('[1]PROSES ENJEKSİYON'!$F:$F=A46),0)),"")</f>
        <v>16.12</v>
      </c>
      <c r="F46" s="31" cm="1">
        <f t="array" ref="F46">IFERROR(INDEX('[1]PROSES ENJEKSİYON'!$L:$L,MATCH(1,('[1]PROSES ENJEKSİYON'!$A:$A=$F$2)*('[1]PROSES ENJEKSİYON'!$F:$F=A46),0)),"")</f>
        <v>16.02</v>
      </c>
      <c r="G46" s="31" t="str" cm="1">
        <f t="array" ref="G46">IFERROR(INDEX('[1]PROSES ENJEKSİYON'!$L:$L,MATCH(1,('[1]PROSES ENJEKSİYON'!$A:$A=$G$2)*('[1]PROSES ENJEKSİYON'!$F:$F=A46),0)),"")</f>
        <v/>
      </c>
      <c r="H46" s="70" t="str" cm="1">
        <f t="array" ref="H46">IFERROR(INDEX('[1]PROSES ENJEKSİYON'!$G:$G,MATCH(1,('[1]PROSES ENJEKSİYON'!$A:$A=$H$2)*('[1]PROSES ENJEKSİYON'!$F:$F=A46),0)),"")</f>
        <v>EBM0020-01 200ML OPAK SARI 24MM YIVLI 17GR</v>
      </c>
      <c r="I46" s="64" cm="1">
        <f t="array" ref="I46">IFERROR(INDEX('[1]PROSES ENJEKSİYON'!$J:$J,MATCH(1,('[1]PROSES ENJEKSİYON'!$A:$A=$H$2)*('[1]PROSES ENJEKSİYON'!$F:$F=A46),0)),"")</f>
        <v>0</v>
      </c>
      <c r="J46" s="64" cm="1">
        <f t="array" ref="J46">IFERROR(INDEX('[1]PROSES ENJEKSİYON'!$K:$K,MATCH(1,('[1]PROSES ENJEKSİYON'!$A:$A=$H$2)*('[1]PROSES ENJEKSİYON'!$F:$F=A46),0)),"")</f>
        <v>0</v>
      </c>
      <c r="K46" s="44" cm="1">
        <f t="array" ref="K46">IFERROR(INDEX('[1]PROSES ENJEKSİYON'!$L:$L,MATCH(1,('[1]PROSES ENJEKSİYON'!$A:$A=$H$2)*('[1]PROSES ENJEKSİYON'!$F:$F=A46),0)),"")</f>
        <v>0</v>
      </c>
      <c r="L46" s="66" t="str" cm="1">
        <f t="array" ref="L46">IFERROR(INDEX('[1]PROSES ENJEKSİYON'!$G:$G,MATCH(1,('[1]PROSES ENJEKSİYON'!$A:$A=$L$2)*('[1]PROSES ENJEKSİYON'!$F:$F=A46),0)),"")</f>
        <v/>
      </c>
      <c r="M46" s="64" t="str" cm="1">
        <f t="array" ref="M46">IFERROR(INDEX('[1]PROSES ENJEKSİYON'!$J:$J,MATCH(1,('[1]PROSES ENJEKSİYON'!$A:$A=$L$2)*('[1]PROSES ENJEKSİYON'!$F:$F=A46),0)),"")</f>
        <v/>
      </c>
      <c r="N46" s="64" t="str" cm="1">
        <f t="array" ref="N46">IFERROR(INDEX('[1]PROSES ENJEKSİYON'!$K:$K,MATCH(1,('[1]PROSES ENJEKSİYON'!$A:$A=$L$2)*('[1]PROSES ENJEKSİYON'!$F:$F=A46),0)),"")</f>
        <v/>
      </c>
      <c r="O46" s="44" t="str" cm="1">
        <f t="array" ref="O46">IFERROR(INDEX('[1]PROSES ENJEKSİYON'!$L:$L,MATCH(1,('[1]PROSES ENJEKSİYON'!$A:$A=$L$2)*('[1]PROSES ENJEKSİYON'!$F:$F=A46),0)),"")</f>
        <v/>
      </c>
      <c r="P46" s="68" t="str" cm="1">
        <f t="array" ref="P46">IFERROR(INDEX('[1]PROSES ENJEKSİYON'!$G:$G,MATCH(1,('[1]PROSES ENJEKSİYON'!$A:$A=$P$2)*('[1]PROSES ENJEKSİYON'!$F:$F=A46),0)),"")</f>
        <v/>
      </c>
      <c r="Q46" s="64" t="str" cm="1">
        <f t="array" ref="Q46">IFERROR(INDEX('[1]PROSES ENJEKSİYON'!$J:$J,MATCH(1,('[1]PROSES ENJEKSİYON'!$A:$A=$P$2)*('[1]PROSES ENJEKSİYON'!$F:$F=A46),0)),"")</f>
        <v/>
      </c>
      <c r="R46" s="64" t="str" cm="1">
        <f t="array" ref="R46">IFERROR(INDEX('[1]PROSES ENJEKSİYON'!$K:$K,MATCH(1,('[1]PROSES ENJEKSİYON'!$A:$A=$P$2)*('[1]PROSES ENJEKSİYON'!$F:$F=A46),0)),"")</f>
        <v/>
      </c>
      <c r="S46" s="44" t="str" cm="1">
        <f t="array" ref="S46">IFERROR(INDEX('[1]PROSES ENJEKSİYON'!$L:$L,MATCH(1,('[1]PROSES ENJEKSİYON'!$A:$A=$P$2)*('[1]PROSES ENJEKSİYON'!$F:$F=A46),0)),"")</f>
        <v/>
      </c>
      <c r="T46" s="70" t="str" cm="1">
        <f t="array" ref="T46">IFERROR(INDEX('[1]PROSES ENJEKSİYON'!$G:$G,MATCH(1,('[1]PROSES ENJEKSİYON'!$A:$A=$T$2)*('[1]PROSES ENJEKSİYON'!$F:$F=A46),0)),"")</f>
        <v/>
      </c>
      <c r="U46" s="64" t="str" cm="1">
        <f t="array" ref="U46">IFERROR(INDEX('[1]PROSES ENJEKSİYON'!$J:$J,MATCH(1,('[1]PROSES ENJEKSİYON'!$A:$A=$T$2)*('[1]PROSES ENJEKSİYON'!$F:$F=A46),0)),"")</f>
        <v/>
      </c>
      <c r="V46" s="64" t="str" cm="1">
        <f t="array" ref="V46">IFERROR(INDEX('[1]PROSES ENJEKSİYON'!$K:$K,MATCH(1,('[1]PROSES ENJEKSİYON'!$A:$A=$T$2)*('[1]PROSES ENJEKSİYON'!$F:$F=A46),0)),"")</f>
        <v/>
      </c>
      <c r="W46" s="44" t="str" cm="1">
        <f t="array" ref="W46">IFERROR(INDEX('[1]PROSES ENJEKSİYON'!$L:$L,MATCH(1,('[1]PROSES ENJEKSİYON'!$A:$A=$T$2)*('[1]PROSES ENJEKSİYON'!$F:$F=A46),0)),"")</f>
        <v/>
      </c>
      <c r="X46" s="68" t="str" cm="1">
        <f t="array" ref="X46">IFERROR(INDEX('[1]PROSES ENJEKSİYON'!$G:$G,MATCH(1,('[1]PROSES ENJEKSİYON'!$A:$A=$X$2)*('[1]PROSES ENJEKSİYON'!$F:$F=A46),0)),"")</f>
        <v/>
      </c>
      <c r="Y46" s="64" t="str" cm="1">
        <f t="array" ref="Y46">IFERROR(INDEX('[1]PROSES ENJEKSİYON'!$J:$J,MATCH(1,('[1]PROSES ENJEKSİYON'!$A:$A=$X$2)*('[1]PROSES ENJEKSİYON'!$F:$F=A46),0)),"")</f>
        <v/>
      </c>
      <c r="Z46" s="64" t="str" cm="1">
        <f t="array" ref="Z46">IFERROR(INDEX('[1]PROSES ENJEKSİYON'!$K:$K,MATCH(1,('[1]PROSES ENJEKSİYON'!$A:$A=$X$2)*('[1]PROSES ENJEKSİYON'!$F:$F=A46),0)),"")</f>
        <v/>
      </c>
      <c r="AA46" s="44" t="str" cm="1">
        <f t="array" ref="AA46">IFERROR(INDEX('[1]PROSES ENJEKSİYON'!$L:$L,MATCH(1,('[1]PROSES ENJEKSİYON'!$A:$A=$X$2)*('[1]PROSES ENJEKSİYON'!$F:$F=A46),0)),"")</f>
        <v/>
      </c>
      <c r="AB46" s="34" t="str" cm="1">
        <f t="array" ref="AB46">IFERROR(INDEX('[1]PROSES ENJEKSİYON'!$G:$G,MATCH(1,('[1]PROSES ENJEKSİYON'!$A:$A=$AB$2)*('[1]PROSES ENJEKSİYON'!$F:$F=A46),0)),"")</f>
        <v/>
      </c>
      <c r="AC46" s="32" t="str" cm="1">
        <f t="array" ref="AC46">IFERROR(INDEX('[1]PROSES ENJEKSİYON'!$J:$J,MATCH(1,('[1]PROSES ENJEKSİYON'!$A:$A=$AB$2)*('[1]PROSES ENJEKSİYON'!$F:$F=M46),0)),"")</f>
        <v/>
      </c>
      <c r="AD46" s="32" t="str" cm="1">
        <f t="array" ref="AD46">IFERROR(INDEX('[1]PROSES ENJEKSİYON'!$K:$K,MATCH(1,('[1]PROSES ENJEKSİYON'!$A:$A=$AD$2)*('[1]PROSES ENJEKSİYON'!$F:$F=M46),0)),"")</f>
        <v/>
      </c>
      <c r="AE46" s="35" t="str" cm="1">
        <f t="array" ref="AE46">IFERROR(INDEX('[1]PROSES ENJEKSİYON'!$L:$L,MATCH(1,('[1]PROSES ENJEKSİYON'!$A:$A=$AB$2)*('[1]PROSES ENJEKSİYON'!$F:$F=A46),0)),"")</f>
        <v/>
      </c>
    </row>
    <row r="47" spans="1:31" ht="46.95" customHeight="1" thickBot="1" x14ac:dyDescent="0.45">
      <c r="A47" s="84">
        <v>502</v>
      </c>
      <c r="B47" s="85" t="str" cm="1">
        <f t="array" ref="B47">IFERROR(INDEX('[1]PROSES ENJEKSİYON'!$L:$L, MATCH(1,('[1]PROSES ENJEKSİYON'!$A:$A=$B$2)*('[1]PROSES ENJEKSİYON'!$F:$F=A47),0)), "")</f>
        <v/>
      </c>
      <c r="C47" s="85" t="str" cm="1">
        <f t="array" ref="C47">IFERROR(INDEX('[1]PROSES ENJEKSİYON'!$L:$L,MATCH(1,('[1]PROSES ENJEKSİYON'!$A:$A=$C$2)*('[1]PROSES ENJEKSİYON'!$F:$F=A47),0)),"")</f>
        <v/>
      </c>
      <c r="D47" s="85" t="str" cm="1">
        <f t="array" ref="D47">IFERROR(INDEX('[1]PROSES ENJEKSİYON'!$L:$L,MATCH(1,('[1]PROSES ENJEKSİYON'!$A:$A=$D$2)*('[1]PROSES ENJEKSİYON'!$F:$F=A47),0)),"")</f>
        <v/>
      </c>
      <c r="E47" s="85" t="str" cm="1">
        <f t="array" ref="E47">IFERROR(INDEX('[1]PROSES ENJEKSİYON'!$L:$L,MATCH(1,('[1]PROSES ENJEKSİYON'!$A:$A=$E$2)*('[1]PROSES ENJEKSİYON'!$F:$F=A47),0)),"")</f>
        <v/>
      </c>
      <c r="F47" s="85" t="str" cm="1">
        <f t="array" ref="F47">IFERROR(INDEX('[1]PROSES ENJEKSİYON'!$L:$L,MATCH(1,('[1]PROSES ENJEKSİYON'!$A:$A=$F$2)*('[1]PROSES ENJEKSİYON'!$F:$F=A47),0)),"")</f>
        <v/>
      </c>
      <c r="G47" s="85" t="str" cm="1">
        <f t="array" ref="G47">IFERROR(INDEX('[1]PROSES ENJEKSİYON'!$L:$L,MATCH(1,('[1]PROSES ENJEKSİYON'!$A:$A=$G$2)*('[1]PROSES ENJEKSİYON'!$F:$F=A47),0)),"")</f>
        <v/>
      </c>
      <c r="H47" s="55" t="str" cm="1">
        <f t="array" ref="H47">IFERROR(INDEX('[1]PROSES ENJEKSİYON'!$G:$G,MATCH(1,('[1]PROSES ENJEKSİYON'!$A:$A=$H$2)*('[1]PROSES ENJEKSİYON'!$F:$F=A47),0)),"")</f>
        <v>EBM0006-01 265ML OPAK BEYAZ 38MM YIVLI 30GR</v>
      </c>
      <c r="I47" s="43" cm="1">
        <f t="array" ref="I47">IFERROR(INDEX('[1]PROSES ENJEKSİYON'!$J:$J,MATCH(1,('[1]PROSES ENJEKSİYON'!$A:$A=$H$2)*('[1]PROSES ENJEKSİYON'!$F:$F=A47),0)),"")</f>
        <v>0</v>
      </c>
      <c r="J47" s="43" cm="1">
        <f t="array" ref="J47">IFERROR(INDEX('[1]PROSES ENJEKSİYON'!$K:$K,MATCH(1,('[1]PROSES ENJEKSİYON'!$A:$A=$H$2)*('[1]PROSES ENJEKSİYON'!$F:$F=A47),0)),"")</f>
        <v>0</v>
      </c>
      <c r="K47" s="45" cm="1">
        <f t="array" ref="K47">IFERROR(INDEX('[1]PROSES ENJEKSİYON'!$L:$L,MATCH(1,('[1]PROSES ENJEKSİYON'!$A:$A=$H$2)*('[1]PROSES ENJEKSİYON'!$F:$F=A47),0)),"")</f>
        <v>0</v>
      </c>
      <c r="L47" s="72" t="str" cm="1">
        <f t="array" ref="L47">IFERROR(INDEX('[1]PROSES ENJEKSİYON'!$G:$G,MATCH(1,('[1]PROSES ENJEKSİYON'!$A:$A=$L$2)*('[1]PROSES ENJEKSİYON'!$F:$F=A47),0)),"")</f>
        <v/>
      </c>
      <c r="M47" s="43" t="str" cm="1">
        <f t="array" ref="M47">IFERROR(INDEX('[1]PROSES ENJEKSİYON'!$J:$J,MATCH(1,('[1]PROSES ENJEKSİYON'!$A:$A=$L$2)*('[1]PROSES ENJEKSİYON'!$F:$F=A47),0)),"")</f>
        <v/>
      </c>
      <c r="N47" s="43" t="str" cm="1">
        <f t="array" ref="N47">IFERROR(INDEX('[1]PROSES ENJEKSİYON'!$K:$K,MATCH(1,('[1]PROSES ENJEKSİYON'!$A:$A=$L$2)*('[1]PROSES ENJEKSİYON'!$F:$F=A47),0)),"")</f>
        <v/>
      </c>
      <c r="O47" s="45" t="str" cm="1">
        <f t="array" ref="O47">IFERROR(INDEX('[1]PROSES ENJEKSİYON'!$L:$L,MATCH(1,('[1]PROSES ENJEKSİYON'!$A:$A=$L$2)*('[1]PROSES ENJEKSİYON'!$F:$F=A47),0)),"")</f>
        <v/>
      </c>
      <c r="P47" s="69" t="str" cm="1">
        <f t="array" ref="P47">IFERROR(INDEX('[1]PROSES ENJEKSİYON'!$G:$G,MATCH(1,('[1]PROSES ENJEKSİYON'!$A:$A=$P$2)*('[1]PROSES ENJEKSİYON'!$F:$F=A47),0)),"")</f>
        <v/>
      </c>
      <c r="Q47" s="43" t="str" cm="1">
        <f t="array" ref="Q47">IFERROR(INDEX('[1]PROSES ENJEKSİYON'!$J:$J,MATCH(1,('[1]PROSES ENJEKSİYON'!$A:$A=$P$2)*('[1]PROSES ENJEKSİYON'!$F:$F=A47),0)),"")</f>
        <v/>
      </c>
      <c r="R47" s="43" t="str" cm="1">
        <f t="array" ref="R47">IFERROR(INDEX('[1]PROSES ENJEKSİYON'!$K:$K,MATCH(1,('[1]PROSES ENJEKSİYON'!$A:$A=$P$2)*('[1]PROSES ENJEKSİYON'!$F:$F=A47),0)),"")</f>
        <v/>
      </c>
      <c r="S47" s="45" t="str" cm="1">
        <f t="array" ref="S47">IFERROR(INDEX('[1]PROSES ENJEKSİYON'!$L:$L,MATCH(1,('[1]PROSES ENJEKSİYON'!$A:$A=$P$2)*('[1]PROSES ENJEKSİYON'!$F:$F=A47),0)),"")</f>
        <v/>
      </c>
      <c r="T47" s="94" t="str" cm="1">
        <f t="array" ref="T47">IFERROR(INDEX('[1]PROSES ENJEKSİYON'!$G:$G,MATCH(1,('[1]PROSES ENJEKSİYON'!$A:$A=$T$2)*('[1]PROSES ENJEKSİYON'!$F:$F=A47),0)),"")</f>
        <v/>
      </c>
      <c r="U47" s="43" t="str" cm="1">
        <f t="array" ref="U47">IFERROR(INDEX('[1]PROSES ENJEKSİYON'!$J:$J,MATCH(1,('[1]PROSES ENJEKSİYON'!$A:$A=$T$2)*('[1]PROSES ENJEKSİYON'!$F:$F=A47),0)),"")</f>
        <v/>
      </c>
      <c r="V47" s="43" t="str" cm="1">
        <f t="array" ref="V47">IFERROR(INDEX('[1]PROSES ENJEKSİYON'!$K:$K,MATCH(1,('[1]PROSES ENJEKSİYON'!$A:$A=$T$2)*('[1]PROSES ENJEKSİYON'!$F:$F=A47),0)),"")</f>
        <v/>
      </c>
      <c r="W47" s="45" t="str" cm="1">
        <f t="array" ref="W47">IFERROR(INDEX('[1]PROSES ENJEKSİYON'!$L:$L,MATCH(1,('[1]PROSES ENJEKSİYON'!$A:$A=$T$2)*('[1]PROSES ENJEKSİYON'!$F:$F=A47),0)),"")</f>
        <v/>
      </c>
      <c r="X47" s="69" t="str" cm="1">
        <f t="array" ref="X47">IFERROR(INDEX('[1]PROSES ENJEKSİYON'!$G:$G,MATCH(1,('[1]PROSES ENJEKSİYON'!$A:$A=$X$2)*('[1]PROSES ENJEKSİYON'!$F:$F=A47),0)),"")</f>
        <v/>
      </c>
      <c r="Y47" s="43" t="str" cm="1">
        <f t="array" ref="Y47">IFERROR(INDEX('[1]PROSES ENJEKSİYON'!$J:$J,MATCH(1,('[1]PROSES ENJEKSİYON'!$A:$A=$X$2)*('[1]PROSES ENJEKSİYON'!$F:$F=A47),0)),"")</f>
        <v/>
      </c>
      <c r="Z47" s="43" t="str" cm="1">
        <f t="array" ref="Z47">IFERROR(INDEX('[1]PROSES ENJEKSİYON'!$K:$K,MATCH(1,('[1]PROSES ENJEKSİYON'!$A:$A=$X$2)*('[1]PROSES ENJEKSİYON'!$F:$F=A47),0)),"")</f>
        <v/>
      </c>
      <c r="AA47" s="45" t="str" cm="1">
        <f t="array" ref="AA47">IFERROR(INDEX('[1]PROSES ENJEKSİYON'!$L:$L,MATCH(1,('[1]PROSES ENJEKSİYON'!$A:$A=$X$2)*('[1]PROSES ENJEKSİYON'!$F:$F=A47),0)),"")</f>
        <v/>
      </c>
      <c r="AB47" s="36" t="str" cm="1">
        <f t="array" ref="AB47">IFERROR(INDEX('[1]PROSES ENJEKSİYON'!$G:$G,MATCH(1,('[1]PROSES ENJEKSİYON'!$A:$A=$AB$2)*('[1]PROSES ENJEKSİYON'!$F:$F=A47),0)),"")</f>
        <v/>
      </c>
      <c r="AC47" s="42" t="str" cm="1">
        <f t="array" ref="AC47">IFERROR(INDEX('[1]PROSES ENJEKSİYON'!$J:$J,MATCH(1,('[1]PROSES ENJEKSİYON'!$A:$A=$AB$2)*('[1]PROSES ENJEKSİYON'!$F:$F=M47),0)),"")</f>
        <v/>
      </c>
      <c r="AD47" s="42" t="str" cm="1">
        <f t="array" ref="AD47">IFERROR(INDEX('[1]PROSES ENJEKSİYON'!$K:$K,MATCH(1,('[1]PROSES ENJEKSİYON'!$A:$A=$AD$2)*('[1]PROSES ENJEKSİYON'!$F:$F=M47),0)),"")</f>
        <v/>
      </c>
      <c r="AE47" s="37" t="str" cm="1">
        <f t="array" ref="AE47">IFERROR(INDEX('[1]PROSES ENJEKSİYON'!$L:$L,MATCH(1,('[1]PROSES ENJEKSİYON'!$A:$A=$AB$2)*('[1]PROSES ENJEKSİYON'!$F:$F=A47),0)),"")</f>
        <v/>
      </c>
    </row>
    <row r="48" spans="1:31" ht="46.95" customHeight="1" x14ac:dyDescent="0.3">
      <c r="A48" s="73"/>
      <c r="H48" s="74"/>
      <c r="I48" s="64"/>
      <c r="J48" s="64"/>
      <c r="K48" s="75"/>
      <c r="L48" s="66"/>
      <c r="M48" s="64"/>
      <c r="N48" s="64"/>
      <c r="O48" s="75"/>
      <c r="P48" s="32"/>
      <c r="Q48" s="64"/>
      <c r="R48" s="64"/>
      <c r="S48" s="75"/>
      <c r="T48" s="65"/>
      <c r="U48" s="64"/>
      <c r="V48" s="64"/>
      <c r="W48" s="75"/>
      <c r="X48" s="66"/>
      <c r="Y48" s="64"/>
      <c r="Z48" s="64"/>
      <c r="AA48" s="75"/>
      <c r="AB48" s="32"/>
      <c r="AC48" s="32"/>
      <c r="AD48" s="32"/>
      <c r="AE48" s="31"/>
    </row>
    <row r="49" spans="1:31" ht="24" customHeight="1" thickBot="1" x14ac:dyDescent="0.35">
      <c r="H49" s="111" t="s">
        <v>1914</v>
      </c>
      <c r="I49" s="111"/>
      <c r="J49" s="111"/>
      <c r="K49" s="111"/>
      <c r="L49" s="111" t="s">
        <v>1915</v>
      </c>
      <c r="M49" s="111"/>
      <c r="N49" s="111"/>
      <c r="O49" s="111"/>
      <c r="P49" s="111" t="s">
        <v>1916</v>
      </c>
      <c r="Q49" s="111"/>
      <c r="R49" s="111"/>
      <c r="S49" s="111"/>
      <c r="T49" s="111" t="s">
        <v>1917</v>
      </c>
      <c r="U49" s="111"/>
      <c r="V49" s="111"/>
      <c r="W49" s="111"/>
      <c r="X49" s="111" t="s">
        <v>1918</v>
      </c>
      <c r="Y49" s="111"/>
      <c r="Z49" s="111"/>
      <c r="AA49" s="111"/>
      <c r="AB49" s="111" t="s">
        <v>1961</v>
      </c>
      <c r="AC49" s="111"/>
      <c r="AD49" s="111"/>
      <c r="AE49" s="111"/>
    </row>
    <row r="50" spans="1:31" ht="59.4" customHeight="1" thickBot="1" x14ac:dyDescent="0.35">
      <c r="A50" s="47" t="s">
        <v>3</v>
      </c>
      <c r="B50" s="5">
        <v>45936</v>
      </c>
      <c r="C50" s="5">
        <v>45937</v>
      </c>
      <c r="D50" s="5">
        <v>45938</v>
      </c>
      <c r="E50" s="5">
        <v>45939</v>
      </c>
      <c r="F50" s="5">
        <v>45940</v>
      </c>
      <c r="G50" s="33">
        <v>45941</v>
      </c>
      <c r="H50" s="48">
        <v>46020</v>
      </c>
      <c r="I50" s="49" t="s">
        <v>42</v>
      </c>
      <c r="J50" s="49" t="s">
        <v>43</v>
      </c>
      <c r="K50" s="50" t="s">
        <v>41</v>
      </c>
      <c r="L50" s="48">
        <v>46007</v>
      </c>
      <c r="M50" s="49" t="s">
        <v>42</v>
      </c>
      <c r="N50" s="49" t="s">
        <v>43</v>
      </c>
      <c r="O50" s="50" t="s">
        <v>41</v>
      </c>
      <c r="P50" s="48">
        <v>46008</v>
      </c>
      <c r="Q50" s="49" t="s">
        <v>42</v>
      </c>
      <c r="R50" s="49" t="s">
        <v>43</v>
      </c>
      <c r="S50" s="50" t="s">
        <v>41</v>
      </c>
      <c r="T50" s="48">
        <v>46009</v>
      </c>
      <c r="U50" s="49" t="s">
        <v>42</v>
      </c>
      <c r="V50" s="49" t="s">
        <v>43</v>
      </c>
      <c r="W50" s="50" t="s">
        <v>41</v>
      </c>
      <c r="X50" s="48">
        <v>46010</v>
      </c>
      <c r="Y50" s="49" t="s">
        <v>42</v>
      </c>
      <c r="Z50" s="49" t="s">
        <v>43</v>
      </c>
      <c r="AA50" s="50" t="s">
        <v>41</v>
      </c>
      <c r="AB50" s="48">
        <v>46011</v>
      </c>
      <c r="AC50" s="49" t="s">
        <v>42</v>
      </c>
      <c r="AD50" s="49" t="s">
        <v>43</v>
      </c>
      <c r="AE50" s="51" t="s">
        <v>41</v>
      </c>
    </row>
    <row r="51" spans="1:31" ht="46.95" customHeight="1" thickBot="1" x14ac:dyDescent="0.45">
      <c r="A51" s="46">
        <v>101</v>
      </c>
      <c r="B51" s="86"/>
      <c r="C51" s="86"/>
      <c r="D51" s="86"/>
      <c r="E51" s="86"/>
      <c r="F51" s="86"/>
      <c r="G51" s="86"/>
      <c r="H51" s="92" t="str" cm="1">
        <f t="array" ref="H51">IFERROR(INDEX('[1]PROSES ENJEKSİYON'!$G:$G,MATCH(1,('[1]PROSES ENJEKSİYON'!$A:$A=$H$2)*('[1]PROSES ENJEKSİYON'!$F:$F=A51),0)),"")</f>
        <v>PET0238-03 450ML SEFFAF UV 28MM CAKMA 33GR</v>
      </c>
      <c r="I51" s="93" cm="1">
        <f t="array" ref="I51">IFERROR(INDEX('[1]PROSES ENJEKSİYON'!$J:$J,MATCH(1,('[1]PROSES ENJEKSİYON'!$A:$A=$H$2)*('[1]PROSES ENJEKSİYON'!$F:$F=A51),0)),"")</f>
        <v>4</v>
      </c>
      <c r="J51" s="93" cm="1">
        <f t="array" ref="J51">IFERROR(INDEX('[1]PROSES ENJEKSİYON'!$K:$K,MATCH(1,('[1]PROSES ENJEKSİYON'!$A:$A=$H$2)*('[1]PROSES ENJEKSİYON'!$F:$F=A51),0)),"")</f>
        <v>4</v>
      </c>
      <c r="K51" s="95" cm="1">
        <f t="array" ref="K51">IFERROR(INDEX('[1]PROSES ENJEKSİYON'!$L:$L,MATCH(1,('[1]PROSES ENJEKSİYON'!$A:$A=$H$2)*('[1]PROSES ENJEKSİYON'!$F:$F=A51),0)),"")</f>
        <v>17.96</v>
      </c>
      <c r="L51" s="92" t="str" cm="1">
        <f t="array" ref="L51">IFERROR(INDEX('[1]PROSES ENJEKSİYON'!$G:$G,MATCH(1,('[1]PROSES ENJEKSİYON'!$A:$A=$H$2)*('[1]PROSES ENJEKSİYON'!$F:$F=E51),0)),"")</f>
        <v/>
      </c>
      <c r="M51" s="93" t="str" cm="1">
        <f t="array" ref="M51">IFERROR(INDEX('[1]PROSES ENJEKSİYON'!$J:$J,MATCH(1,('[1]PROSES ENJEKSİYON'!$A:$A=$H$2)*('[1]PROSES ENJEKSİYON'!$F:$F=E51),0)),"")</f>
        <v/>
      </c>
      <c r="N51" s="93" t="str" cm="1">
        <f t="array" ref="N51">IFERROR(INDEX('[1]PROSES ENJEKSİYON'!$K:$K,MATCH(1,('[1]PROSES ENJEKSİYON'!$A:$A=$H$2)*('[1]PROSES ENJEKSİYON'!$F:$F=E51),0)),"")</f>
        <v/>
      </c>
      <c r="O51" s="95" t="str" cm="1">
        <f t="array" ref="O51">IFERROR(INDEX('[1]PROSES ENJEKSİYON'!$L:$L,MATCH(1,('[1]PROSES ENJEKSİYON'!$A:$A=$H$2)*('[1]PROSES ENJEKSİYON'!$F:$F=E51),0)),"")</f>
        <v/>
      </c>
      <c r="P51" s="92" t="str" cm="1">
        <f t="array" ref="P51">IFERROR(INDEX('[1]PROSES ENJEKSİYON'!$G:$G,MATCH(1,('[1]PROSES ENJEKSİYON'!$A:$A=$P$2)*('[1]PROSES ENJEKSİYON'!$F:$F=A51),0)),"")</f>
        <v/>
      </c>
      <c r="Q51" s="93" t="str" cm="1">
        <f t="array" ref="Q51">IFERROR(INDEX('[1]PROSES ENJEKSİYON'!$J:$J,MATCH(1,('[1]PROSES ENJEKSİYON'!$A:$A=$P$2)*('[1]PROSES ENJEKSİYON'!$F:$F=A51),0)),"")</f>
        <v/>
      </c>
      <c r="R51" s="93" t="str" cm="1">
        <f t="array" ref="R51">IFERROR(INDEX('[1]PROSES ENJEKSİYON'!$K:$K,MATCH(1,('[1]PROSES ENJEKSİYON'!$A:$A=$P$2)*('[1]PROSES ENJEKSİYON'!$F:$F=A51),0)),"")</f>
        <v/>
      </c>
      <c r="S51" s="96" t="str" cm="1">
        <f t="array" ref="S51">IFERROR(INDEX('[1]PROSES ENJEKSİYON'!$L:$L,MATCH(1,('[1]PROSES ENJEKSİYON'!$A:$A=$P$2)*('[1]PROSES ENJEKSİYON'!$F:$F=A51),0)),"")</f>
        <v/>
      </c>
      <c r="T51" s="92" t="str" cm="1">
        <f t="array" ref="T51">IFERROR(INDEX('[1]PROSES ENJEKSİYON'!$G:$G,MATCH(1,('[1]PROSES ENJEKSİYON'!$A:$A=$T$2)*('[1]PROSES ENJEKSİYON'!$F:$F=A51),0)),"")</f>
        <v>PET0003-01 500ML SEFFAF SEFFAF 28MM YIVLI 29GR</v>
      </c>
      <c r="U51" s="98" cm="1">
        <f t="array" ref="U51">IFERROR(INDEX('[1]PROSES ENJEKSİYON'!$J:$J,MATCH(1,('[1]PROSES ENJEKSİYON'!$A:$A=$T$2)*('[1]PROSES ENJEKSİYON'!$F:$F=A51),0)),"")</f>
        <v>4</v>
      </c>
      <c r="V51" s="98" cm="1">
        <f t="array" ref="V51">IFERROR(INDEX('[1]PROSES ENJEKSİYON'!$K:$K,MATCH(1,('[1]PROSES ENJEKSİYON'!$A:$A=$T$2)*('[1]PROSES ENJEKSİYON'!$F:$F=A51),0)),"")</f>
        <v>4</v>
      </c>
      <c r="W51" s="91" cm="1">
        <f t="array" ref="W51">IFERROR(INDEX('[1]PROSES ENJEKSİYON'!$L:$L,MATCH(1,('[1]PROSES ENJEKSİYON'!$A:$A=$T$2)*('[1]PROSES ENJEKSİYON'!$F:$F=A51),0)),"")</f>
        <v>13.2</v>
      </c>
      <c r="X51" s="92" t="str" cm="1">
        <f t="array" ref="X51">IFERROR(INDEX('[1]PROSES ENJEKSİYON'!$G:$G,MATCH(1,('[1]PROSES ENJEKSİYON'!$A:$A=$X$2)*('[1]PROSES ENJEKSİYON'!$F:$F=A51),0)),"")</f>
        <v/>
      </c>
      <c r="Y51" s="93" t="str" cm="1">
        <f t="array" ref="Y51">IFERROR(INDEX('[1]PROSES ENJEKSİYON'!$J:$J,MATCH(1,('[1]PROSES ENJEKSİYON'!$A:$A=$X$2)*('[1]PROSES ENJEKSİYON'!$F:$F=A51),0)),"")</f>
        <v/>
      </c>
      <c r="Z51" s="93" t="str" cm="1">
        <f t="array" ref="Z51">IFERROR(INDEX('[1]PROSES ENJEKSİYON'!$K:$K,MATCH(1,('[1]PROSES ENJEKSİYON'!$A:$A=$X$2)*('[1]PROSES ENJEKSİYON'!$F:$F=A51),0)),"")</f>
        <v/>
      </c>
      <c r="AA51" s="97" t="str" cm="1">
        <f t="array" ref="AA51">IFERROR(INDEX('[1]PROSES ENJEKSİYON'!$L:$L,MATCH(1,('[1]PROSES ENJEKSİYON'!$A:$A=$X$2)*('[1]PROSES ENJEKSİYON'!$F:$F=A51),0)),"")</f>
        <v/>
      </c>
      <c r="AB51" s="70" t="str" cm="1">
        <f t="array" ref="AB51">IFERROR(INDEX('[1]PROSES ENJEKSİYON'!$G:$G,MATCH(1,('[1]PROSES ENJEKSİYON'!$A:$A=$H$2)*('[1]PROSES ENJEKSİYON'!$F:$F=U51),0)),"")</f>
        <v/>
      </c>
      <c r="AC51" s="64" t="str" cm="1">
        <f t="array" ref="AC51">IFERROR(INDEX('[1]PROSES ENJEKSİYON'!$J:$J,MATCH(1,('[1]PROSES ENJEKSİYON'!$A:$A=$H$2)*('[1]PROSES ENJEKSİYON'!$F:$F=U51),0)),"")</f>
        <v/>
      </c>
      <c r="AD51" s="64" t="str" cm="1">
        <f t="array" ref="AD51">IFERROR(INDEX('[1]PROSES ENJEKSİYON'!$K:$K,MATCH(1,('[1]PROSES ENJEKSİYON'!$A:$A=$H$2)*('[1]PROSES ENJEKSİYON'!$F:$F=U51),0)),"")</f>
        <v/>
      </c>
      <c r="AE51" s="44" t="str" cm="1">
        <f t="array" ref="AE51">IFERROR(INDEX('[1]PROSES ENJEKSİYON'!$L:$L,MATCH(1,('[1]PROSES ENJEKSİYON'!$A:$A=$H$2)*('[1]PROSES ENJEKSİYON'!$F:$F=U51),0)),"")</f>
        <v/>
      </c>
    </row>
    <row r="52" spans="1:31" ht="46.95" customHeight="1" thickBot="1" x14ac:dyDescent="0.45">
      <c r="A52" s="46">
        <v>102</v>
      </c>
      <c r="B52" s="86"/>
      <c r="C52" s="86"/>
      <c r="D52" s="86"/>
      <c r="E52" s="86"/>
      <c r="F52" s="86"/>
      <c r="G52" s="86"/>
      <c r="H52" s="92" t="str" cm="1">
        <f t="array" ref="H52">IFERROR(INDEX('[1]PROSES ENJEKSİYON'!$G:$G,MATCH(1,('[1]PROSES ENJEKSİYON'!$A:$A=$H$2)*('[1]PROSES ENJEKSİYON'!$F:$F=A52),0)),"")</f>
        <v>PET0011-03 150ML SEFFAF SEFFAF 24MM YIVLI 20GR</v>
      </c>
      <c r="I52" s="93" cm="1">
        <f t="array" ref="I52">IFERROR(INDEX('[1]PROSES ENJEKSİYON'!$J:$J,MATCH(1,('[1]PROSES ENJEKSİYON'!$A:$A=$H$2)*('[1]PROSES ENJEKSİYON'!$F:$F=A52),0)),"")</f>
        <v>9</v>
      </c>
      <c r="J52" s="93" cm="1">
        <f t="array" ref="J52">IFERROR(INDEX('[1]PROSES ENJEKSİYON'!$K:$K,MATCH(1,('[1]PROSES ENJEKSİYON'!$A:$A=$H$2)*('[1]PROSES ENJEKSİYON'!$F:$F=A52),0)),"")</f>
        <v>8</v>
      </c>
      <c r="K52" s="96" cm="1">
        <f t="array" ref="K52">IFERROR(INDEX('[1]PROSES ENJEKSİYON'!$L:$L,MATCH(1,('[1]PROSES ENJEKSİYON'!$A:$A=$H$2)*('[1]PROSES ENJEKSİYON'!$F:$F=A52),0)),"")</f>
        <v>12.2</v>
      </c>
      <c r="L52" s="99" t="str" cm="1">
        <f t="array" ref="L52">IFERROR(INDEX('[1]PROSES ENJEKSİYON'!$G:$G,MATCH(1,('[1]PROSES ENJEKSİYON'!$A:$A=$L$2)*('[1]PROSES ENJEKSİYON'!$F:$F=A52),0)),"")</f>
        <v/>
      </c>
      <c r="M52" s="93" t="str" cm="1">
        <f t="array" ref="M52">IFERROR(INDEX('[1]PROSES ENJEKSİYON'!$J:$J,MATCH(1,('[1]PROSES ENJEKSİYON'!$A:$A=$L$2)*('[1]PROSES ENJEKSİYON'!$F:$F=A52),0)),"")</f>
        <v/>
      </c>
      <c r="N52" s="93" t="str" cm="1">
        <f t="array" ref="N52">IFERROR(INDEX('[1]PROSES ENJEKSİYON'!$K:$K,MATCH(1,('[1]PROSES ENJEKSİYON'!$A:$A=$L$2)*('[1]PROSES ENJEKSİYON'!$F:$F=A52),0)),"")</f>
        <v/>
      </c>
      <c r="O52" s="96" t="str" cm="1">
        <f t="array" ref="O52">IFERROR(INDEX('[1]PROSES ENJEKSİYON'!$L:$L,MATCH(1,('[1]PROSES ENJEKSİYON'!$A:$A=$L$2)*('[1]PROSES ENJEKSİYON'!$F:$F=A52),0)),"")</f>
        <v/>
      </c>
      <c r="P52" s="92" t="str" cm="1">
        <f t="array" ref="P52">IFERROR(INDEX('[1]PROSES ENJEKSİYON'!$G:$G,MATCH(1,('[1]PROSES ENJEKSİYON'!$A:$A=$P$2)*('[1]PROSES ENJEKSİYON'!$F:$F=A52),0)),"")</f>
        <v/>
      </c>
      <c r="Q52" s="93" t="str" cm="1">
        <f t="array" ref="Q52">IFERROR(INDEX('[1]PROSES ENJEKSİYON'!$J:$J,MATCH(1,('[1]PROSES ENJEKSİYON'!$A:$A=$P$2)*('[1]PROSES ENJEKSİYON'!$F:$F=A52),0)),"")</f>
        <v/>
      </c>
      <c r="R52" s="93" t="str" cm="1">
        <f t="array" ref="R52">IFERROR(INDEX('[1]PROSES ENJEKSİYON'!$K:$K,MATCH(1,('[1]PROSES ENJEKSİYON'!$A:$A=$P$2)*('[1]PROSES ENJEKSİYON'!$F:$F=A52),0)),"")</f>
        <v/>
      </c>
      <c r="S52" s="96" t="str" cm="1">
        <f t="array" ref="S52">IFERROR(INDEX('[1]PROSES ENJEKSİYON'!$L:$L,MATCH(1,('[1]PROSES ENJEKSİYON'!$A:$A=$P$2)*('[1]PROSES ENJEKSİYON'!$F:$F=A52),0)),"")</f>
        <v/>
      </c>
      <c r="T52" s="92" t="str" cm="1">
        <f t="array" ref="T52">IFERROR(INDEX('[1]PROSES ENJEKSİYON'!$G:$G,MATCH(1,('[1]PROSES ENJEKSİYON'!$A:$A=$T$2)*('[1]PROSES ENJEKSİYON'!$F:$F=A52),0)),"")</f>
        <v/>
      </c>
      <c r="U52" s="98" t="str" cm="1">
        <f t="array" ref="U52">IFERROR(INDEX('[1]PROSES ENJEKSİYON'!$J:$J,MATCH(1,('[1]PROSES ENJEKSİYON'!$A:$A=$T$2)*('[1]PROSES ENJEKSİYON'!$F:$F=A52),0)),"")</f>
        <v/>
      </c>
      <c r="V52" s="98" t="str" cm="1">
        <f t="array" ref="V52">IFERROR(INDEX('[1]PROSES ENJEKSİYON'!$K:$K,MATCH(1,('[1]PROSES ENJEKSİYON'!$A:$A=$T$2)*('[1]PROSES ENJEKSİYON'!$F:$F=A52),0)),"")</f>
        <v/>
      </c>
      <c r="W52" s="91" t="str" cm="1">
        <f t="array" ref="W52">IFERROR(INDEX('[1]PROSES ENJEKSİYON'!$L:$L,MATCH(1,('[1]PROSES ENJEKSİYON'!$A:$A=$T$2)*('[1]PROSES ENJEKSİYON'!$F:$F=A52),0)),"")</f>
        <v/>
      </c>
      <c r="X52" s="92" t="str" cm="1">
        <f t="array" ref="X52">IFERROR(INDEX('[1]PROSES ENJEKSİYON'!$G:$G,MATCH(1,('[1]PROSES ENJEKSİYON'!$A:$A=$X$2)*('[1]PROSES ENJEKSİYON'!$F:$F=A52),0)),"")</f>
        <v/>
      </c>
      <c r="Y52" s="93" t="str" cm="1">
        <f t="array" ref="Y52">IFERROR(INDEX('[1]PROSES ENJEKSİYON'!$J:$J,MATCH(1,('[1]PROSES ENJEKSİYON'!$A:$A=$X$2)*('[1]PROSES ENJEKSİYON'!$F:$F=A52),0)),"")</f>
        <v/>
      </c>
      <c r="Z52" s="93" t="str" cm="1">
        <f t="array" ref="Z52">IFERROR(INDEX('[1]PROSES ENJEKSİYON'!$K:$K,MATCH(1,('[1]PROSES ENJEKSİYON'!$A:$A=$X$2)*('[1]PROSES ENJEKSİYON'!$F:$F=A52),0)),"")</f>
        <v/>
      </c>
      <c r="AA52" s="97" t="str" cm="1">
        <f t="array" ref="AA52">IFERROR(INDEX('[1]PROSES ENJEKSİYON'!$L:$L,MATCH(1,('[1]PROSES ENJEKSİYON'!$A:$A=$X$2)*('[1]PROSES ENJEKSİYON'!$F:$F=A52),0)),"")</f>
        <v/>
      </c>
      <c r="AB52" s="70" t="str" cm="1">
        <f t="array" ref="AB52">IFERROR(INDEX('[1]PROSES ENJEKSİYON'!$G:$G,MATCH(1,('[1]PROSES ENJEKSİYON'!$A:$A=$H$2)*('[1]PROSES ENJEKSİYON'!$F:$F=U52),0)),"")</f>
        <v/>
      </c>
      <c r="AC52" s="64" t="str" cm="1">
        <f t="array" ref="AC52">IFERROR(INDEX('[1]PROSES ENJEKSİYON'!$J:$J,MATCH(1,('[1]PROSES ENJEKSİYON'!$A:$A=$H$2)*('[1]PROSES ENJEKSİYON'!$F:$F=U52),0)),"")</f>
        <v/>
      </c>
      <c r="AD52" s="64" t="str" cm="1">
        <f t="array" ref="AD52">IFERROR(INDEX('[1]PROSES ENJEKSİYON'!$K:$K,MATCH(1,('[1]PROSES ENJEKSİYON'!$A:$A=$H$2)*('[1]PROSES ENJEKSİYON'!$F:$F=U52),0)),"")</f>
        <v/>
      </c>
      <c r="AE52" s="44" t="str" cm="1">
        <f t="array" ref="AE52">IFERROR(INDEX('[1]PROSES ENJEKSİYON'!$L:$L,MATCH(1,('[1]PROSES ENJEKSİYON'!$A:$A=$H$2)*('[1]PROSES ENJEKSİYON'!$F:$F=U52),0)),"")</f>
        <v/>
      </c>
    </row>
    <row r="53" spans="1:31" ht="46.95" customHeight="1" thickBot="1" x14ac:dyDescent="0.45">
      <c r="A53" s="46">
        <v>103</v>
      </c>
      <c r="H53" s="99" t="str" cm="1">
        <f t="array" ref="H53">IFERROR(INDEX('[1]PROSES ENJEKSİYON'!$G:$G,MATCH(1,('[1]PROSES ENJEKSİYON'!$A:$A=$H$2)*('[1]PROSES ENJEKSİYON'!$F:$F=A53),0)),"")</f>
        <v>PET0005-01 700ML SEFFAF SARI 28MM YIVLI 40GR</v>
      </c>
      <c r="I53" s="93" cm="1">
        <f t="array" ref="I53">IFERROR(INDEX('[1]PROSES ENJEKSİYON'!$J:$J,MATCH(1,('[1]PROSES ENJEKSİYON'!$A:$A=$H$2)*('[1]PROSES ENJEKSİYON'!$F:$F=A53),0)),"")</f>
        <v>5</v>
      </c>
      <c r="J53" s="93" cm="1">
        <f t="array" ref="J53">IFERROR(INDEX('[1]PROSES ENJEKSİYON'!$K:$K,MATCH(1,('[1]PROSES ENJEKSİYON'!$A:$A=$H$2)*('[1]PROSES ENJEKSİYON'!$F:$F=A53),0)),"")</f>
        <v>5</v>
      </c>
      <c r="K53" s="96" cm="1">
        <f t="array" ref="K53">IFERROR(INDEX('[1]PROSES ENJEKSİYON'!$L:$L,MATCH(1,('[1]PROSES ENJEKSİYON'!$A:$A=$H$2)*('[1]PROSES ENJEKSİYON'!$F:$F=A53),0)),"")</f>
        <v>15.59</v>
      </c>
      <c r="L53" s="99" t="str" cm="1">
        <f t="array" ref="L53">IFERROR(INDEX('[1]PROSES ENJEKSİYON'!$G:$G,MATCH(1,('[1]PROSES ENJEKSİYON'!$A:$A=$L$2)*('[1]PROSES ENJEKSİYON'!$F:$F=A53),0)),"")</f>
        <v/>
      </c>
      <c r="M53" s="93" t="str" cm="1">
        <f t="array" ref="M53">IFERROR(INDEX('[1]PROSES ENJEKSİYON'!$J:$J,MATCH(1,('[1]PROSES ENJEKSİYON'!$A:$A=$L$2)*('[1]PROSES ENJEKSİYON'!$F:$F=A53),0)),"")</f>
        <v/>
      </c>
      <c r="N53" s="93" t="str" cm="1">
        <f t="array" ref="N53">IFERROR(INDEX('[1]PROSES ENJEKSİYON'!$K:$K,MATCH(1,('[1]PROSES ENJEKSİYON'!$A:$A=$L$2)*('[1]PROSES ENJEKSİYON'!$F:$F=A53),0)),"")</f>
        <v/>
      </c>
      <c r="O53" s="96" t="str" cm="1">
        <f t="array" ref="O53">IFERROR(INDEX('[1]PROSES ENJEKSİYON'!$L:$L,MATCH(1,('[1]PROSES ENJEKSİYON'!$A:$A=$L$2)*('[1]PROSES ENJEKSİYON'!$F:$F=A53),0)),"")</f>
        <v/>
      </c>
      <c r="P53" s="92" t="str" cm="1">
        <f t="array" ref="P53">IFERROR(INDEX('[1]PROSES ENJEKSİYON'!$G:$G,MATCH(1,('[1]PROSES ENJEKSİYON'!$A:$A=$P$2)*('[1]PROSES ENJEKSİYON'!$F:$F=A53),0)),"")</f>
        <v>MM-PET0005-03-028Y-040 - PET0005-03 700ML OPAK SARI 28MM YIVLI 40GR</v>
      </c>
      <c r="Q53" s="93" cm="1">
        <f t="array" ref="Q53">IFERROR(INDEX('[1]PROSES ENJEKSİYON'!$J:$J,MATCH(1,('[1]PROSES ENJEKSİYON'!$A:$A=$P$2)*('[1]PROSES ENJEKSİYON'!$F:$F=A53),0)),"")</f>
        <v>5</v>
      </c>
      <c r="R53" s="93" cm="1">
        <f t="array" ref="R53">IFERROR(INDEX('[1]PROSES ENJEKSİYON'!$K:$K,MATCH(1,('[1]PROSES ENJEKSİYON'!$A:$A=$P$2)*('[1]PROSES ENJEKSİYON'!$F:$F=A53),0)),"")</f>
        <v>5</v>
      </c>
      <c r="S53" s="96" cm="1">
        <f t="array" ref="S53">IFERROR(INDEX('[1]PROSES ENJEKSİYON'!$L:$L,MATCH(1,('[1]PROSES ENJEKSİYON'!$A:$A=$P$2)*('[1]PROSES ENJEKSİYON'!$F:$F=A53),0)),"")</f>
        <v>15.37</v>
      </c>
      <c r="T53" s="92" t="str" cm="1">
        <f t="array" ref="T53">IFERROR(INDEX('[1]PROSES ENJEKSİYON'!$G:$G,MATCH(1,('[1]PROSES ENJEKSİYON'!$A:$A=$T$2)*('[1]PROSES ENJEKSİYON'!$F:$F=A53),0)),"")</f>
        <v>PET0005-01 700ML SEFFAF SARI 28MM YIVLI 40GR</v>
      </c>
      <c r="U53" s="98" cm="1">
        <f t="array" ref="U53">IFERROR(INDEX('[1]PROSES ENJEKSİYON'!$J:$J,MATCH(1,('[1]PROSES ENJEKSİYON'!$A:$A=$T$2)*('[1]PROSES ENJEKSİYON'!$F:$F=A53),0)),"")</f>
        <v>5</v>
      </c>
      <c r="V53" s="98" cm="1">
        <f t="array" ref="V53">IFERROR(INDEX('[1]PROSES ENJEKSİYON'!$K:$K,MATCH(1,('[1]PROSES ENJEKSİYON'!$A:$A=$T$2)*('[1]PROSES ENJEKSİYON'!$F:$F=A53),0)),"")</f>
        <v>5</v>
      </c>
      <c r="W53" s="91" cm="1">
        <f t="array" ref="W53">IFERROR(INDEX('[1]PROSES ENJEKSİYON'!$L:$L,MATCH(1,('[1]PROSES ENJEKSİYON'!$A:$A=$T$2)*('[1]PROSES ENJEKSİYON'!$F:$F=A53),0)),"")</f>
        <v>15.52</v>
      </c>
      <c r="X53" s="92" t="str" cm="1">
        <f t="array" ref="X53">IFERROR(INDEX('[1]PROSES ENJEKSİYON'!$G:$G,MATCH(1,('[1]PROSES ENJEKSİYON'!$A:$A=$X$2)*('[1]PROSES ENJEKSİYON'!$F:$F=A53),0)),"")</f>
        <v/>
      </c>
      <c r="Y53" s="93" t="str" cm="1">
        <f t="array" ref="Y53">IFERROR(INDEX('[1]PROSES ENJEKSİYON'!$J:$J,MATCH(1,('[1]PROSES ENJEKSİYON'!$A:$A=$X$2)*('[1]PROSES ENJEKSİYON'!$F:$F=A53),0)),"")</f>
        <v/>
      </c>
      <c r="Z53" s="93" t="str" cm="1">
        <f t="array" ref="Z53">IFERROR(INDEX('[1]PROSES ENJEKSİYON'!$K:$K,MATCH(1,('[1]PROSES ENJEKSİYON'!$A:$A=$X$2)*('[1]PROSES ENJEKSİYON'!$F:$F=A53),0)),"")</f>
        <v/>
      </c>
      <c r="AA53" s="97" t="str" cm="1">
        <f t="array" ref="AA53">IFERROR(INDEX('[1]PROSES ENJEKSİYON'!$L:$L,MATCH(1,('[1]PROSES ENJEKSİYON'!$A:$A=$X$2)*('[1]PROSES ENJEKSİYON'!$F:$F=A53),0)),"")</f>
        <v/>
      </c>
      <c r="AB53" s="70" t="str" cm="1">
        <f t="array" ref="AB53">IFERROR(INDEX('[1]PROSES ENJEKSİYON'!$G:$G,MATCH(1,('[1]PROSES ENJEKSİYON'!$A:$A=$H$2)*('[1]PROSES ENJEKSİYON'!$F:$F=U53),0)),"")</f>
        <v/>
      </c>
      <c r="AC53" s="64" t="str" cm="1">
        <f t="array" ref="AC53">IFERROR(INDEX('[1]PROSES ENJEKSİYON'!$J:$J,MATCH(1,('[1]PROSES ENJEKSİYON'!$A:$A=$H$2)*('[1]PROSES ENJEKSİYON'!$F:$F=U53),0)),"")</f>
        <v/>
      </c>
      <c r="AD53" s="64" t="str" cm="1">
        <f t="array" ref="AD53">IFERROR(INDEX('[1]PROSES ENJEKSİYON'!$K:$K,MATCH(1,('[1]PROSES ENJEKSİYON'!$A:$A=$H$2)*('[1]PROSES ENJEKSİYON'!$F:$F=U53),0)),"")</f>
        <v/>
      </c>
      <c r="AE53" s="44" t="str" cm="1">
        <f t="array" ref="AE53">IFERROR(INDEX('[1]PROSES ENJEKSİYON'!$L:$L,MATCH(1,('[1]PROSES ENJEKSİYON'!$A:$A=$H$2)*('[1]PROSES ENJEKSİYON'!$F:$F=U53),0)),"")</f>
        <v/>
      </c>
    </row>
    <row r="54" spans="1:31" ht="46.95" customHeight="1" thickBot="1" x14ac:dyDescent="0.45">
      <c r="A54" s="46">
        <v>104</v>
      </c>
      <c r="H54" s="99" t="str" cm="1">
        <f t="array" ref="H54">IFERROR(INDEX('[1]PROSES ENJEKSİYON'!$G:$G,MATCH(1,('[1]PROSES ENJEKSİYON'!$A:$A=$H$2)*('[1]PROSES ENJEKSİYON'!$F:$F=A54),0)),"")</f>
        <v xml:space="preserve"> PET0007-08 400ML OPAK YESIL 28MM YIVLI 25GR</v>
      </c>
      <c r="I54" s="93" cm="1">
        <f t="array" ref="I54">IFERROR(INDEX('[1]PROSES ENJEKSİYON'!$J:$J,MATCH(1,('[1]PROSES ENJEKSİYON'!$A:$A=$H$2)*('[1]PROSES ENJEKSİYON'!$F:$F=A54),0)),"")</f>
        <v>6</v>
      </c>
      <c r="J54" s="93" cm="1">
        <f t="array" ref="J54">IFERROR(INDEX('[1]PROSES ENJEKSİYON'!$K:$K,MATCH(1,('[1]PROSES ENJEKSİYON'!$A:$A=$H$2)*('[1]PROSES ENJEKSİYON'!$F:$F=A54),0)),"")</f>
        <v>5</v>
      </c>
      <c r="K54" s="96" cm="1">
        <f t="array" ref="K54">IFERROR(INDEX('[1]PROSES ENJEKSİYON'!$L:$L,MATCH(1,('[1]PROSES ENJEKSİYON'!$A:$A=$H$2)*('[1]PROSES ENJEKSİYON'!$F:$F=A54),0)),"")</f>
        <v>15.92</v>
      </c>
      <c r="L54" s="99" t="str" cm="1">
        <f t="array" ref="L54">IFERROR(INDEX('[1]PROSES ENJEKSİYON'!$G:$G,MATCH(1,('[1]PROSES ENJEKSİYON'!$A:$A=$L$2)*('[1]PROSES ENJEKSİYON'!$F:$F=A54),0)),"")</f>
        <v/>
      </c>
      <c r="M54" s="93" t="str" cm="1">
        <f t="array" ref="M54">IFERROR(INDEX('[1]PROSES ENJEKSİYON'!$J:$J,MATCH(1,('[1]PROSES ENJEKSİYON'!$A:$A=$L$2)*('[1]PROSES ENJEKSİYON'!$F:$F=A54),0)),"")</f>
        <v/>
      </c>
      <c r="N54" s="93" t="str" cm="1">
        <f t="array" ref="N54">IFERROR(INDEX('[1]PROSES ENJEKSİYON'!$K:$K,MATCH(1,('[1]PROSES ENJEKSİYON'!$A:$A=$L$2)*('[1]PROSES ENJEKSİYON'!$F:$F=A54),0)),"")</f>
        <v/>
      </c>
      <c r="O54" s="96" t="str" cm="1">
        <f t="array" ref="O54">IFERROR(INDEX('[1]PROSES ENJEKSİYON'!$L:$L,MATCH(1,('[1]PROSES ENJEKSİYON'!$A:$A=$L$2)*('[1]PROSES ENJEKSİYON'!$F:$F=A54),0)),"")</f>
        <v/>
      </c>
      <c r="P54" s="92" t="str" cm="1">
        <f t="array" ref="P54">IFERROR(INDEX('[1]PROSES ENJEKSİYON'!$G:$G,MATCH(1,('[1]PROSES ENJEKSİYON'!$A:$A=$P$2)*('[1]PROSES ENJEKSİYON'!$F:$F=A54),0)),"")</f>
        <v>MM-PET0166-02-028Y-025 - PET0166-02 400ML SEFFAF SEFFAF 28MM YIVLI 25GR</v>
      </c>
      <c r="Q54" s="93" cm="1">
        <f t="array" ref="Q54">IFERROR(INDEX('[1]PROSES ENJEKSİYON'!$J:$J,MATCH(1,('[1]PROSES ENJEKSİYON'!$A:$A=$P$2)*('[1]PROSES ENJEKSİYON'!$F:$F=A54),0)),"")</f>
        <v>6</v>
      </c>
      <c r="R54" s="93" cm="1">
        <f t="array" ref="R54">IFERROR(INDEX('[1]PROSES ENJEKSİYON'!$K:$K,MATCH(1,('[1]PROSES ENJEKSİYON'!$A:$A=$P$2)*('[1]PROSES ENJEKSİYON'!$F:$F=A54),0)),"")</f>
        <v>6</v>
      </c>
      <c r="S54" s="96" cm="1">
        <f t="array" ref="S54">IFERROR(INDEX('[1]PROSES ENJEKSİYON'!$L:$L,MATCH(1,('[1]PROSES ENJEKSİYON'!$A:$A=$P$2)*('[1]PROSES ENJEKSİYON'!$F:$F=A54),0)),"")</f>
        <v>13.4</v>
      </c>
      <c r="T54" s="92" t="str" cm="1">
        <f t="array" ref="T54">IFERROR(INDEX('[1]PROSES ENJEKSİYON'!$G:$G,MATCH(1,('[1]PROSES ENJEKSİYON'!$A:$A=$T$2)*('[1]PROSES ENJEKSİYON'!$F:$F=A54),0)),"")</f>
        <v/>
      </c>
      <c r="U54" s="98" t="str" cm="1">
        <f t="array" ref="U54">IFERROR(INDEX('[1]PROSES ENJEKSİYON'!$J:$J,MATCH(1,('[1]PROSES ENJEKSİYON'!$A:$A=$T$2)*('[1]PROSES ENJEKSİYON'!$F:$F=A54),0)),"")</f>
        <v/>
      </c>
      <c r="V54" s="98" t="str" cm="1">
        <f t="array" ref="V54">IFERROR(INDEX('[1]PROSES ENJEKSİYON'!$K:$K,MATCH(1,('[1]PROSES ENJEKSİYON'!$A:$A=$T$2)*('[1]PROSES ENJEKSİYON'!$F:$F=A54),0)),"")</f>
        <v/>
      </c>
      <c r="W54" s="91" t="str" cm="1">
        <f t="array" ref="W54">IFERROR(INDEX('[1]PROSES ENJEKSİYON'!$L:$L,MATCH(1,('[1]PROSES ENJEKSİYON'!$A:$A=$T$2)*('[1]PROSES ENJEKSİYON'!$F:$F=A54),0)),"")</f>
        <v/>
      </c>
      <c r="X54" s="92" t="str" cm="1">
        <f t="array" ref="X54">IFERROR(INDEX('[1]PROSES ENJEKSİYON'!$G:$G,MATCH(1,('[1]PROSES ENJEKSİYON'!$A:$A=$X$2)*('[1]PROSES ENJEKSİYON'!$F:$F=A54),0)),"")</f>
        <v/>
      </c>
      <c r="Y54" s="93" t="str" cm="1">
        <f t="array" ref="Y54">IFERROR(INDEX('[1]PROSES ENJEKSİYON'!$J:$J,MATCH(1,('[1]PROSES ENJEKSİYON'!$A:$A=$X$2)*('[1]PROSES ENJEKSİYON'!$F:$F=A54),0)),"")</f>
        <v/>
      </c>
      <c r="Z54" s="93" t="str" cm="1">
        <f t="array" ref="Z54">IFERROR(INDEX('[1]PROSES ENJEKSİYON'!$K:$K,MATCH(1,('[1]PROSES ENJEKSİYON'!$A:$A=$X$2)*('[1]PROSES ENJEKSİYON'!$F:$F=A54),0)),"")</f>
        <v/>
      </c>
      <c r="AA54" s="97" t="str" cm="1">
        <f t="array" ref="AA54">IFERROR(INDEX('[1]PROSES ENJEKSİYON'!$L:$L,MATCH(1,('[1]PROSES ENJEKSİYON'!$A:$A=$X$2)*('[1]PROSES ENJEKSİYON'!$F:$F=A54),0)),"")</f>
        <v/>
      </c>
      <c r="AB54" s="70" t="str" cm="1">
        <f t="array" ref="AB54">IFERROR(INDEX('[1]PROSES ENJEKSİYON'!$G:$G,MATCH(1,('[1]PROSES ENJEKSİYON'!$A:$A=$H$2)*('[1]PROSES ENJEKSİYON'!$F:$F=U54),0)),"")</f>
        <v/>
      </c>
      <c r="AC54" s="64" t="str" cm="1">
        <f t="array" ref="AC54">IFERROR(INDEX('[1]PROSES ENJEKSİYON'!$J:$J,MATCH(1,('[1]PROSES ENJEKSİYON'!$A:$A=$H$2)*('[1]PROSES ENJEKSİYON'!$F:$F=U54),0)),"")</f>
        <v/>
      </c>
      <c r="AD54" s="64" t="str" cm="1">
        <f t="array" ref="AD54">IFERROR(INDEX('[1]PROSES ENJEKSİYON'!$K:$K,MATCH(1,('[1]PROSES ENJEKSİYON'!$A:$A=$H$2)*('[1]PROSES ENJEKSİYON'!$F:$F=U54),0)),"")</f>
        <v/>
      </c>
      <c r="AE54" s="44" t="str" cm="1">
        <f t="array" ref="AE54">IFERROR(INDEX('[1]PROSES ENJEKSİYON'!$L:$L,MATCH(1,('[1]PROSES ENJEKSİYON'!$A:$A=$H$2)*('[1]PROSES ENJEKSİYON'!$F:$F=U54),0)),"")</f>
        <v/>
      </c>
    </row>
    <row r="55" spans="1:31" ht="46.95" customHeight="1" thickBot="1" x14ac:dyDescent="0.45">
      <c r="A55" s="46">
        <v>161</v>
      </c>
      <c r="H55" s="99" t="str" cm="1">
        <f t="array" ref="H55">IFERROR(INDEX('[1]PROSES ENJEKSİYON'!$G:$G,MATCH(1,('[1]PROSES ENJEKSİYON'!$A:$A=$H$2)*('[1]PROSES ENJEKSİYON'!$F:$F=A55),0)),"")</f>
        <v>PET0181-02 960ML OPAK SARI 38MM YIVLI 47GR</v>
      </c>
      <c r="I55" s="93" cm="1">
        <f t="array" ref="I55">IFERROR(INDEX('[1]PROSES ENJEKSİYON'!$J:$J,MATCH(1,('[1]PROSES ENJEKSİYON'!$A:$A=$H$2)*('[1]PROSES ENJEKSİYON'!$F:$F=A55),0)),"")</f>
        <v>6</v>
      </c>
      <c r="J55" s="93" cm="1">
        <f t="array" ref="J55">IFERROR(INDEX('[1]PROSES ENJEKSİYON'!$K:$K,MATCH(1,('[1]PROSES ENJEKSİYON'!$A:$A=$H$2)*('[1]PROSES ENJEKSİYON'!$F:$F=A55),0)),"")</f>
        <v>6</v>
      </c>
      <c r="K55" s="96" cm="1">
        <f t="array" ref="K55">IFERROR(INDEX('[1]PROSES ENJEKSİYON'!$L:$L,MATCH(1,('[1]PROSES ENJEKSİYON'!$A:$A=$H$2)*('[1]PROSES ENJEKSİYON'!$F:$F=A55),0)),"")</f>
        <v>22.51</v>
      </c>
      <c r="L55" s="99" t="str" cm="1">
        <f t="array" ref="L55">IFERROR(INDEX('[1]PROSES ENJEKSİYON'!$G:$G,MATCH(1,('[1]PROSES ENJEKSİYON'!$A:$A=$L$2)*('[1]PROSES ENJEKSİYON'!$F:$F=A55),0)),"")</f>
        <v/>
      </c>
      <c r="M55" s="93" t="str" cm="1">
        <f t="array" ref="M55">IFERROR(INDEX('[1]PROSES ENJEKSİYON'!$J:$J,MATCH(1,('[1]PROSES ENJEKSİYON'!$A:$A=$L$2)*('[1]PROSES ENJEKSİYON'!$F:$F=A55),0)),"")</f>
        <v/>
      </c>
      <c r="N55" s="93" t="str" cm="1">
        <f t="array" ref="N55">IFERROR(INDEX('[1]PROSES ENJEKSİYON'!$K:$K,MATCH(1,('[1]PROSES ENJEKSİYON'!$A:$A=$L$2)*('[1]PROSES ENJEKSİYON'!$F:$F=A55),0)),"")</f>
        <v/>
      </c>
      <c r="O55" s="96" t="str" cm="1">
        <f t="array" ref="O55">IFERROR(INDEX('[1]PROSES ENJEKSİYON'!$L:$L,MATCH(1,('[1]PROSES ENJEKSİYON'!$A:$A=$L$2)*('[1]PROSES ENJEKSİYON'!$F:$F=A55),0)),"")</f>
        <v/>
      </c>
      <c r="P55" s="92" t="str" cm="1">
        <f t="array" ref="P55">IFERROR(INDEX('[1]PROSES ENJEKSİYON'!$G:$G,MATCH(1,('[1]PROSES ENJEKSİYON'!$A:$A=$P$2)*('[1]PROSES ENJEKSİYON'!$F:$F=A55),0)),"")</f>
        <v>MM-PET0181-03-038Y-047 - PET0181-03 960ML OPAK KIRMIZI 38MM YIVLI 47GR</v>
      </c>
      <c r="Q55" s="93" cm="1">
        <f t="array" ref="Q55">IFERROR(INDEX('[1]PROSES ENJEKSİYON'!$J:$J,MATCH(1,('[1]PROSES ENJEKSİYON'!$A:$A=$P$2)*('[1]PROSES ENJEKSİYON'!$F:$F=A55),0)),"")</f>
        <v>2</v>
      </c>
      <c r="R55" s="93" cm="1">
        <f t="array" ref="R55">IFERROR(INDEX('[1]PROSES ENJEKSİYON'!$K:$K,MATCH(1,('[1]PROSES ENJEKSİYON'!$A:$A=$P$2)*('[1]PROSES ENJEKSİYON'!$F:$F=A55),0)),"")</f>
        <v>2</v>
      </c>
      <c r="S55" s="96" cm="1">
        <f t="array" ref="S55">IFERROR(INDEX('[1]PROSES ENJEKSİYON'!$L:$L,MATCH(1,('[1]PROSES ENJEKSİYON'!$A:$A=$P$2)*('[1]PROSES ENJEKSİYON'!$F:$F=A55),0)),"")</f>
        <v>22.5</v>
      </c>
      <c r="T55" s="92" t="str" cm="1">
        <f t="array" ref="T55">IFERROR(INDEX('[1]PROSES ENJEKSİYON'!$G:$G,MATCH(1,('[1]PROSES ENJEKSİYON'!$A:$A=$T$2)*('[1]PROSES ENJEKSİYON'!$F:$F=A55),0)),"")</f>
        <v>PET0181-03 960ML OPAK KIRMIZI 38MM YIVLI 47GR</v>
      </c>
      <c r="U55" s="98" cm="1">
        <f t="array" ref="U55">IFERROR(INDEX('[1]PROSES ENJEKSİYON'!$J:$J,MATCH(1,('[1]PROSES ENJEKSİYON'!$A:$A=$T$2)*('[1]PROSES ENJEKSİYON'!$F:$F=A55),0)),"")</f>
        <v>2</v>
      </c>
      <c r="V55" s="98" cm="1">
        <f t="array" ref="V55">IFERROR(INDEX('[1]PROSES ENJEKSİYON'!$K:$K,MATCH(1,('[1]PROSES ENJEKSİYON'!$A:$A=$T$2)*('[1]PROSES ENJEKSİYON'!$F:$F=A55),0)),"")</f>
        <v>2</v>
      </c>
      <c r="W55" s="91" cm="1">
        <f t="array" ref="W55">IFERROR(INDEX('[1]PROSES ENJEKSİYON'!$L:$L,MATCH(1,('[1]PROSES ENJEKSİYON'!$A:$A=$T$2)*('[1]PROSES ENJEKSİYON'!$F:$F=A55),0)),"")</f>
        <v>22.51</v>
      </c>
      <c r="X55" s="92" t="str" cm="1">
        <f t="array" ref="X55">IFERROR(INDEX('[1]PROSES ENJEKSİYON'!$G:$G,MATCH(1,('[1]PROSES ENJEKSİYON'!$A:$A=$X$2)*('[1]PROSES ENJEKSİYON'!$F:$F=A55),0)),"")</f>
        <v/>
      </c>
      <c r="Y55" s="93" t="str" cm="1">
        <f t="array" ref="Y55">IFERROR(INDEX('[1]PROSES ENJEKSİYON'!$J:$J,MATCH(1,('[1]PROSES ENJEKSİYON'!$A:$A=$X$2)*('[1]PROSES ENJEKSİYON'!$F:$F=A55),0)),"")</f>
        <v/>
      </c>
      <c r="Z55" s="93" t="str" cm="1">
        <f t="array" ref="Z55">IFERROR(INDEX('[1]PROSES ENJEKSİYON'!$K:$K,MATCH(1,('[1]PROSES ENJEKSİYON'!$A:$A=$X$2)*('[1]PROSES ENJEKSİYON'!$F:$F=A55),0)),"")</f>
        <v/>
      </c>
      <c r="AA55" s="97" t="str" cm="1">
        <f t="array" ref="AA55">IFERROR(INDEX('[1]PROSES ENJEKSİYON'!$L:$L,MATCH(1,('[1]PROSES ENJEKSİYON'!$A:$A=$X$2)*('[1]PROSES ENJEKSİYON'!$F:$F=A55),0)),"")</f>
        <v/>
      </c>
      <c r="AB55" s="70" t="str" cm="1">
        <f t="array" ref="AB55">IFERROR(INDEX('[1]PROSES ENJEKSİYON'!$G:$G,MATCH(1,('[1]PROSES ENJEKSİYON'!$A:$A=$H$2)*('[1]PROSES ENJEKSİYON'!$F:$F=U55),0)),"")</f>
        <v/>
      </c>
      <c r="AC55" s="64" t="str" cm="1">
        <f t="array" ref="AC55">IFERROR(INDEX('[1]PROSES ENJEKSİYON'!$J:$J,MATCH(1,('[1]PROSES ENJEKSİYON'!$A:$A=$H$2)*('[1]PROSES ENJEKSİYON'!$F:$F=U55),0)),"")</f>
        <v/>
      </c>
      <c r="AD55" s="64" t="str" cm="1">
        <f t="array" ref="AD55">IFERROR(INDEX('[1]PROSES ENJEKSİYON'!$K:$K,MATCH(1,('[1]PROSES ENJEKSİYON'!$A:$A=$H$2)*('[1]PROSES ENJEKSİYON'!$F:$F=U55),0)),"")</f>
        <v/>
      </c>
      <c r="AE55" s="44" t="str" cm="1">
        <f t="array" ref="AE55">IFERROR(INDEX('[1]PROSES ENJEKSİYON'!$L:$L,MATCH(1,('[1]PROSES ENJEKSİYON'!$A:$A=$H$2)*('[1]PROSES ENJEKSİYON'!$F:$F=U55),0)),"")</f>
        <v/>
      </c>
    </row>
    <row r="56" spans="1:31" ht="46.95" customHeight="1" thickBot="1" x14ac:dyDescent="0.45">
      <c r="A56" s="46">
        <v>162</v>
      </c>
      <c r="H56" s="92" t="str" cm="1">
        <f t="array" ref="H56">IFERROR(INDEX('[1]PROSES ENJEKSİYON'!$G:$G,MATCH(1,('[1]PROSES ENJEKSİYON'!$A:$A=$H$2)*('[1]PROSES ENJEKSİYON'!$F:$F=A56),0)),"")</f>
        <v>PET0014-01 1000ML SEFFAF SEFFAF 28MM YIVLI 52GR</v>
      </c>
      <c r="I56" s="93" cm="1">
        <f t="array" ref="I56">IFERROR(INDEX('[1]PROSES ENJEKSİYON'!$J:$J,MATCH(1,('[1]PROSES ENJEKSİYON'!$A:$A=$H$2)*('[1]PROSES ENJEKSİYON'!$F:$F=A56),0)),"")</f>
        <v>6</v>
      </c>
      <c r="J56" s="93" cm="1">
        <f t="array" ref="J56">IFERROR(INDEX('[1]PROSES ENJEKSİYON'!$K:$K,MATCH(1,('[1]PROSES ENJEKSİYON'!$A:$A=$H$2)*('[1]PROSES ENJEKSİYON'!$F:$F=A56),0)),"")</f>
        <v>6</v>
      </c>
      <c r="K56" s="96" cm="1">
        <f t="array" ref="K56">IFERROR(INDEX('[1]PROSES ENJEKSİYON'!$L:$L,MATCH(1,('[1]PROSES ENJEKSİYON'!$A:$A=$H$2)*('[1]PROSES ENJEKSİYON'!$F:$F=A56),0)),"")</f>
        <v>24</v>
      </c>
      <c r="L56" s="99" t="str" cm="1">
        <f t="array" ref="L56">IFERROR(INDEX('[1]PROSES ENJEKSİYON'!$G:$G,MATCH(1,('[1]PROSES ENJEKSİYON'!$A:$A=$L$2)*('[1]PROSES ENJEKSİYON'!$F:$F=A56),0)),"")</f>
        <v/>
      </c>
      <c r="M56" s="93" t="str" cm="1">
        <f t="array" ref="M56">IFERROR(INDEX('[1]PROSES ENJEKSİYON'!$J:$J,MATCH(1,('[1]PROSES ENJEKSİYON'!$A:$A=$L$2)*('[1]PROSES ENJEKSİYON'!$F:$F=A56),0)),"")</f>
        <v/>
      </c>
      <c r="N56" s="93" t="str" cm="1">
        <f t="array" ref="N56">IFERROR(INDEX('[1]PROSES ENJEKSİYON'!$K:$K,MATCH(1,('[1]PROSES ENJEKSİYON'!$A:$A=$L$2)*('[1]PROSES ENJEKSİYON'!$F:$F=A56),0)),"")</f>
        <v/>
      </c>
      <c r="O56" s="96" t="str" cm="1">
        <f t="array" ref="O56">IFERROR(INDEX('[1]PROSES ENJEKSİYON'!$L:$L,MATCH(1,('[1]PROSES ENJEKSİYON'!$A:$A=$L$2)*('[1]PROSES ENJEKSİYON'!$F:$F=A56),0)),"")</f>
        <v/>
      </c>
      <c r="P56" s="92" t="str" cm="1">
        <f t="array" ref="P56">IFERROR(INDEX('[1]PROSES ENJEKSİYON'!$G:$G,MATCH(1,('[1]PROSES ENJEKSİYON'!$A:$A=$P$2)*('[1]PROSES ENJEKSİYON'!$F:$F=A56),0)),"")</f>
        <v>MM-PET0013-02-028Y-052 - PET0013-02 1000ML OPAK BEYAZ 28MM YIVLI 52GR</v>
      </c>
      <c r="Q56" s="93" cm="1">
        <f t="array" ref="Q56">IFERROR(INDEX('[1]PROSES ENJEKSİYON'!$J:$J,MATCH(1,('[1]PROSES ENJEKSİYON'!$A:$A=$P$2)*('[1]PROSES ENJEKSİYON'!$F:$F=A56),0)),"")</f>
        <v>2</v>
      </c>
      <c r="R56" s="93" cm="1">
        <f t="array" ref="R56">IFERROR(INDEX('[1]PROSES ENJEKSİYON'!$K:$K,MATCH(1,('[1]PROSES ENJEKSİYON'!$A:$A=$P$2)*('[1]PROSES ENJEKSİYON'!$F:$F=A56),0)),"")</f>
        <v>2</v>
      </c>
      <c r="S56" s="96" cm="1">
        <f t="array" ref="S56">IFERROR(INDEX('[1]PROSES ENJEKSİYON'!$L:$L,MATCH(1,('[1]PROSES ENJEKSİYON'!$A:$A=$P$2)*('[1]PROSES ENJEKSİYON'!$F:$F=A56),0)),"")</f>
        <v>24</v>
      </c>
      <c r="T56" s="92" t="str" cm="1">
        <f t="array" ref="T56">IFERROR(INDEX('[1]PROSES ENJEKSİYON'!$G:$G,MATCH(1,('[1]PROSES ENJEKSİYON'!$A:$A=$T$2)*('[1]PROSES ENJEKSİYON'!$F:$F=A56),0)),"")</f>
        <v/>
      </c>
      <c r="U56" s="98" t="str" cm="1">
        <f t="array" ref="U56">IFERROR(INDEX('[1]PROSES ENJEKSİYON'!$J:$J,MATCH(1,('[1]PROSES ENJEKSİYON'!$A:$A=$T$2)*('[1]PROSES ENJEKSİYON'!$F:$F=A56),0)),"")</f>
        <v/>
      </c>
      <c r="V56" s="98" t="str" cm="1">
        <f t="array" ref="V56">IFERROR(INDEX('[1]PROSES ENJEKSİYON'!$K:$K,MATCH(1,('[1]PROSES ENJEKSİYON'!$A:$A=$T$2)*('[1]PROSES ENJEKSİYON'!$F:$F=A56),0)),"")</f>
        <v/>
      </c>
      <c r="W56" s="91" t="str" cm="1">
        <f t="array" ref="W56">IFERROR(INDEX('[1]PROSES ENJEKSİYON'!$L:$L,MATCH(1,('[1]PROSES ENJEKSİYON'!$A:$A=$T$2)*('[1]PROSES ENJEKSİYON'!$F:$F=A56),0)),"")</f>
        <v/>
      </c>
      <c r="X56" s="92" t="str" cm="1">
        <f t="array" ref="X56">IFERROR(INDEX('[1]PROSES ENJEKSİYON'!$G:$G,MATCH(1,('[1]PROSES ENJEKSİYON'!$A:$A=$X$2)*('[1]PROSES ENJEKSİYON'!$F:$F=A56),0)),"")</f>
        <v/>
      </c>
      <c r="Y56" s="93" t="str" cm="1">
        <f t="array" ref="Y56">IFERROR(INDEX('[1]PROSES ENJEKSİYON'!$J:$J,MATCH(1,('[1]PROSES ENJEKSİYON'!$A:$A=$X$2)*('[1]PROSES ENJEKSİYON'!$F:$F=A56),0)),"")</f>
        <v/>
      </c>
      <c r="Z56" s="93" t="str" cm="1">
        <f t="array" ref="Z56">IFERROR(INDEX('[1]PROSES ENJEKSİYON'!$K:$K,MATCH(1,('[1]PROSES ENJEKSİYON'!$A:$A=$X$2)*('[1]PROSES ENJEKSİYON'!$F:$F=A56),0)),"")</f>
        <v/>
      </c>
      <c r="AA56" s="97" t="str" cm="1">
        <f t="array" ref="AA56">IFERROR(INDEX('[1]PROSES ENJEKSİYON'!$L:$L,MATCH(1,('[1]PROSES ENJEKSİYON'!$A:$A=$X$2)*('[1]PROSES ENJEKSİYON'!$F:$F=A56),0)),"")</f>
        <v/>
      </c>
      <c r="AB56" s="70" t="str" cm="1">
        <f t="array" ref="AB56">IFERROR(INDEX('[1]PROSES ENJEKSİYON'!$G:$G,MATCH(1,('[1]PROSES ENJEKSİYON'!$A:$A=$H$2)*('[1]PROSES ENJEKSİYON'!$F:$F=U56),0)),"")</f>
        <v/>
      </c>
      <c r="AC56" s="64" t="str" cm="1">
        <f t="array" ref="AC56">IFERROR(INDEX('[1]PROSES ENJEKSİYON'!$J:$J,MATCH(1,('[1]PROSES ENJEKSİYON'!$A:$A=$H$2)*('[1]PROSES ENJEKSİYON'!$F:$F=U56),0)),"")</f>
        <v/>
      </c>
      <c r="AD56" s="64" t="str" cm="1">
        <f t="array" ref="AD56">IFERROR(INDEX('[1]PROSES ENJEKSİYON'!$K:$K,MATCH(1,('[1]PROSES ENJEKSİYON'!$A:$A=$H$2)*('[1]PROSES ENJEKSİYON'!$F:$F=U56),0)),"")</f>
        <v/>
      </c>
      <c r="AE56" s="44" t="str" cm="1">
        <f t="array" ref="AE56">IFERROR(INDEX('[1]PROSES ENJEKSİYON'!$L:$L,MATCH(1,('[1]PROSES ENJEKSİYON'!$A:$A=$H$2)*('[1]PROSES ENJEKSİYON'!$F:$F=U56),0)),"")</f>
        <v/>
      </c>
    </row>
    <row r="57" spans="1:31" ht="46.95" customHeight="1" thickBot="1" x14ac:dyDescent="0.45">
      <c r="A57" s="67">
        <v>163</v>
      </c>
      <c r="H57" s="99" t="str" cm="1">
        <f t="array" ref="H57">IFERROR(INDEX('[1]PROSES ENJEKSİYON'!$G:$G,MATCH(1,('[1]PROSES ENJEKSİYON'!$A:$A=$H$2)*('[1]PROSES ENJEKSİYON'!$F:$F=A57),0)),"")</f>
        <v/>
      </c>
      <c r="I57" s="93" t="str" cm="1">
        <f t="array" ref="I57">IFERROR(INDEX('[1]PROSES ENJEKSİYON'!$J:$J,MATCH(1,('[1]PROSES ENJEKSİYON'!$A:$A=$H$2)*('[1]PROSES ENJEKSİYON'!$F:$F=A57),0)),"")</f>
        <v/>
      </c>
      <c r="J57" s="93" t="str" cm="1">
        <f t="array" ref="J57">IFERROR(INDEX('[1]PROSES ENJEKSİYON'!$K:$K,MATCH(1,('[1]PROSES ENJEKSİYON'!$A:$A=$H$2)*('[1]PROSES ENJEKSİYON'!$F:$F=A57),0)),"")</f>
        <v/>
      </c>
      <c r="K57" s="96" t="str" cm="1">
        <f t="array" ref="K57">IFERROR(INDEX('[1]PROSES ENJEKSİYON'!$L:$L,MATCH(1,('[1]PROSES ENJEKSİYON'!$A:$A=$H$2)*('[1]PROSES ENJEKSİYON'!$F:$F=A57),0)),"")</f>
        <v/>
      </c>
      <c r="L57" s="99" t="str" cm="1">
        <f t="array" ref="L57">IFERROR(INDEX('[1]PROSES ENJEKSİYON'!$G:$G,MATCH(1,('[1]PROSES ENJEKSİYON'!$A:$A=$L$2)*('[1]PROSES ENJEKSİYON'!$F:$F=A57),0)),"")</f>
        <v/>
      </c>
      <c r="M57" s="93" t="str" cm="1">
        <f t="array" ref="M57">IFERROR(INDEX('[1]PROSES ENJEKSİYON'!$J:$J,MATCH(1,('[1]PROSES ENJEKSİYON'!$A:$A=$L$2)*('[1]PROSES ENJEKSİYON'!$F:$F=A57),0)),"")</f>
        <v/>
      </c>
      <c r="N57" s="93" t="str" cm="1">
        <f t="array" ref="N57">IFERROR(INDEX('[1]PROSES ENJEKSİYON'!$K:$K,MATCH(1,('[1]PROSES ENJEKSİYON'!$A:$A=$L$2)*('[1]PROSES ENJEKSİYON'!$F:$F=A57),0)),"")</f>
        <v/>
      </c>
      <c r="O57" s="96" t="str" cm="1">
        <f t="array" ref="O57">IFERROR(INDEX('[1]PROSES ENJEKSİYON'!$L:$L,MATCH(1,('[1]PROSES ENJEKSİYON'!$A:$A=$L$2)*('[1]PROSES ENJEKSİYON'!$F:$F=A57),0)),"")</f>
        <v/>
      </c>
      <c r="P57" s="92" t="str" cm="1">
        <f t="array" ref="P57">IFERROR(INDEX('[1]PROSES ENJEKSİYON'!$G:$G,MATCH(1,('[1]PROSES ENJEKSİYON'!$A:$A=$P$2)*('[1]PROSES ENJEKSİYON'!$F:$F=A57),0)),"")</f>
        <v>MM-PET0295-01-028Y-040 - PET0295-01 739ML SEFFAF SEFFAF 28MM YIVLI 40GR</v>
      </c>
      <c r="Q57" s="93" cm="1">
        <f t="array" ref="Q57">IFERROR(INDEX('[1]PROSES ENJEKSİYON'!$J:$J,MATCH(1,('[1]PROSES ENJEKSİYON'!$A:$A=$P$2)*('[1]PROSES ENJEKSİYON'!$F:$F=A57),0)),"")</f>
        <v>2</v>
      </c>
      <c r="R57" s="93" cm="1">
        <f t="array" ref="R57">IFERROR(INDEX('[1]PROSES ENJEKSİYON'!$K:$K,MATCH(1,('[1]PROSES ENJEKSİYON'!$A:$A=$P$2)*('[1]PROSES ENJEKSİYON'!$F:$F=A57),0)),"")</f>
        <v>2</v>
      </c>
      <c r="S57" s="96" cm="1">
        <f t="array" ref="S57">IFERROR(INDEX('[1]PROSES ENJEKSİYON'!$L:$L,MATCH(1,('[1]PROSES ENJEKSİYON'!$A:$A=$P$2)*('[1]PROSES ENJEKSİYON'!$F:$F=A57),0)),"")</f>
        <v>0</v>
      </c>
      <c r="T57" s="92" t="str" cm="1">
        <f t="array" ref="T57">IFERROR(INDEX('[1]PROSES ENJEKSİYON'!$G:$G,MATCH(1,('[1]PROSES ENJEKSİYON'!$A:$A=$T$2)*('[1]PROSES ENJEKSİYON'!$F:$F=A57),0)),"")</f>
        <v>PET0295-01 739ML SEFFAF SEFFAF 28MM YIVLI 40GR</v>
      </c>
      <c r="U57" s="98" cm="1">
        <f t="array" ref="U57">IFERROR(INDEX('[1]PROSES ENJEKSİYON'!$J:$J,MATCH(1,('[1]PROSES ENJEKSİYON'!$A:$A=$T$2)*('[1]PROSES ENJEKSİYON'!$F:$F=A57),0)),"")</f>
        <v>2</v>
      </c>
      <c r="V57" s="98" cm="1">
        <f t="array" ref="V57">IFERROR(INDEX('[1]PROSES ENJEKSİYON'!$K:$K,MATCH(1,('[1]PROSES ENJEKSİYON'!$A:$A=$T$2)*('[1]PROSES ENJEKSİYON'!$F:$F=A57),0)),"")</f>
        <v>2</v>
      </c>
      <c r="W57" s="91" cm="1">
        <f t="array" ref="W57">IFERROR(INDEX('[1]PROSES ENJEKSİYON'!$L:$L,MATCH(1,('[1]PROSES ENJEKSİYON'!$A:$A=$T$2)*('[1]PROSES ENJEKSİYON'!$F:$F=A57),0)),"")</f>
        <v>19.79</v>
      </c>
      <c r="X57" s="92" t="str" cm="1">
        <f t="array" ref="X57">IFERROR(INDEX('[1]PROSES ENJEKSİYON'!$G:$G,MATCH(1,('[1]PROSES ENJEKSİYON'!$A:$A=$X$2)*('[1]PROSES ENJEKSİYON'!$F:$F=A57),0)),"")</f>
        <v/>
      </c>
      <c r="Y57" s="93" t="str" cm="1">
        <f t="array" ref="Y57">IFERROR(INDEX('[1]PROSES ENJEKSİYON'!$J:$J,MATCH(1,('[1]PROSES ENJEKSİYON'!$A:$A=$X$2)*('[1]PROSES ENJEKSİYON'!$F:$F=A57),0)),"")</f>
        <v/>
      </c>
      <c r="Z57" s="93" t="str" cm="1">
        <f t="array" ref="Z57">IFERROR(INDEX('[1]PROSES ENJEKSİYON'!$K:$K,MATCH(1,('[1]PROSES ENJEKSİYON'!$A:$A=$X$2)*('[1]PROSES ENJEKSİYON'!$F:$F=A57),0)),"")</f>
        <v/>
      </c>
      <c r="AA57" s="97" t="str" cm="1">
        <f t="array" ref="AA57">IFERROR(INDEX('[1]PROSES ENJEKSİYON'!$L:$L,MATCH(1,('[1]PROSES ENJEKSİYON'!$A:$A=$X$2)*('[1]PROSES ENJEKSİYON'!$F:$F=A57),0)),"")</f>
        <v/>
      </c>
      <c r="AB57" s="70" t="str" cm="1">
        <f t="array" ref="AB57">IFERROR(INDEX('[1]PROSES ENJEKSİYON'!$G:$G,MATCH(1,('[1]PROSES ENJEKSİYON'!$A:$A=$H$2)*('[1]PROSES ENJEKSİYON'!$F:$F=U57),0)),"")</f>
        <v/>
      </c>
      <c r="AC57" s="64" t="str" cm="1">
        <f t="array" ref="AC57">IFERROR(INDEX('[1]PROSES ENJEKSİYON'!$J:$J,MATCH(1,('[1]PROSES ENJEKSİYON'!$A:$A=$H$2)*('[1]PROSES ENJEKSİYON'!$F:$F=U57),0)),"")</f>
        <v/>
      </c>
      <c r="AD57" s="64" t="str" cm="1">
        <f t="array" ref="AD57">IFERROR(INDEX('[1]PROSES ENJEKSİYON'!$K:$K,MATCH(1,('[1]PROSES ENJEKSİYON'!$A:$A=$H$2)*('[1]PROSES ENJEKSİYON'!$F:$F=U57),0)),"")</f>
        <v/>
      </c>
      <c r="AE57" s="44" t="str" cm="1">
        <f t="array" ref="AE57">IFERROR(INDEX('[1]PROSES ENJEKSİYON'!$L:$L,MATCH(1,('[1]PROSES ENJEKSİYON'!$A:$A=$H$2)*('[1]PROSES ENJEKSİYON'!$F:$F=U57),0)),"")</f>
        <v/>
      </c>
    </row>
    <row r="58" spans="1:31" ht="46.95" customHeight="1" thickBot="1" x14ac:dyDescent="0.45">
      <c r="A58" s="67">
        <v>164</v>
      </c>
      <c r="H58" s="99" t="str" cm="1">
        <f t="array" ref="H58">IFERROR(INDEX('[1]PROSES ENJEKSİYON'!$G:$G,MATCH(1,('[1]PROSES ENJEKSİYON'!$A:$A=$H$2)*('[1]PROSES ENJEKSİYON'!$F:$F=A58),0)),"")</f>
        <v/>
      </c>
      <c r="I58" s="93" t="str" cm="1">
        <f t="array" ref="I58">IFERROR(INDEX('[1]PROSES ENJEKSİYON'!$J:$J,MATCH(1,('[1]PROSES ENJEKSİYON'!$A:$A=$H$2)*('[1]PROSES ENJEKSİYON'!$F:$F=A58),0)),"")</f>
        <v/>
      </c>
      <c r="J58" s="93" t="str" cm="1">
        <f t="array" ref="J58">IFERROR(INDEX('[1]PROSES ENJEKSİYON'!$K:$K,MATCH(1,('[1]PROSES ENJEKSİYON'!$A:$A=$H$2)*('[1]PROSES ENJEKSİYON'!$F:$F=A58),0)),"")</f>
        <v/>
      </c>
      <c r="K58" s="96" t="str" cm="1">
        <f t="array" ref="K58">IFERROR(INDEX('[1]PROSES ENJEKSİYON'!$L:$L,MATCH(1,('[1]PROSES ENJEKSİYON'!$A:$A=$H$2)*('[1]PROSES ENJEKSİYON'!$F:$F=A58),0)),"")</f>
        <v/>
      </c>
      <c r="L58" s="99" t="str" cm="1">
        <f t="array" ref="L58">IFERROR(INDEX('[1]PROSES ENJEKSİYON'!$G:$G,MATCH(1,('[1]PROSES ENJEKSİYON'!$A:$A=$L$2)*('[1]PROSES ENJEKSİYON'!$F:$F=A58),0)),"")</f>
        <v/>
      </c>
      <c r="M58" s="93" t="str" cm="1">
        <f t="array" ref="M58">IFERROR(INDEX('[1]PROSES ENJEKSİYON'!$J:$J,MATCH(1,('[1]PROSES ENJEKSİYON'!$A:$A=$L$2)*('[1]PROSES ENJEKSİYON'!$F:$F=A58),0)),"")</f>
        <v/>
      </c>
      <c r="N58" s="93" t="str" cm="1">
        <f t="array" ref="N58">IFERROR(INDEX('[1]PROSES ENJEKSİYON'!$K:$K,MATCH(1,('[1]PROSES ENJEKSİYON'!$A:$A=$L$2)*('[1]PROSES ENJEKSİYON'!$F:$F=A58),0)),"")</f>
        <v/>
      </c>
      <c r="O58" s="96" t="str" cm="1">
        <f t="array" ref="O58">IFERROR(INDEX('[1]PROSES ENJEKSİYON'!$L:$L,MATCH(1,('[1]PROSES ENJEKSİYON'!$A:$A=$L$2)*('[1]PROSES ENJEKSİYON'!$F:$F=A58),0)),"")</f>
        <v/>
      </c>
      <c r="P58" s="92" t="str" cm="1">
        <f t="array" ref="P58">IFERROR(INDEX('[1]PROSES ENJEKSİYON'!$G:$G,MATCH(1,('[1]PROSES ENJEKSİYON'!$A:$A=$P$2)*('[1]PROSES ENJEKSİYON'!$F:$F=A58),0)),"")</f>
        <v>MM-PET0014-01-028Y-052 - PET0014-01 1000ML SEFFAF SEFFAF 28MM YIVLI 52GR</v>
      </c>
      <c r="Q58" s="93" cm="1">
        <f t="array" ref="Q58">IFERROR(INDEX('[1]PROSES ENJEKSİYON'!$J:$J,MATCH(1,('[1]PROSES ENJEKSİYON'!$A:$A=$P$2)*('[1]PROSES ENJEKSİYON'!$F:$F=A58),0)),"")</f>
        <v>2</v>
      </c>
      <c r="R58" s="93" cm="1">
        <f t="array" ref="R58">IFERROR(INDEX('[1]PROSES ENJEKSİYON'!$K:$K,MATCH(1,('[1]PROSES ENJEKSİYON'!$A:$A=$P$2)*('[1]PROSES ENJEKSİYON'!$F:$F=A58),0)),"")</f>
        <v>2</v>
      </c>
      <c r="S58" s="96" cm="1">
        <f t="array" ref="S58">IFERROR(INDEX('[1]PROSES ENJEKSİYON'!$L:$L,MATCH(1,('[1]PROSES ENJEKSİYON'!$A:$A=$P$2)*('[1]PROSES ENJEKSİYON'!$F:$F=A58),0)),"")</f>
        <v>23.99</v>
      </c>
      <c r="T58" s="92" t="str" cm="1">
        <f t="array" ref="T58">IFERROR(INDEX('[1]PROSES ENJEKSİYON'!$G:$G,MATCH(1,('[1]PROSES ENJEKSİYON'!$A:$A=$T$2)*('[1]PROSES ENJEKSİYON'!$F:$F=A58),0)),"")</f>
        <v/>
      </c>
      <c r="U58" s="98" t="str" cm="1">
        <f t="array" ref="U58">IFERROR(INDEX('[1]PROSES ENJEKSİYON'!$J:$J,MATCH(1,('[1]PROSES ENJEKSİYON'!$A:$A=$T$2)*('[1]PROSES ENJEKSİYON'!$F:$F=A58),0)),"")</f>
        <v/>
      </c>
      <c r="V58" s="98" t="str" cm="1">
        <f t="array" ref="V58">IFERROR(INDEX('[1]PROSES ENJEKSİYON'!$K:$K,MATCH(1,('[1]PROSES ENJEKSİYON'!$A:$A=$T$2)*('[1]PROSES ENJEKSİYON'!$F:$F=A58),0)),"")</f>
        <v/>
      </c>
      <c r="W58" s="91" t="str" cm="1">
        <f t="array" ref="W58">IFERROR(INDEX('[1]PROSES ENJEKSİYON'!$L:$L,MATCH(1,('[1]PROSES ENJEKSİYON'!$A:$A=$T$2)*('[1]PROSES ENJEKSİYON'!$F:$F=A58),0)),"")</f>
        <v/>
      </c>
      <c r="X58" s="92" t="str" cm="1">
        <f t="array" ref="X58">IFERROR(INDEX('[1]PROSES ENJEKSİYON'!$G:$G,MATCH(1,('[1]PROSES ENJEKSİYON'!$A:$A=$X$2)*('[1]PROSES ENJEKSİYON'!$F:$F=A58),0)),"")</f>
        <v/>
      </c>
      <c r="Y58" s="93" t="str" cm="1">
        <f t="array" ref="Y58">IFERROR(INDEX('[1]PROSES ENJEKSİYON'!$J:$J,MATCH(1,('[1]PROSES ENJEKSİYON'!$A:$A=$X$2)*('[1]PROSES ENJEKSİYON'!$F:$F=A58),0)),"")</f>
        <v/>
      </c>
      <c r="Z58" s="93" t="str" cm="1">
        <f t="array" ref="Z58">IFERROR(INDEX('[1]PROSES ENJEKSİYON'!$K:$K,MATCH(1,('[1]PROSES ENJEKSİYON'!$A:$A=$X$2)*('[1]PROSES ENJEKSİYON'!$F:$F=A58),0)),"")</f>
        <v/>
      </c>
      <c r="AA58" s="97" t="str" cm="1">
        <f t="array" ref="AA58">IFERROR(INDEX('[1]PROSES ENJEKSİYON'!$L:$L,MATCH(1,('[1]PROSES ENJEKSİYON'!$A:$A=$X$2)*('[1]PROSES ENJEKSİYON'!$F:$F=A58),0)),"")</f>
        <v/>
      </c>
      <c r="AB58" s="70" t="str" cm="1">
        <f t="array" ref="AB58">IFERROR(INDEX('[1]PROSES ENJEKSİYON'!$G:$G,MATCH(1,('[1]PROSES ENJEKSİYON'!$A:$A=$H$2)*('[1]PROSES ENJEKSİYON'!$F:$F=U58),0)),"")</f>
        <v/>
      </c>
      <c r="AC58" s="64" t="str" cm="1">
        <f t="array" ref="AC58">IFERROR(INDEX('[1]PROSES ENJEKSİYON'!$J:$J,MATCH(1,('[1]PROSES ENJEKSİYON'!$A:$A=$H$2)*('[1]PROSES ENJEKSİYON'!$F:$F=U58),0)),"")</f>
        <v/>
      </c>
      <c r="AD58" s="64" t="str" cm="1">
        <f t="array" ref="AD58">IFERROR(INDEX('[1]PROSES ENJEKSİYON'!$K:$K,MATCH(1,('[1]PROSES ENJEKSİYON'!$A:$A=$H$2)*('[1]PROSES ENJEKSİYON'!$F:$F=U58),0)),"")</f>
        <v/>
      </c>
      <c r="AE58" s="44" t="str" cm="1">
        <f t="array" ref="AE58">IFERROR(INDEX('[1]PROSES ENJEKSİYON'!$L:$L,MATCH(1,('[1]PROSES ENJEKSİYON'!$A:$A=$H$2)*('[1]PROSES ENJEKSİYON'!$F:$F=U58),0)),"")</f>
        <v/>
      </c>
    </row>
    <row r="59" spans="1:31" ht="46.95" customHeight="1" x14ac:dyDescent="0.4">
      <c r="A59" s="67">
        <v>165</v>
      </c>
      <c r="H59" s="92" t="str" cm="1">
        <f t="array" ref="H59">IFERROR(INDEX('[1]PROSES ENJEKSİYON'!$G:$G,MATCH(1,('[1]PROSES ENJEKSİYON'!$A:$A=$H$2)*('[1]PROSES ENJEKSİYON'!$F:$F=A59),0)),"")</f>
        <v/>
      </c>
      <c r="I59" s="93" t="str" cm="1">
        <f t="array" ref="I59">IFERROR(INDEX('[1]PROSES ENJEKSİYON'!$J:$J,MATCH(1,('[1]PROSES ENJEKSİYON'!$A:$A=$H$2)*('[1]PROSES ENJEKSİYON'!$F:$F=A59),0)),"")</f>
        <v/>
      </c>
      <c r="J59" s="93" t="str" cm="1">
        <f t="array" ref="J59">IFERROR(INDEX('[1]PROSES ENJEKSİYON'!$K:$K,MATCH(1,('[1]PROSES ENJEKSİYON'!$A:$A=$H$2)*('[1]PROSES ENJEKSİYON'!$F:$F=A59),0)),"")</f>
        <v/>
      </c>
      <c r="K59" s="96" t="str" cm="1">
        <f t="array" ref="K59">IFERROR(INDEX('[1]PROSES ENJEKSİYON'!$L:$L,MATCH(1,('[1]PROSES ENJEKSİYON'!$A:$A=$H$2)*('[1]PROSES ENJEKSİYON'!$F:$F=A59),0)),"")</f>
        <v/>
      </c>
      <c r="L59" s="92" t="str" cm="1">
        <f t="array" ref="L59">IFERROR(INDEX('[1]PROSES ENJEKSİYON'!$G:$G,MATCH(1,('[1]PROSES ENJEKSİYON'!$A:$A=$H$2)*('[1]PROSES ENJEKSİYON'!$F:$F=E59),0)),"")</f>
        <v/>
      </c>
      <c r="M59" s="93" t="str" cm="1">
        <f t="array" ref="M59">IFERROR(INDEX('[1]PROSES ENJEKSİYON'!$J:$J,MATCH(1,('[1]PROSES ENJEKSİYON'!$A:$A=$H$2)*('[1]PROSES ENJEKSİYON'!$F:$F=E59),0)),"")</f>
        <v/>
      </c>
      <c r="N59" s="93" t="str" cm="1">
        <f t="array" ref="N59">IFERROR(INDEX('[1]PROSES ENJEKSİYON'!$K:$K,MATCH(1,('[1]PROSES ENJEKSİYON'!$A:$A=$H$2)*('[1]PROSES ENJEKSİYON'!$F:$F=E59),0)),"")</f>
        <v/>
      </c>
      <c r="O59" s="96" t="str" cm="1">
        <f t="array" ref="O59">IFERROR(INDEX('[1]PROSES ENJEKSİYON'!$L:$L,MATCH(1,('[1]PROSES ENJEKSİYON'!$A:$A=$H$2)*('[1]PROSES ENJEKSİYON'!$F:$F=E59),0)),"")</f>
        <v/>
      </c>
      <c r="P59" s="92" t="str" cm="1">
        <f t="array" ref="P59">IFERROR(INDEX('[1]PROSES ENJEKSİYON'!$G:$G,MATCH(1,('[1]PROSES ENJEKSİYON'!$A:$A=$P$2)*('[1]PROSES ENJEKSİYON'!$F:$F=A59),0)),"")</f>
        <v>MM-PET0024-01-028Y-045 - PET0024-01 1000ML SEFFAF SEFFAF 28MM YIVLI 45GR</v>
      </c>
      <c r="Q59" s="93" cm="1">
        <f t="array" ref="Q59">IFERROR(INDEX('[1]PROSES ENJEKSİYON'!$J:$J,MATCH(1,('[1]PROSES ENJEKSİYON'!$A:$A=$P$2)*('[1]PROSES ENJEKSİYON'!$F:$F=A59),0)),"")</f>
        <v>2</v>
      </c>
      <c r="R59" s="93" cm="1">
        <f t="array" ref="R59">IFERROR(INDEX('[1]PROSES ENJEKSİYON'!$K:$K,MATCH(1,('[1]PROSES ENJEKSİYON'!$A:$A=$P$2)*('[1]PROSES ENJEKSİYON'!$F:$F=A59),0)),"")</f>
        <v>2</v>
      </c>
      <c r="S59" s="96" cm="1">
        <f t="array" ref="S59">IFERROR(INDEX('[1]PROSES ENJEKSİYON'!$L:$L,MATCH(1,('[1]PROSES ENJEKSİYON'!$A:$A=$P$2)*('[1]PROSES ENJEKSİYON'!$F:$F=A59),0)),"")</f>
        <v>20.99</v>
      </c>
      <c r="T59" s="92" t="str" cm="1">
        <f t="array" ref="T59">IFERROR(INDEX('[1]PROSES ENJEKSİYON'!$G:$G,MATCH(1,('[1]PROSES ENJEKSİYON'!$A:$A=$T$2)*('[1]PROSES ENJEKSİYON'!$F:$F=A59),0)),"")</f>
        <v/>
      </c>
      <c r="U59" s="98" t="str" cm="1">
        <f t="array" ref="U59">IFERROR(INDEX('[1]PROSES ENJEKSİYON'!$J:$J,MATCH(1,('[1]PROSES ENJEKSİYON'!$A:$A=$T$2)*('[1]PROSES ENJEKSİYON'!$F:$F=A59),0)),"")</f>
        <v/>
      </c>
      <c r="V59" s="98" t="str" cm="1">
        <f t="array" ref="V59">IFERROR(INDEX('[1]PROSES ENJEKSİYON'!$K:$K,MATCH(1,('[1]PROSES ENJEKSİYON'!$A:$A=$T$2)*('[1]PROSES ENJEKSİYON'!$F:$F=A59),0)),"")</f>
        <v/>
      </c>
      <c r="W59" s="91" t="str" cm="1">
        <f t="array" ref="W59">IFERROR(INDEX('[1]PROSES ENJEKSİYON'!$L:$L,MATCH(1,('[1]PROSES ENJEKSİYON'!$A:$A=$T$2)*('[1]PROSES ENJEKSİYON'!$F:$F=A59),0)),"")</f>
        <v/>
      </c>
      <c r="X59" s="92" t="str" cm="1">
        <f t="array" ref="X59">IFERROR(INDEX('[1]PROSES ENJEKSİYON'!$G:$G,MATCH(1,('[1]PROSES ENJEKSİYON'!$A:$A=$X$2)*('[1]PROSES ENJEKSİYON'!$F:$F=A59),0)),"")</f>
        <v/>
      </c>
      <c r="Y59" s="93" t="str" cm="1">
        <f t="array" ref="Y59">IFERROR(INDEX('[1]PROSES ENJEKSİYON'!$J:$J,MATCH(1,('[1]PROSES ENJEKSİYON'!$A:$A=$X$2)*('[1]PROSES ENJEKSİYON'!$F:$F=A59),0)),"")</f>
        <v/>
      </c>
      <c r="Z59" s="93" t="str" cm="1">
        <f t="array" ref="Z59">IFERROR(INDEX('[1]PROSES ENJEKSİYON'!$K:$K,MATCH(1,('[1]PROSES ENJEKSİYON'!$A:$A=$X$2)*('[1]PROSES ENJEKSİYON'!$F:$F=A59),0)),"")</f>
        <v/>
      </c>
      <c r="AA59" s="97" t="str" cm="1">
        <f t="array" ref="AA59">IFERROR(INDEX('[1]PROSES ENJEKSİYON'!$L:$L,MATCH(1,('[1]PROSES ENJEKSİYON'!$A:$A=$X$2)*('[1]PROSES ENJEKSİYON'!$F:$F=A59),0)),"")</f>
        <v/>
      </c>
      <c r="AB59" s="70" t="str" cm="1">
        <f t="array" ref="AB59">IFERROR(INDEX('[1]PROSES ENJEKSİYON'!$G:$G,MATCH(1,('[1]PROSES ENJEKSİYON'!$A:$A=$H$2)*('[1]PROSES ENJEKSİYON'!$F:$F=U59),0)),"")</f>
        <v/>
      </c>
      <c r="AC59" s="64" t="str" cm="1">
        <f t="array" ref="AC59">IFERROR(INDEX('[1]PROSES ENJEKSİYON'!$J:$J,MATCH(1,('[1]PROSES ENJEKSİYON'!$A:$A=$H$2)*('[1]PROSES ENJEKSİYON'!$F:$F=U59),0)),"")</f>
        <v/>
      </c>
      <c r="AD59" s="64" t="str" cm="1">
        <f t="array" ref="AD59">IFERROR(INDEX('[1]PROSES ENJEKSİYON'!$K:$K,MATCH(1,('[1]PROSES ENJEKSİYON'!$A:$A=$H$2)*('[1]PROSES ENJEKSİYON'!$F:$F=U59),0)),"")</f>
        <v/>
      </c>
      <c r="AE59" s="44" t="str" cm="1">
        <f t="array" ref="AE59">IFERROR(INDEX('[1]PROSES ENJEKSİYON'!$L:$L,MATCH(1,('[1]PROSES ENJEKSİYON'!$A:$A=$H$2)*('[1]PROSES ENJEKSİYON'!$F:$F=U59),0)),"")</f>
        <v/>
      </c>
    </row>
    <row r="60" spans="1:31" ht="46.95" customHeight="1" x14ac:dyDescent="0.4">
      <c r="A60" s="67">
        <v>181</v>
      </c>
      <c r="H60" s="92" t="str" cm="1">
        <f t="array" ref="H60">IFERROR(INDEX('[1]PROSES ENJEKSİYON'!$G:$G,MATCH(1,('[1]PROSES ENJEKSİYON'!$A:$A=$H$2)*('[1]PROSES ENJEKSİYON'!$F:$F=A60),0)),"")</f>
        <v/>
      </c>
      <c r="I60" s="93" t="str" cm="1">
        <f t="array" ref="I60">IFERROR(INDEX('[1]PROSES ENJEKSİYON'!$J:$J,MATCH(1,('[1]PROSES ENJEKSİYON'!$A:$A=$H$2)*('[1]PROSES ENJEKSİYON'!$F:$F=A60),0)),"")</f>
        <v/>
      </c>
      <c r="J60" s="93" t="str" cm="1">
        <f t="array" ref="J60">IFERROR(INDEX('[1]PROSES ENJEKSİYON'!$K:$K,MATCH(1,('[1]PROSES ENJEKSİYON'!$A:$A=$H$2)*('[1]PROSES ENJEKSİYON'!$F:$F=A60),0)),"")</f>
        <v/>
      </c>
      <c r="K60" s="96" t="str" cm="1">
        <f t="array" ref="K60">IFERROR(INDEX('[1]PROSES ENJEKSİYON'!$L:$L,MATCH(1,('[1]PROSES ENJEKSİYON'!$A:$A=$H$2)*('[1]PROSES ENJEKSİYON'!$F:$F=A60),0)),"")</f>
        <v/>
      </c>
      <c r="L60" s="92" t="str" cm="1">
        <f t="array" ref="L60">IFERROR(INDEX('[1]PROSES ENJEKSİYON'!$G:$G,MATCH(1,('[1]PROSES ENJEKSİYON'!$A:$A=$H$2)*('[1]PROSES ENJEKSİYON'!$F:$F=E60),0)),"")</f>
        <v/>
      </c>
      <c r="M60" s="93" t="str" cm="1">
        <f t="array" ref="M60">IFERROR(INDEX('[1]PROSES ENJEKSİYON'!$J:$J,MATCH(1,('[1]PROSES ENJEKSİYON'!$A:$A=$H$2)*('[1]PROSES ENJEKSİYON'!$F:$F=E60),0)),"")</f>
        <v/>
      </c>
      <c r="N60" s="93" t="str" cm="1">
        <f t="array" ref="N60">IFERROR(INDEX('[1]PROSES ENJEKSİYON'!$K:$K,MATCH(1,('[1]PROSES ENJEKSİYON'!$A:$A=$H$2)*('[1]PROSES ENJEKSİYON'!$F:$F=E60),0)),"")</f>
        <v/>
      </c>
      <c r="O60" s="96" t="str" cm="1">
        <f t="array" ref="O60">IFERROR(INDEX('[1]PROSES ENJEKSİYON'!$L:$L,MATCH(1,('[1]PROSES ENJEKSİYON'!$A:$A=$H$2)*('[1]PROSES ENJEKSİYON'!$F:$F=E60),0)),"")</f>
        <v/>
      </c>
      <c r="P60" s="92" t="str" cm="1">
        <f t="array" ref="P60">IFERROR(INDEX('[1]PROSES ENJEKSİYON'!$G:$G,MATCH(1,('[1]PROSES ENJEKSİYON'!$A:$A=$P$2)*('[1]PROSES ENJEKSİYON'!$F:$F=A60),0)),"")</f>
        <v/>
      </c>
      <c r="Q60" s="93" t="str" cm="1">
        <f t="array" ref="Q60">IFERROR(INDEX('[1]PROSES ENJEKSİYON'!$J:$J,MATCH(1,('[1]PROSES ENJEKSİYON'!$A:$A=$P$2)*('[1]PROSES ENJEKSİYON'!$F:$F=A60),0)),"")</f>
        <v/>
      </c>
      <c r="R60" s="93" t="str" cm="1">
        <f t="array" ref="R60">IFERROR(INDEX('[1]PROSES ENJEKSİYON'!$K:$K,MATCH(1,('[1]PROSES ENJEKSİYON'!$A:$A=$P$2)*('[1]PROSES ENJEKSİYON'!$F:$F=A60),0)),"")</f>
        <v/>
      </c>
      <c r="S60" s="96" t="str" cm="1">
        <f t="array" ref="S60">IFERROR(INDEX('[1]PROSES ENJEKSİYON'!$L:$L,MATCH(1,('[1]PROSES ENJEKSİYON'!$A:$A=$P$2)*('[1]PROSES ENJEKSİYON'!$F:$F=A60),0)),"")</f>
        <v/>
      </c>
      <c r="T60" s="93" t="str" cm="1">
        <f t="array" ref="T60">IFERROR(INDEX('[1]PROSES ENJEKSİYON'!$G:$G,MATCH(1,('[1]PROSES ENJEKSİYON'!$A:$A=$T$2)*('[1]PROSES ENJEKSİYON'!$F:$F=A60),0)),"")</f>
        <v/>
      </c>
      <c r="U60" s="93" t="str" cm="1">
        <f t="array" ref="U60">IFERROR(INDEX('[1]PROSES ENJEKSİYON'!$J:$J,MATCH(1,('[1]PROSES ENJEKSİYON'!$A:$A=$T$2)*('[1]PROSES ENJEKSİYON'!$F:$F=A60),0)),"")</f>
        <v/>
      </c>
      <c r="V60" s="93" t="str" cm="1">
        <f t="array" ref="V60">IFERROR(INDEX('[1]PROSES ENJEKSİYON'!$K:$K,MATCH(1,('[1]PROSES ENJEKSİYON'!$A:$A=$T$2)*('[1]PROSES ENJEKSİYON'!$F:$F=A60),0)),"")</f>
        <v/>
      </c>
      <c r="W60" s="95" t="str" cm="1">
        <f t="array" ref="W60">IFERROR(INDEX('[1]PROSES ENJEKSİYON'!$L:$L,MATCH(1,('[1]PROSES ENJEKSİYON'!$A:$A=$T$2)*('[1]PROSES ENJEKSİYON'!$F:$F=A60),0)),"")</f>
        <v/>
      </c>
      <c r="X60" s="92" t="str" cm="1">
        <f t="array" ref="X60">IFERROR(INDEX('[1]PROSES ENJEKSİYON'!$G:$G,MATCH(1,('[1]PROSES ENJEKSİYON'!$A:$A=$X$2)*('[1]PROSES ENJEKSİYON'!$F:$F=A60),0)),"")</f>
        <v/>
      </c>
      <c r="Y60" s="93" t="str" cm="1">
        <f t="array" ref="Y60">IFERROR(INDEX('[1]PROSES ENJEKSİYON'!$J:$J,MATCH(1,('[1]PROSES ENJEKSİYON'!$A:$A=$X$2)*('[1]PROSES ENJEKSİYON'!$F:$F=A60),0)),"")</f>
        <v/>
      </c>
      <c r="Z60" s="93" t="str" cm="1">
        <f t="array" ref="Z60">IFERROR(INDEX('[1]PROSES ENJEKSİYON'!$K:$K,MATCH(1,('[1]PROSES ENJEKSİYON'!$A:$A=$X$2)*('[1]PROSES ENJEKSİYON'!$F:$F=A60),0)),"")</f>
        <v/>
      </c>
      <c r="AA60" s="97" t="str" cm="1">
        <f t="array" ref="AA60">IFERROR(INDEX('[1]PROSES ENJEKSİYON'!$L:$L,MATCH(1,('[1]PROSES ENJEKSİYON'!$A:$A=$X$2)*('[1]PROSES ENJEKSİYON'!$F:$F=A60),0)),"")</f>
        <v/>
      </c>
      <c r="AB60" s="70" t="str" cm="1">
        <f t="array" ref="AB60">IFERROR(INDEX('[1]PROSES ENJEKSİYON'!$G:$G,MATCH(1,('[1]PROSES ENJEKSİYON'!$A:$A=$H$2)*('[1]PROSES ENJEKSİYON'!$F:$F=U60),0)),"")</f>
        <v/>
      </c>
      <c r="AC60" s="64" t="str" cm="1">
        <f t="array" ref="AC60">IFERROR(INDEX('[1]PROSES ENJEKSİYON'!$J:$J,MATCH(1,('[1]PROSES ENJEKSİYON'!$A:$A=$H$2)*('[1]PROSES ENJEKSİYON'!$F:$F=U60),0)),"")</f>
        <v/>
      </c>
      <c r="AD60" s="64" t="str" cm="1">
        <f t="array" ref="AD60">IFERROR(INDEX('[1]PROSES ENJEKSİYON'!$K:$K,MATCH(1,('[1]PROSES ENJEKSİYON'!$A:$A=$H$2)*('[1]PROSES ENJEKSİYON'!$F:$F=U60),0)),"")</f>
        <v/>
      </c>
      <c r="AE60" s="44" t="str" cm="1">
        <f t="array" ref="AE60">IFERROR(INDEX('[1]PROSES ENJEKSİYON'!$L:$L,MATCH(1,('[1]PROSES ENJEKSİYON'!$A:$A=$H$2)*('[1]PROSES ENJEKSİYON'!$F:$F=U60),0)),"")</f>
        <v/>
      </c>
    </row>
    <row r="61" spans="1:31" ht="46.95" customHeight="1" x14ac:dyDescent="0.4">
      <c r="A61" s="67">
        <v>182</v>
      </c>
      <c r="H61" s="99" t="str" cm="1">
        <f t="array" ref="H61">IFERROR(INDEX('[1]PROSES ENJEKSİYON'!$G:$G,MATCH(1,('[1]PROSES ENJEKSİYON'!$A:$A=$H$2)*('[1]PROSES ENJEKSİYON'!$F:$F=A61),0)),"")</f>
        <v/>
      </c>
      <c r="I61" s="93" t="str" cm="1">
        <f t="array" ref="I61">IFERROR(INDEX('[1]PROSES ENJEKSİYON'!$J:$J,MATCH(1,('[1]PROSES ENJEKSİYON'!$A:$A=$H$2)*('[1]PROSES ENJEKSİYON'!$F:$F=A61),0)),"")</f>
        <v/>
      </c>
      <c r="J61" s="93" t="str" cm="1">
        <f t="array" ref="J61">IFERROR(INDEX('[1]PROSES ENJEKSİYON'!$K:$K,MATCH(1,('[1]PROSES ENJEKSİYON'!$A:$A=$H$2)*('[1]PROSES ENJEKSİYON'!$F:$F=A61),0)),"")</f>
        <v/>
      </c>
      <c r="K61" s="96" t="str" cm="1">
        <f t="array" ref="K61">IFERROR(INDEX('[1]PROSES ENJEKSİYON'!$L:$L,MATCH(1,('[1]PROSES ENJEKSİYON'!$A:$A=$H$2)*('[1]PROSES ENJEKSİYON'!$F:$F=A61),0)),"")</f>
        <v/>
      </c>
      <c r="L61" s="99" t="str" cm="1">
        <f t="array" ref="L61">IFERROR(INDEX('[1]PROSES ENJEKSİYON'!$G:$G,MATCH(1,('[1]PROSES ENJEKSİYON'!$A:$A=$L$2)*('[1]PROSES ENJEKSİYON'!$F:$F=A61),0)),"")</f>
        <v/>
      </c>
      <c r="M61" s="93" t="str" cm="1">
        <f t="array" ref="M61">IFERROR(INDEX('[1]PROSES ENJEKSİYON'!$J:$J,MATCH(1,('[1]PROSES ENJEKSİYON'!$A:$A=$L$2)*('[1]PROSES ENJEKSİYON'!$F:$F=A61),0)),"")</f>
        <v/>
      </c>
      <c r="N61" s="93" t="str" cm="1">
        <f t="array" ref="N61">IFERROR(INDEX('[1]PROSES ENJEKSİYON'!$K:$K,MATCH(1,('[1]PROSES ENJEKSİYON'!$A:$A=$L$2)*('[1]PROSES ENJEKSİYON'!$F:$F=A61),0)),"")</f>
        <v/>
      </c>
      <c r="O61" s="96" t="str" cm="1">
        <f t="array" ref="O61">IFERROR(INDEX('[1]PROSES ENJEKSİYON'!$L:$L,MATCH(1,('[1]PROSES ENJEKSİYON'!$A:$A=$L$2)*('[1]PROSES ENJEKSİYON'!$F:$F=A61),0)),"")</f>
        <v/>
      </c>
      <c r="P61" s="92" t="str" cm="1">
        <f t="array" ref="P61">IFERROR(INDEX('[1]PROSES ENJEKSİYON'!$G:$G,MATCH(1,('[1]PROSES ENJEKSİYON'!$A:$A=$P$2)*('[1]PROSES ENJEKSİYON'!$F:$F=A61),0)),"")</f>
        <v>MM-PET0170-01-028Y-026 - PET0170-01 400ML SEFFAF YESIL 28MM YIVLI 26GR</v>
      </c>
      <c r="Q61" s="93" cm="1">
        <f t="array" ref="Q61">IFERROR(INDEX('[1]PROSES ENJEKSİYON'!$J:$J,MATCH(1,('[1]PROSES ENJEKSİYON'!$A:$A=$P$2)*('[1]PROSES ENJEKSİYON'!$F:$F=A61),0)),"")</f>
        <v>4</v>
      </c>
      <c r="R61" s="93" cm="1">
        <f t="array" ref="R61">IFERROR(INDEX('[1]PROSES ENJEKSİYON'!$K:$K,MATCH(1,('[1]PROSES ENJEKSİYON'!$A:$A=$P$2)*('[1]PROSES ENJEKSİYON'!$F:$F=A61),0)),"")</f>
        <v>4</v>
      </c>
      <c r="S61" s="96" cm="1">
        <f t="array" ref="S61">IFERROR(INDEX('[1]PROSES ENJEKSİYON'!$L:$L,MATCH(1,('[1]PROSES ENJEKSİYON'!$A:$A=$P$2)*('[1]PROSES ENJEKSİYON'!$F:$F=A61),0)),"")</f>
        <v>14.05</v>
      </c>
      <c r="T61" s="92" t="str" cm="1">
        <f t="array" ref="T61">IFERROR(INDEX('[1]PROSES ENJEKSİYON'!$G:$G,MATCH(1,('[1]PROSES ENJEKSİYON'!$A:$A=$T$2)*('[1]PROSES ENJEKSİYON'!$F:$F=A61),0)),"")</f>
        <v>PET0170-01 400ML SEFFAF YESIL 28MM YIVLI 26GR</v>
      </c>
      <c r="U61" s="93" cm="1">
        <f t="array" ref="U61">IFERROR(INDEX('[1]PROSES ENJEKSİYON'!$J:$J,MATCH(1,('[1]PROSES ENJEKSİYON'!$A:$A=$T$2)*('[1]PROSES ENJEKSİYON'!$F:$F=A61),0)),"")</f>
        <v>4</v>
      </c>
      <c r="V61" s="93" cm="1">
        <f t="array" ref="V61">IFERROR(INDEX('[1]PROSES ENJEKSİYON'!$K:$K,MATCH(1,('[1]PROSES ENJEKSİYON'!$A:$A=$T$2)*('[1]PROSES ENJEKSİYON'!$F:$F=A61),0)),"")</f>
        <v>4</v>
      </c>
      <c r="W61" s="95" cm="1">
        <f t="array" ref="W61">IFERROR(INDEX('[1]PROSES ENJEKSİYON'!$L:$L,MATCH(1,('[1]PROSES ENJEKSİYON'!$A:$A=$T$2)*('[1]PROSES ENJEKSİYON'!$F:$F=A61),0)),"")</f>
        <v>14.05</v>
      </c>
      <c r="X61" s="92" t="str" cm="1">
        <f t="array" ref="X61">IFERROR(INDEX('[1]PROSES ENJEKSİYON'!$G:$G,MATCH(1,('[1]PROSES ENJEKSİYON'!$A:$A=$X$2)*('[1]PROSES ENJEKSİYON'!$F:$F=A61),0)),"")</f>
        <v/>
      </c>
      <c r="Y61" s="93" t="str" cm="1">
        <f t="array" ref="Y61">IFERROR(INDEX('[1]PROSES ENJEKSİYON'!$J:$J,MATCH(1,('[1]PROSES ENJEKSİYON'!$A:$A=$X$2)*('[1]PROSES ENJEKSİYON'!$F:$F=A61),0)),"")</f>
        <v/>
      </c>
      <c r="Z61" s="93" t="str" cm="1">
        <f t="array" ref="Z61">IFERROR(INDEX('[1]PROSES ENJEKSİYON'!$K:$K,MATCH(1,('[1]PROSES ENJEKSİYON'!$A:$A=$X$2)*('[1]PROSES ENJEKSİYON'!$F:$F=A61),0)),"")</f>
        <v/>
      </c>
      <c r="AA61" s="97" t="str" cm="1">
        <f t="array" ref="AA61">IFERROR(INDEX('[1]PROSES ENJEKSİYON'!$L:$L,MATCH(1,('[1]PROSES ENJEKSİYON'!$A:$A=$X$2)*('[1]PROSES ENJEKSİYON'!$F:$F=A61),0)),"")</f>
        <v/>
      </c>
      <c r="AB61" s="70" t="str" cm="1">
        <f t="array" ref="AB61">IFERROR(INDEX('[1]PROSES ENJEKSİYON'!$G:$G,MATCH(1,('[1]PROSES ENJEKSİYON'!$A:$A=$H$2)*('[1]PROSES ENJEKSİYON'!$F:$F=U61),0)),"")</f>
        <v/>
      </c>
      <c r="AC61" s="64" t="str" cm="1">
        <f t="array" ref="AC61">IFERROR(INDEX('[1]PROSES ENJEKSİYON'!$J:$J,MATCH(1,('[1]PROSES ENJEKSİYON'!$A:$A=$H$2)*('[1]PROSES ENJEKSİYON'!$F:$F=U61),0)),"")</f>
        <v/>
      </c>
      <c r="AD61" s="64" t="str" cm="1">
        <f t="array" ref="AD61">IFERROR(INDEX('[1]PROSES ENJEKSİYON'!$K:$K,MATCH(1,('[1]PROSES ENJEKSİYON'!$A:$A=$H$2)*('[1]PROSES ENJEKSİYON'!$F:$F=U61),0)),"")</f>
        <v/>
      </c>
      <c r="AE61" s="44" t="str" cm="1">
        <f t="array" ref="AE61">IFERROR(INDEX('[1]PROSES ENJEKSİYON'!$L:$L,MATCH(1,('[1]PROSES ENJEKSİYON'!$A:$A=$H$2)*('[1]PROSES ENJEKSİYON'!$F:$F=U61),0)),"")</f>
        <v/>
      </c>
    </row>
    <row r="62" spans="1:31" ht="46.95" customHeight="1" thickBot="1" x14ac:dyDescent="0.45">
      <c r="A62" s="67">
        <v>171</v>
      </c>
      <c r="H62" s="99" t="str" cm="1">
        <f t="array" ref="H62">IFERROR(INDEX('[1]PROSES ENJEKSİYON'!$G:$G,MATCH(1,('[1]PROSES ENJEKSİYON'!$A:$A=$H$2)*('[1]PROSES ENJEKSİYON'!$F:$F=A62),0)),"")</f>
        <v/>
      </c>
      <c r="I62" s="93" t="str" cm="1">
        <f t="array" ref="I62">IFERROR(INDEX('[1]PROSES ENJEKSİYON'!$J:$J,MATCH(1,('[1]PROSES ENJEKSİYON'!$A:$A=$H$2)*('[1]PROSES ENJEKSİYON'!$F:$F=A62),0)),"")</f>
        <v/>
      </c>
      <c r="J62" s="93" t="str" cm="1">
        <f t="array" ref="J62">IFERROR(INDEX('[1]PROSES ENJEKSİYON'!$K:$K,MATCH(1,('[1]PROSES ENJEKSİYON'!$A:$A=$H$2)*('[1]PROSES ENJEKSİYON'!$F:$F=A62),0)),"")</f>
        <v/>
      </c>
      <c r="K62" s="96" t="str" cm="1">
        <f t="array" ref="K62">IFERROR(INDEX('[1]PROSES ENJEKSİYON'!$L:$L,MATCH(1,('[1]PROSES ENJEKSİYON'!$A:$A=$H$2)*('[1]PROSES ENJEKSİYON'!$F:$F=A62),0)),"")</f>
        <v/>
      </c>
      <c r="L62" s="99" t="str" cm="1">
        <f t="array" ref="L62">IFERROR(INDEX('[1]PROSES ENJEKSİYON'!$G:$G,MATCH(1,('[1]PROSES ENJEKSİYON'!$A:$A=$L$2)*('[1]PROSES ENJEKSİYON'!$F:$F=A62),0)),"")</f>
        <v/>
      </c>
      <c r="M62" s="93" t="str" cm="1">
        <f t="array" ref="M62">IFERROR(INDEX('[1]PROSES ENJEKSİYON'!$J:$J,MATCH(1,('[1]PROSES ENJEKSİYON'!$A:$A=$L$2)*('[1]PROSES ENJEKSİYON'!$F:$F=A62),0)),"")</f>
        <v/>
      </c>
      <c r="N62" s="93" t="str" cm="1">
        <f t="array" ref="N62">IFERROR(INDEX('[1]PROSES ENJEKSİYON'!$K:$K,MATCH(1,('[1]PROSES ENJEKSİYON'!$A:$A=$L$2)*('[1]PROSES ENJEKSİYON'!$F:$F=A62),0)),"")</f>
        <v/>
      </c>
      <c r="O62" s="96" t="str" cm="1">
        <f t="array" ref="O62">IFERROR(INDEX('[1]PROSES ENJEKSİYON'!$L:$L,MATCH(1,('[1]PROSES ENJEKSİYON'!$A:$A=$L$2)*('[1]PROSES ENJEKSİYON'!$F:$F=A62),0)),"")</f>
        <v/>
      </c>
      <c r="P62" s="92" t="str" cm="1">
        <f t="array" ref="P62">IFERROR(INDEX('[1]PROSES ENJEKSİYON'!$G:$G,MATCH(1,('[1]PROSES ENJEKSİYON'!$A:$A=$P$2)*('[1]PROSES ENJEKSİYON'!$F:$F=A62),0)),"")</f>
        <v/>
      </c>
      <c r="Q62" s="93" t="str" cm="1">
        <f t="array" ref="Q62">IFERROR(INDEX('[1]PROSES ENJEKSİYON'!$J:$J,MATCH(1,('[1]PROSES ENJEKSİYON'!$A:$A=$P$2)*('[1]PROSES ENJEKSİYON'!$F:$F=A62),0)),"")</f>
        <v/>
      </c>
      <c r="R62" s="93" t="str" cm="1">
        <f t="array" ref="R62">IFERROR(INDEX('[1]PROSES ENJEKSİYON'!$K:$K,MATCH(1,('[1]PROSES ENJEKSİYON'!$A:$A=$P$2)*('[1]PROSES ENJEKSİYON'!$F:$F=A62),0)),"")</f>
        <v/>
      </c>
      <c r="S62" s="96" t="str" cm="1">
        <f t="array" ref="S62">IFERROR(INDEX('[1]PROSES ENJEKSİYON'!$L:$L,MATCH(1,('[1]PROSES ENJEKSİYON'!$A:$A=$P$2)*('[1]PROSES ENJEKSİYON'!$F:$F=A62),0)),"")</f>
        <v/>
      </c>
      <c r="T62" s="92" t="str" cm="1">
        <f t="array" ref="T62">IFERROR(INDEX('[1]PROSES ENJEKSİYON'!$G:$G,MATCH(1,('[1]PROSES ENJEKSİYON'!$A:$A=$T$2)*('[1]PROSES ENJEKSİYON'!$F:$F=A62),0)),"")</f>
        <v/>
      </c>
      <c r="U62" s="93" t="str" cm="1">
        <f t="array" ref="U62">IFERROR(INDEX('[1]PROSES ENJEKSİYON'!$J:$J,MATCH(1,('[1]PROSES ENJEKSİYON'!$A:$A=$T$2)*('[1]PROSES ENJEKSİYON'!$F:$F=A62),0)),"")</f>
        <v/>
      </c>
      <c r="V62" s="93" t="str" cm="1">
        <f t="array" ref="V62">IFERROR(INDEX('[1]PROSES ENJEKSİYON'!$K:$K,MATCH(1,('[1]PROSES ENJEKSİYON'!$A:$A=$T$2)*('[1]PROSES ENJEKSİYON'!$F:$F=A62),0)),"")</f>
        <v/>
      </c>
      <c r="W62" s="95" t="str" cm="1">
        <f t="array" ref="W62">IFERROR(INDEX('[1]PROSES ENJEKSİYON'!$L:$L,MATCH(1,('[1]PROSES ENJEKSİYON'!$A:$A=$T$2)*('[1]PROSES ENJEKSİYON'!$F:$F=A62),0)),"")</f>
        <v/>
      </c>
      <c r="X62" s="92" t="str" cm="1">
        <f t="array" ref="X62">IFERROR(INDEX('[1]PROSES ENJEKSİYON'!$G:$G,MATCH(1,('[1]PROSES ENJEKSİYON'!$A:$A=$X$2)*('[1]PROSES ENJEKSİYON'!$F:$F=A62),0)),"")</f>
        <v/>
      </c>
      <c r="Y62" s="93" t="str" cm="1">
        <f t="array" ref="Y62">IFERROR(INDEX('[1]PROSES ENJEKSİYON'!$J:$J,MATCH(1,('[1]PROSES ENJEKSİYON'!$A:$A=$X$2)*('[1]PROSES ENJEKSİYON'!$F:$F=A62),0)),"")</f>
        <v/>
      </c>
      <c r="Z62" s="93" t="str" cm="1">
        <f t="array" ref="Z62">IFERROR(INDEX('[1]PROSES ENJEKSİYON'!$K:$K,MATCH(1,('[1]PROSES ENJEKSİYON'!$A:$A=$X$2)*('[1]PROSES ENJEKSİYON'!$F:$F=A62),0)),"")</f>
        <v/>
      </c>
      <c r="AA62" s="97" t="str" cm="1">
        <f t="array" ref="AA62">IFERROR(INDEX('[1]PROSES ENJEKSİYON'!$L:$L,MATCH(1,('[1]PROSES ENJEKSİYON'!$A:$A=$X$2)*('[1]PROSES ENJEKSİYON'!$F:$F=A62),0)),"")</f>
        <v/>
      </c>
      <c r="AB62" s="70" t="str" cm="1">
        <f t="array" ref="AB62">IFERROR(INDEX('[1]PROSES ENJEKSİYON'!$G:$G,MATCH(1,('[1]PROSES ENJEKSİYON'!$A:$A=$H$2)*('[1]PROSES ENJEKSİYON'!$F:$F=U62),0)),"")</f>
        <v/>
      </c>
      <c r="AC62" s="64" t="str" cm="1">
        <f t="array" ref="AC62">IFERROR(INDEX('[1]PROSES ENJEKSİYON'!$J:$J,MATCH(1,('[1]PROSES ENJEKSİYON'!$A:$A=$H$2)*('[1]PROSES ENJEKSİYON'!$F:$F=U62),0)),"")</f>
        <v/>
      </c>
      <c r="AD62" s="64" t="str" cm="1">
        <f t="array" ref="AD62">IFERROR(INDEX('[1]PROSES ENJEKSİYON'!$K:$K,MATCH(1,('[1]PROSES ENJEKSİYON'!$A:$A=$H$2)*('[1]PROSES ENJEKSİYON'!$F:$F=U62),0)),"")</f>
        <v/>
      </c>
      <c r="AE62" s="44" t="str" cm="1">
        <f t="array" ref="AE62">IFERROR(INDEX('[1]PROSES ENJEKSİYON'!$L:$L,MATCH(1,('[1]PROSES ENJEKSİYON'!$A:$A=$H$2)*('[1]PROSES ENJEKSİYON'!$F:$F=U62),0)),"")</f>
        <v/>
      </c>
    </row>
    <row r="63" spans="1:31" ht="46.95" customHeight="1" thickBot="1" x14ac:dyDescent="0.45">
      <c r="A63" s="67">
        <v>172</v>
      </c>
      <c r="H63" s="99" t="str" cm="1">
        <f t="array" ref="H63">IFERROR(INDEX('[1]PROSES ENJEKSİYON'!$G:$G,MATCH(1,('[1]PROSES ENJEKSİYON'!$A:$A=$H$2)*('[1]PROSES ENJEKSİYON'!$F:$F=A63),0)),"")</f>
        <v xml:space="preserve"> PET0202-01 900ML SEFFAF SARI 28MM YIVLI 45GR</v>
      </c>
      <c r="I63" s="93" cm="1">
        <f t="array" ref="I63">IFERROR(INDEX('[1]PROSES ENJEKSİYON'!$J:$J,MATCH(1,('[1]PROSES ENJEKSİYON'!$A:$A=$H$2)*('[1]PROSES ENJEKSİYON'!$F:$F=A63),0)),"")</f>
        <v>4</v>
      </c>
      <c r="J63" s="93" cm="1">
        <f t="array" ref="J63">IFERROR(INDEX('[1]PROSES ENJEKSİYON'!$K:$K,MATCH(1,('[1]PROSES ENJEKSİYON'!$A:$A=$H$2)*('[1]PROSES ENJEKSİYON'!$F:$F=A63),0)),"")</f>
        <v>4</v>
      </c>
      <c r="K63" s="96" cm="1">
        <f t="array" ref="K63">IFERROR(INDEX('[1]PROSES ENJEKSİYON'!$L:$L,MATCH(1,('[1]PROSES ENJEKSİYON'!$A:$A=$H$2)*('[1]PROSES ENJEKSİYON'!$F:$F=A63),0)),"")</f>
        <v>15.74</v>
      </c>
      <c r="L63" s="99" t="str" cm="1">
        <f t="array" ref="L63">IFERROR(INDEX('[1]PROSES ENJEKSİYON'!$G:$G,MATCH(1,('[1]PROSES ENJEKSİYON'!$A:$A=$L$2)*('[1]PROSES ENJEKSİYON'!$F:$F=A63),0)),"")</f>
        <v/>
      </c>
      <c r="M63" s="93" t="str" cm="1">
        <f t="array" ref="M63">IFERROR(INDEX('[1]PROSES ENJEKSİYON'!$J:$J,MATCH(1,('[1]PROSES ENJEKSİYON'!$A:$A=$L$2)*('[1]PROSES ENJEKSİYON'!$F:$F=A63),0)),"")</f>
        <v/>
      </c>
      <c r="N63" s="93" t="str" cm="1">
        <f t="array" ref="N63">IFERROR(INDEX('[1]PROSES ENJEKSİYON'!$K:$K,MATCH(1,('[1]PROSES ENJEKSİYON'!$A:$A=$L$2)*('[1]PROSES ENJEKSİYON'!$F:$F=A63),0)),"")</f>
        <v/>
      </c>
      <c r="O63" s="96" t="str" cm="1">
        <f t="array" ref="O63">IFERROR(INDEX('[1]PROSES ENJEKSİYON'!$L:$L,MATCH(1,('[1]PROSES ENJEKSİYON'!$A:$A=$L$2)*('[1]PROSES ENJEKSİYON'!$F:$F=A63),0)),"")</f>
        <v/>
      </c>
      <c r="P63" s="92" t="str" cm="1">
        <f t="array" ref="P63">IFERROR(INDEX('[1]PROSES ENJEKSİYON'!$G:$G,MATCH(1,('[1]PROSES ENJEKSİYON'!$A:$A=$P$2)*('[1]PROSES ENJEKSİYON'!$F:$F=A63),0)),"")</f>
        <v>MM-PET0274-02-028Y-052 - PET0274-02 1000ML SEFFAF SEFFAF 28MM YIVLI 52GR</v>
      </c>
      <c r="Q63" s="93" cm="1">
        <f t="array" ref="Q63">IFERROR(INDEX('[1]PROSES ENJEKSİYON'!$J:$J,MATCH(1,('[1]PROSES ENJEKSİYON'!$A:$A=$P$2)*('[1]PROSES ENJEKSİYON'!$F:$F=A63),0)),"")</f>
        <v>4</v>
      </c>
      <c r="R63" s="93" cm="1">
        <f t="array" ref="R63">IFERROR(INDEX('[1]PROSES ENJEKSİYON'!$K:$K,MATCH(1,('[1]PROSES ENJEKSİYON'!$A:$A=$P$2)*('[1]PROSES ENJEKSİYON'!$F:$F=A63),0)),"")</f>
        <v>3</v>
      </c>
      <c r="S63" s="96" cm="1">
        <f t="array" ref="S63">IFERROR(INDEX('[1]PROSES ENJEKSİYON'!$L:$L,MATCH(1,('[1]PROSES ENJEKSİYON'!$A:$A=$P$2)*('[1]PROSES ENJEKSİYON'!$F:$F=A63),0)),"")</f>
        <v>17.88</v>
      </c>
      <c r="T63" s="92" t="str" cm="1">
        <f t="array" ref="T63">IFERROR(INDEX('[1]PROSES ENJEKSİYON'!$G:$G,MATCH(1,('[1]PROSES ENJEKSİYON'!$A:$A=$T$2)*('[1]PROSES ENJEKSİYON'!$F:$F=A63),0)),"")</f>
        <v>PET0202-01 900ML SEFFAF SARI 28MM YIVLI 45GR</v>
      </c>
      <c r="U63" s="98" cm="1">
        <f t="array" ref="U63">IFERROR(INDEX('[1]PROSES ENJEKSİYON'!$J:$J,MATCH(1,('[1]PROSES ENJEKSİYON'!$A:$A=$T$2)*('[1]PROSES ENJEKSİYON'!$F:$F=A63),0)),"")</f>
        <v>4</v>
      </c>
      <c r="V63" s="98" cm="1">
        <f t="array" ref="V63">IFERROR(INDEX('[1]PROSES ENJEKSİYON'!$K:$K,MATCH(1,('[1]PROSES ENJEKSİYON'!$A:$A=$T$2)*('[1]PROSES ENJEKSİYON'!$F:$F=A63),0)),"")</f>
        <v>4</v>
      </c>
      <c r="W63" s="91" cm="1">
        <f t="array" ref="W63">IFERROR(INDEX('[1]PROSES ENJEKSİYON'!$L:$L,MATCH(1,('[1]PROSES ENJEKSİYON'!$A:$A=$T$2)*('[1]PROSES ENJEKSİYON'!$F:$F=A63),0)),"")</f>
        <v>16.52</v>
      </c>
      <c r="X63" s="92" t="str" cm="1">
        <f t="array" ref="X63">IFERROR(INDEX('[1]PROSES ENJEKSİYON'!$G:$G,MATCH(1,('[1]PROSES ENJEKSİYON'!$A:$A=$X$2)*('[1]PROSES ENJEKSİYON'!$F:$F=A63),0)),"")</f>
        <v/>
      </c>
      <c r="Y63" s="93" t="str" cm="1">
        <f t="array" ref="Y63">IFERROR(INDEX('[1]PROSES ENJEKSİYON'!$J:$J,MATCH(1,('[1]PROSES ENJEKSİYON'!$A:$A=$X$2)*('[1]PROSES ENJEKSİYON'!$F:$F=A63),0)),"")</f>
        <v/>
      </c>
      <c r="Z63" s="93" t="str" cm="1">
        <f t="array" ref="Z63">IFERROR(INDEX('[1]PROSES ENJEKSİYON'!$K:$K,MATCH(1,('[1]PROSES ENJEKSİYON'!$A:$A=$X$2)*('[1]PROSES ENJEKSİYON'!$F:$F=A63),0)),"")</f>
        <v/>
      </c>
      <c r="AA63" s="97" t="str" cm="1">
        <f t="array" ref="AA63">IFERROR(INDEX('[1]PROSES ENJEKSİYON'!$L:$L,MATCH(1,('[1]PROSES ENJEKSİYON'!$A:$A=$X$2)*('[1]PROSES ENJEKSİYON'!$F:$F=A63),0)),"")</f>
        <v/>
      </c>
      <c r="AB63" s="70" t="str" cm="1">
        <f t="array" ref="AB63">IFERROR(INDEX('[1]PROSES ENJEKSİYON'!$G:$G,MATCH(1,('[1]PROSES ENJEKSİYON'!$A:$A=$H$2)*('[1]PROSES ENJEKSİYON'!$F:$F=U63),0)),"")</f>
        <v/>
      </c>
      <c r="AC63" s="64" t="str" cm="1">
        <f t="array" ref="AC63">IFERROR(INDEX('[1]PROSES ENJEKSİYON'!$J:$J,MATCH(1,('[1]PROSES ENJEKSİYON'!$A:$A=$H$2)*('[1]PROSES ENJEKSİYON'!$F:$F=U63),0)),"")</f>
        <v/>
      </c>
      <c r="AD63" s="64" t="str" cm="1">
        <f t="array" ref="AD63">IFERROR(INDEX('[1]PROSES ENJEKSİYON'!$K:$K,MATCH(1,('[1]PROSES ENJEKSİYON'!$A:$A=$H$2)*('[1]PROSES ENJEKSİYON'!$F:$F=U63),0)),"")</f>
        <v/>
      </c>
      <c r="AE63" s="44" t="str" cm="1">
        <f t="array" ref="AE63">IFERROR(INDEX('[1]PROSES ENJEKSİYON'!$L:$L,MATCH(1,('[1]PROSES ENJEKSİYON'!$A:$A=$H$2)*('[1]PROSES ENJEKSİYON'!$F:$F=U63),0)),"")</f>
        <v/>
      </c>
    </row>
    <row r="64" spans="1:31" ht="46.95" customHeight="1" x14ac:dyDescent="0.4">
      <c r="A64" s="67">
        <v>173</v>
      </c>
      <c r="H64" s="99" t="str" cm="1">
        <f t="array" ref="H64">IFERROR(INDEX('[1]PROSES ENJEKSİYON'!$G:$G,MATCH(1,('[1]PROSES ENJEKSİYON'!$A:$A=$H$2)*('[1]PROSES ENJEKSİYON'!$F:$F=A64),0)),"")</f>
        <v>PET0019-01 650ML SEFFAF UV 28MM CAKMA 40GR</v>
      </c>
      <c r="I64" s="93" cm="1">
        <f t="array" ref="I64">IFERROR(INDEX('[1]PROSES ENJEKSİYON'!$J:$J,MATCH(1,('[1]PROSES ENJEKSİYON'!$A:$A=$H$2)*('[1]PROSES ENJEKSİYON'!$F:$F=A64),0)),"")</f>
        <v>5</v>
      </c>
      <c r="J64" s="93" cm="1">
        <f t="array" ref="J64">IFERROR(INDEX('[1]PROSES ENJEKSİYON'!$K:$K,MATCH(1,('[1]PROSES ENJEKSİYON'!$A:$A=$H$2)*('[1]PROSES ENJEKSİYON'!$F:$F=A64),0)),"")</f>
        <v>5</v>
      </c>
      <c r="K64" s="96" cm="1">
        <f t="array" ref="K64">IFERROR(INDEX('[1]PROSES ENJEKSİYON'!$L:$L,MATCH(1,('[1]PROSES ENJEKSİYON'!$A:$A=$H$2)*('[1]PROSES ENJEKSİYON'!$F:$F=A64),0)),"")</f>
        <v>16.89</v>
      </c>
      <c r="L64" s="99" t="str" cm="1">
        <f t="array" ref="L64">IFERROR(INDEX('[1]PROSES ENJEKSİYON'!$G:$G,MATCH(1,('[1]PROSES ENJEKSİYON'!$A:$A=$L$2)*('[1]PROSES ENJEKSİYON'!$F:$F=A64),0)),"")</f>
        <v/>
      </c>
      <c r="M64" s="93" t="str" cm="1">
        <f t="array" ref="M64">IFERROR(INDEX('[1]PROSES ENJEKSİYON'!$J:$J,MATCH(1,('[1]PROSES ENJEKSİYON'!$A:$A=$L$2)*('[1]PROSES ENJEKSİYON'!$F:$F=A64),0)),"")</f>
        <v/>
      </c>
      <c r="N64" s="93" t="str" cm="1">
        <f t="array" ref="N64">IFERROR(INDEX('[1]PROSES ENJEKSİYON'!$K:$K,MATCH(1,('[1]PROSES ENJEKSİYON'!$A:$A=$L$2)*('[1]PROSES ENJEKSİYON'!$F:$F=A64),0)),"")</f>
        <v/>
      </c>
      <c r="O64" s="96" t="str" cm="1">
        <f t="array" ref="O64">IFERROR(INDEX('[1]PROSES ENJEKSİYON'!$L:$L,MATCH(1,('[1]PROSES ENJEKSİYON'!$A:$A=$L$2)*('[1]PROSES ENJEKSİYON'!$F:$F=A64),0)),"")</f>
        <v/>
      </c>
      <c r="P64" s="92" t="str" cm="1">
        <f t="array" ref="P64">IFERROR(INDEX('[1]PROSES ENJEKSİYON'!$G:$G,MATCH(1,('[1]PROSES ENJEKSİYON'!$A:$A=$P$2)*('[1]PROSES ENJEKSİYON'!$F:$F=A64),0)),"")</f>
        <v>MM-PET0019-02-028C-040 - PET0019-02 650ML OPAK BEYAZ 28MM CAKMA 40GR</v>
      </c>
      <c r="Q64" s="93" cm="1">
        <f t="array" ref="Q64">IFERROR(INDEX('[1]PROSES ENJEKSİYON'!$J:$J,MATCH(1,('[1]PROSES ENJEKSİYON'!$A:$A=$P$2)*('[1]PROSES ENJEKSİYON'!$F:$F=A64),0)),"")</f>
        <v>5</v>
      </c>
      <c r="R64" s="93" cm="1">
        <f t="array" ref="R64">IFERROR(INDEX('[1]PROSES ENJEKSİYON'!$K:$K,MATCH(1,('[1]PROSES ENJEKSİYON'!$A:$A=$P$2)*('[1]PROSES ENJEKSİYON'!$F:$F=A64),0)),"")</f>
        <v>5</v>
      </c>
      <c r="S64" s="96" cm="1">
        <f t="array" ref="S64">IFERROR(INDEX('[1]PROSES ENJEKSİYON'!$L:$L,MATCH(1,('[1]PROSES ENJEKSİYON'!$A:$A=$P$2)*('[1]PROSES ENJEKSİYON'!$F:$F=A64),0)),"")</f>
        <v>16.809999999999999</v>
      </c>
      <c r="T64" s="92" t="str" cm="1">
        <f t="array" ref="T64">IFERROR(INDEX('[1]PROSES ENJEKSİYON'!$G:$G,MATCH(1,('[1]PROSES ENJEKSİYON'!$A:$A=$T$2)*('[1]PROSES ENJEKSİYON'!$F:$F=A64),0)),"")</f>
        <v>PET0019-02 650ML OPAK BEYAZ 28MM CAKMA 40GR</v>
      </c>
      <c r="U64" s="98" cm="1">
        <f t="array" ref="U64">IFERROR(INDEX('[1]PROSES ENJEKSİYON'!$J:$J,MATCH(1,('[1]PROSES ENJEKSİYON'!$A:$A=$T$2)*('[1]PROSES ENJEKSİYON'!$F:$F=A64),0)),"")</f>
        <v>5</v>
      </c>
      <c r="V64" s="98" cm="1">
        <f t="array" ref="V64">IFERROR(INDEX('[1]PROSES ENJEKSİYON'!$K:$K,MATCH(1,('[1]PROSES ENJEKSİYON'!$A:$A=$T$2)*('[1]PROSES ENJEKSİYON'!$F:$F=A64),0)),"")</f>
        <v>5</v>
      </c>
      <c r="W64" s="91" cm="1">
        <f t="array" ref="W64">IFERROR(INDEX('[1]PROSES ENJEKSİYON'!$L:$L,MATCH(1,('[1]PROSES ENJEKSİYON'!$A:$A=$T$2)*('[1]PROSES ENJEKSİYON'!$F:$F=A64),0)),"")</f>
        <v>16.809999999999999</v>
      </c>
      <c r="X64" s="92" t="str" cm="1">
        <f t="array" ref="X64">IFERROR(INDEX('[1]PROSES ENJEKSİYON'!$G:$G,MATCH(1,('[1]PROSES ENJEKSİYON'!$A:$A=$X$2)*('[1]PROSES ENJEKSİYON'!$F:$F=A64),0)),"")</f>
        <v/>
      </c>
      <c r="Y64" s="93" t="str" cm="1">
        <f t="array" ref="Y64">IFERROR(INDEX('[1]PROSES ENJEKSİYON'!$J:$J,MATCH(1,('[1]PROSES ENJEKSİYON'!$A:$A=$X$2)*('[1]PROSES ENJEKSİYON'!$F:$F=A64),0)),"")</f>
        <v/>
      </c>
      <c r="Z64" s="93" t="str" cm="1">
        <f t="array" ref="Z64">IFERROR(INDEX('[1]PROSES ENJEKSİYON'!$K:$K,MATCH(1,('[1]PROSES ENJEKSİYON'!$A:$A=$X$2)*('[1]PROSES ENJEKSİYON'!$F:$F=A64),0)),"")</f>
        <v/>
      </c>
      <c r="AA64" s="97" t="str" cm="1">
        <f t="array" ref="AA64">IFERROR(INDEX('[1]PROSES ENJEKSİYON'!$L:$L,MATCH(1,('[1]PROSES ENJEKSİYON'!$A:$A=$X$2)*('[1]PROSES ENJEKSİYON'!$F:$F=A64),0)),"")</f>
        <v/>
      </c>
      <c r="AB64" s="70" t="str" cm="1">
        <f t="array" ref="AB64">IFERROR(INDEX('[1]PROSES ENJEKSİYON'!$G:$G,MATCH(1,('[1]PROSES ENJEKSİYON'!$A:$A=$H$2)*('[1]PROSES ENJEKSİYON'!$F:$F=U64),0)),"")</f>
        <v/>
      </c>
      <c r="AC64" s="64" t="str" cm="1">
        <f t="array" ref="AC64">IFERROR(INDEX('[1]PROSES ENJEKSİYON'!$J:$J,MATCH(1,('[1]PROSES ENJEKSİYON'!$A:$A=$H$2)*('[1]PROSES ENJEKSİYON'!$F:$F=U64),0)),"")</f>
        <v/>
      </c>
      <c r="AD64" s="64" t="str" cm="1">
        <f t="array" ref="AD64">IFERROR(INDEX('[1]PROSES ENJEKSİYON'!$K:$K,MATCH(1,('[1]PROSES ENJEKSİYON'!$A:$A=$H$2)*('[1]PROSES ENJEKSİYON'!$F:$F=U64),0)),"")</f>
        <v/>
      </c>
      <c r="AE64" s="44" t="str" cm="1">
        <f t="array" ref="AE64">IFERROR(INDEX('[1]PROSES ENJEKSİYON'!$L:$L,MATCH(1,('[1]PROSES ENJEKSİYON'!$A:$A=$H$2)*('[1]PROSES ENJEKSİYON'!$F:$F=U64),0)),"")</f>
        <v/>
      </c>
    </row>
    <row r="65" spans="1:31" ht="46.95" customHeight="1" thickBot="1" x14ac:dyDescent="0.45">
      <c r="A65" s="67">
        <v>174</v>
      </c>
      <c r="H65" s="71" t="str" cm="1">
        <f t="array" ref="H65">IFERROR(INDEX('[1]PROSES ENJEKSİYON'!$G:$G,MATCH(1,('[1]PROSES ENJEKSİYON'!$A:$A=$H$2)*('[1]PROSES ENJEKSİYON'!$F:$F=A65),0)),"")</f>
        <v/>
      </c>
      <c r="I65" s="93" t="str" cm="1">
        <f t="array" ref="I65">IFERROR(INDEX('[1]PROSES ENJEKSİYON'!$J:$J,MATCH(1,('[1]PROSES ENJEKSİYON'!$A:$A=$H$2)*('[1]PROSES ENJEKSİYON'!$F:$F=A65),0)),"")</f>
        <v/>
      </c>
      <c r="J65" s="93" t="str" cm="1">
        <f t="array" ref="J65">IFERROR(INDEX('[1]PROSES ENJEKSİYON'!$K:$K,MATCH(1,('[1]PROSES ENJEKSİYON'!$A:$A=$H$2)*('[1]PROSES ENJEKSİYON'!$F:$F=A65),0)),"")</f>
        <v/>
      </c>
      <c r="K65" s="96" t="str" cm="1">
        <f t="array" ref="K65">IFERROR(INDEX('[1]PROSES ENJEKSİYON'!$L:$L,MATCH(1,('[1]PROSES ENJEKSİYON'!$A:$A=$H$2)*('[1]PROSES ENJEKSİYON'!$F:$F=A65),0)),"")</f>
        <v/>
      </c>
      <c r="L65" s="99" t="str" cm="1">
        <f t="array" ref="L65">IFERROR(INDEX('[1]PROSES ENJEKSİYON'!$G:$G,MATCH(1,('[1]PROSES ENJEKSİYON'!$A:$A=$L$2)*('[1]PROSES ENJEKSİYON'!$F:$F=A65),0)),"")</f>
        <v/>
      </c>
      <c r="M65" s="93" t="str" cm="1">
        <f t="array" ref="M65">IFERROR(INDEX('[1]PROSES ENJEKSİYON'!$J:$J,MATCH(1,('[1]PROSES ENJEKSİYON'!$A:$A=$L$2)*('[1]PROSES ENJEKSİYON'!$F:$F=A65),0)),"")</f>
        <v/>
      </c>
      <c r="N65" s="93" t="str" cm="1">
        <f t="array" ref="N65">IFERROR(INDEX('[1]PROSES ENJEKSİYON'!$K:$K,MATCH(1,('[1]PROSES ENJEKSİYON'!$A:$A=$L$2)*('[1]PROSES ENJEKSİYON'!$F:$F=A65),0)),"")</f>
        <v/>
      </c>
      <c r="O65" s="96" t="str" cm="1">
        <f t="array" ref="O65">IFERROR(INDEX('[1]PROSES ENJEKSİYON'!$L:$L,MATCH(1,('[1]PROSES ENJEKSİYON'!$A:$A=$L$2)*('[1]PROSES ENJEKSİYON'!$F:$F=A65),0)),"")</f>
        <v/>
      </c>
      <c r="P65" s="92" t="str" cm="1">
        <f t="array" ref="P65">IFERROR(INDEX('[1]PROSES ENJEKSİYON'!$G:$G,MATCH(1,('[1]PROSES ENJEKSİYON'!$A:$A=$P$2)*('[1]PROSES ENJEKSİYON'!$F:$F=A65),0)),"")</f>
        <v>MM-PET0185-01-100Y-045 - PET0185-01 500ML SEFFAF SEFFAF 100MM YIVLI 45GR</v>
      </c>
      <c r="Q65" s="93" cm="1">
        <f t="array" ref="Q65">IFERROR(INDEX('[1]PROSES ENJEKSİYON'!$J:$J,MATCH(1,('[1]PROSES ENJEKSİYON'!$A:$A=$P$2)*('[1]PROSES ENJEKSİYON'!$F:$F=A65),0)),"")</f>
        <v>3</v>
      </c>
      <c r="R65" s="93" cm="1">
        <f t="array" ref="R65">IFERROR(INDEX('[1]PROSES ENJEKSİYON'!$K:$K,MATCH(1,('[1]PROSES ENJEKSİYON'!$A:$A=$P$2)*('[1]PROSES ENJEKSİYON'!$F:$F=A65),0)),"")</f>
        <v>3</v>
      </c>
      <c r="S65" s="96" cm="1">
        <f t="array" ref="S65">IFERROR(INDEX('[1]PROSES ENJEKSİYON'!$L:$L,MATCH(1,('[1]PROSES ENJEKSİYON'!$A:$A=$P$2)*('[1]PROSES ENJEKSİYON'!$F:$F=A65),0)),"")</f>
        <v>14.64</v>
      </c>
      <c r="T65" s="92" t="str" cm="1">
        <f t="array" ref="T65">IFERROR(INDEX('[1]PROSES ENJEKSİYON'!$G:$G,MATCH(1,('[1]PROSES ENJEKSİYON'!$A:$A=$T$2)*('[1]PROSES ENJEKSİYON'!$F:$F=A65),0)),"")</f>
        <v>PET0185-01 500ML SEFFAF SEFFAF 100MM YIVLI 45GR</v>
      </c>
      <c r="U65" s="93" cm="1">
        <f t="array" ref="U65">IFERROR(INDEX('[1]PROSES ENJEKSİYON'!$J:$J,MATCH(1,('[1]PROSES ENJEKSİYON'!$A:$A=$T$2)*('[1]PROSES ENJEKSİYON'!$F:$F=A65),0)),"")</f>
        <v>3</v>
      </c>
      <c r="V65" s="93" cm="1">
        <f t="array" ref="V65">IFERROR(INDEX('[1]PROSES ENJEKSİYON'!$K:$K,MATCH(1,('[1]PROSES ENJEKSİYON'!$A:$A=$T$2)*('[1]PROSES ENJEKSİYON'!$F:$F=A65),0)),"")</f>
        <v>3</v>
      </c>
      <c r="W65" s="95" cm="1">
        <f t="array" ref="W65">IFERROR(INDEX('[1]PROSES ENJEKSİYON'!$L:$L,MATCH(1,('[1]PROSES ENJEKSİYON'!$A:$A=$T$2)*('[1]PROSES ENJEKSİYON'!$F:$F=A65),0)),"")</f>
        <v>14.61</v>
      </c>
      <c r="X65" s="92" t="str" cm="1">
        <f t="array" ref="X65">IFERROR(INDEX('[1]PROSES ENJEKSİYON'!$G:$G,MATCH(1,('[1]PROSES ENJEKSİYON'!$A:$A=$X$2)*('[1]PROSES ENJEKSİYON'!$F:$F=A65),0)),"")</f>
        <v/>
      </c>
      <c r="Y65" s="93" t="str" cm="1">
        <f t="array" ref="Y65">IFERROR(INDEX('[1]PROSES ENJEKSİYON'!$J:$J,MATCH(1,('[1]PROSES ENJEKSİYON'!$A:$A=$X$2)*('[1]PROSES ENJEKSİYON'!$F:$F=A65),0)),"")</f>
        <v/>
      </c>
      <c r="Z65" s="93" t="str" cm="1">
        <f t="array" ref="Z65">IFERROR(INDEX('[1]PROSES ENJEKSİYON'!$K:$K,MATCH(1,('[1]PROSES ENJEKSİYON'!$A:$A=$X$2)*('[1]PROSES ENJEKSİYON'!$F:$F=A65),0)),"")</f>
        <v/>
      </c>
      <c r="AA65" s="97" t="str" cm="1">
        <f t="array" ref="AA65">IFERROR(INDEX('[1]PROSES ENJEKSİYON'!$L:$L,MATCH(1,('[1]PROSES ENJEKSİYON'!$A:$A=$X$2)*('[1]PROSES ENJEKSİYON'!$F:$F=A65),0)),"")</f>
        <v/>
      </c>
      <c r="AB65" s="70" t="str" cm="1">
        <f t="array" ref="AB65">IFERROR(INDEX('[1]PROSES ENJEKSİYON'!$G:$G,MATCH(1,('[1]PROSES ENJEKSİYON'!$A:$A=$H$2)*('[1]PROSES ENJEKSİYON'!$F:$F=U65),0)),"")</f>
        <v/>
      </c>
      <c r="AC65" s="64" t="str" cm="1">
        <f t="array" ref="AC65">IFERROR(INDEX('[1]PROSES ENJEKSİYON'!$J:$J,MATCH(1,('[1]PROSES ENJEKSİYON'!$A:$A=$H$2)*('[1]PROSES ENJEKSİYON'!$F:$F=U65),0)),"")</f>
        <v/>
      </c>
      <c r="AD65" s="64" t="str" cm="1">
        <f t="array" ref="AD65">IFERROR(INDEX('[1]PROSES ENJEKSİYON'!$K:$K,MATCH(1,('[1]PROSES ENJEKSİYON'!$A:$A=$H$2)*('[1]PROSES ENJEKSİYON'!$F:$F=U65),0)),"")</f>
        <v/>
      </c>
      <c r="AE65" s="44" t="str" cm="1">
        <f t="array" ref="AE65">IFERROR(INDEX('[1]PROSES ENJEKSİYON'!$L:$L,MATCH(1,('[1]PROSES ENJEKSİYON'!$A:$A=$H$2)*('[1]PROSES ENJEKSİYON'!$F:$F=U65),0)),"")</f>
        <v/>
      </c>
    </row>
    <row r="66" spans="1:31" ht="46.95" customHeight="1" thickBot="1" x14ac:dyDescent="0.45">
      <c r="A66" s="67">
        <v>175</v>
      </c>
      <c r="H66" s="99" t="str" cm="1">
        <f t="array" ref="H66">IFERROR(INDEX('[1]PROSES ENJEKSİYON'!$G:$G,MATCH(1,('[1]PROSES ENJEKSİYON'!$A:$A=$H$2)*('[1]PROSES ENJEKSİYON'!$F:$F=A66),0)),"")</f>
        <v/>
      </c>
      <c r="I66" s="93" t="str" cm="1">
        <f t="array" ref="I66">IFERROR(INDEX('[1]PROSES ENJEKSİYON'!$J:$J,MATCH(1,('[1]PROSES ENJEKSİYON'!$A:$A=$H$2)*('[1]PROSES ENJEKSİYON'!$F:$F=A66),0)),"")</f>
        <v/>
      </c>
      <c r="J66" s="93" t="str" cm="1">
        <f t="array" ref="J66">IFERROR(INDEX('[1]PROSES ENJEKSİYON'!$K:$K,MATCH(1,('[1]PROSES ENJEKSİYON'!$A:$A=$H$2)*('[1]PROSES ENJEKSİYON'!$F:$F=A66),0)),"")</f>
        <v/>
      </c>
      <c r="K66" s="96" t="str" cm="1">
        <f t="array" ref="K66">IFERROR(INDEX('[1]PROSES ENJEKSİYON'!$L:$L,MATCH(1,('[1]PROSES ENJEKSİYON'!$A:$A=$H$2)*('[1]PROSES ENJEKSİYON'!$F:$F=A66),0)),"")</f>
        <v/>
      </c>
      <c r="L66" s="99" t="str" cm="1">
        <f t="array" ref="L66">IFERROR(INDEX('[1]PROSES ENJEKSİYON'!$G:$G,MATCH(1,('[1]PROSES ENJEKSİYON'!$A:$A=$L$2)*('[1]PROSES ENJEKSİYON'!$F:$F=A66),0)),"")</f>
        <v/>
      </c>
      <c r="M66" s="93" t="str" cm="1">
        <f t="array" ref="M66">IFERROR(INDEX('[1]PROSES ENJEKSİYON'!$J:$J,MATCH(1,('[1]PROSES ENJEKSİYON'!$A:$A=$L$2)*('[1]PROSES ENJEKSİYON'!$F:$F=A66),0)),"")</f>
        <v/>
      </c>
      <c r="N66" s="93" t="str" cm="1">
        <f t="array" ref="N66">IFERROR(INDEX('[1]PROSES ENJEKSİYON'!$K:$K,MATCH(1,('[1]PROSES ENJEKSİYON'!$A:$A=$L$2)*('[1]PROSES ENJEKSİYON'!$F:$F=A66),0)),"")</f>
        <v/>
      </c>
      <c r="O66" s="96" t="str" cm="1">
        <f t="array" ref="O66">IFERROR(INDEX('[1]PROSES ENJEKSİYON'!$L:$L,MATCH(1,('[1]PROSES ENJEKSİYON'!$A:$A=$L$2)*('[1]PROSES ENJEKSİYON'!$F:$F=A66),0)),"")</f>
        <v/>
      </c>
      <c r="P66" s="92" t="str" cm="1">
        <f t="array" ref="P66">IFERROR(INDEX('[1]PROSES ENJEKSİYON'!$G:$G,MATCH(1,('[1]PROSES ENJEKSİYON'!$A:$A=$P$2)*('[1]PROSES ENJEKSİYON'!$F:$F=A66),0)),"")</f>
        <v>MM-PET0238-01-028C-035 - PET0238-01 450ML SEFFAF UV 28MM CAKMA 35GR</v>
      </c>
      <c r="Q66" s="93" cm="1">
        <f t="array" ref="Q66">IFERROR(INDEX('[1]PROSES ENJEKSİYON'!$J:$J,MATCH(1,('[1]PROSES ENJEKSİYON'!$A:$A=$P$2)*('[1]PROSES ENJEKSİYON'!$F:$F=A66),0)),"")</f>
        <v>5</v>
      </c>
      <c r="R66" s="93" cm="1">
        <f t="array" ref="R66">IFERROR(INDEX('[1]PROSES ENJEKSİYON'!$K:$K,MATCH(1,('[1]PROSES ENJEKSİYON'!$A:$A=$P$2)*('[1]PROSES ENJEKSİYON'!$F:$F=A66),0)),"")</f>
        <v>5</v>
      </c>
      <c r="S66" s="96" cm="1">
        <f t="array" ref="S66">IFERROR(INDEX('[1]PROSES ENJEKSİYON'!$L:$L,MATCH(1,('[1]PROSES ENJEKSİYON'!$A:$A=$P$2)*('[1]PROSES ENJEKSİYON'!$F:$F=A66),0)),"")</f>
        <v>15.21</v>
      </c>
      <c r="T66" s="92" t="str" cm="1">
        <f t="array" ref="T66">IFERROR(INDEX('[1]PROSES ENJEKSİYON'!$G:$G,MATCH(1,('[1]PROSES ENJEKSİYON'!$A:$A=$T$2)*('[1]PROSES ENJEKSİYON'!$F:$F=A66),0)),"")</f>
        <v>PET0238-01 450ML SEFFAF UV 28MM CAKMA 35GR</v>
      </c>
      <c r="U66" s="98" cm="1">
        <f t="array" ref="U66">IFERROR(INDEX('[1]PROSES ENJEKSİYON'!$J:$J,MATCH(1,('[1]PROSES ENJEKSİYON'!$A:$A=$T$2)*('[1]PROSES ENJEKSİYON'!$F:$F=A66),0)),"")</f>
        <v>5</v>
      </c>
      <c r="V66" s="98" cm="1">
        <f t="array" ref="V66">IFERROR(INDEX('[1]PROSES ENJEKSİYON'!$K:$K,MATCH(1,('[1]PROSES ENJEKSİYON'!$A:$A=$T$2)*('[1]PROSES ENJEKSİYON'!$F:$F=A66),0)),"")</f>
        <v>5</v>
      </c>
      <c r="W66" s="91" cm="1">
        <f t="array" ref="W66">IFERROR(INDEX('[1]PROSES ENJEKSİYON'!$L:$L,MATCH(1,('[1]PROSES ENJEKSİYON'!$A:$A=$T$2)*('[1]PROSES ENJEKSİYON'!$F:$F=A66),0)),"")</f>
        <v>15.22</v>
      </c>
      <c r="X66" s="92" t="str" cm="1">
        <f t="array" ref="X66">IFERROR(INDEX('[1]PROSES ENJEKSİYON'!$G:$G,MATCH(1,('[1]PROSES ENJEKSİYON'!$A:$A=$X$2)*('[1]PROSES ENJEKSİYON'!$F:$F=A66),0)),"")</f>
        <v/>
      </c>
      <c r="Y66" s="93" t="str" cm="1">
        <f t="array" ref="Y66">IFERROR(INDEX('[1]PROSES ENJEKSİYON'!$J:$J,MATCH(1,('[1]PROSES ENJEKSİYON'!$A:$A=$X$2)*('[1]PROSES ENJEKSİYON'!$F:$F=A66),0)),"")</f>
        <v/>
      </c>
      <c r="Z66" s="93" t="str" cm="1">
        <f t="array" ref="Z66">IFERROR(INDEX('[1]PROSES ENJEKSİYON'!$K:$K,MATCH(1,('[1]PROSES ENJEKSİYON'!$A:$A=$X$2)*('[1]PROSES ENJEKSİYON'!$F:$F=A66),0)),"")</f>
        <v/>
      </c>
      <c r="AA66" s="97" t="str" cm="1">
        <f t="array" ref="AA66">IFERROR(INDEX('[1]PROSES ENJEKSİYON'!$L:$L,MATCH(1,('[1]PROSES ENJEKSİYON'!$A:$A=$X$2)*('[1]PROSES ENJEKSİYON'!$F:$F=A66),0)),"")</f>
        <v/>
      </c>
      <c r="AB66" s="70" t="str" cm="1">
        <f t="array" ref="AB66">IFERROR(INDEX('[1]PROSES ENJEKSİYON'!$G:$G,MATCH(1,('[1]PROSES ENJEKSİYON'!$A:$A=$H$2)*('[1]PROSES ENJEKSİYON'!$F:$F=U66),0)),"")</f>
        <v/>
      </c>
      <c r="AC66" s="64" t="str" cm="1">
        <f t="array" ref="AC66">IFERROR(INDEX('[1]PROSES ENJEKSİYON'!$J:$J,MATCH(1,('[1]PROSES ENJEKSİYON'!$A:$A=$H$2)*('[1]PROSES ENJEKSİYON'!$F:$F=U66),0)),"")</f>
        <v/>
      </c>
      <c r="AD66" s="64" t="str" cm="1">
        <f t="array" ref="AD66">IFERROR(INDEX('[1]PROSES ENJEKSİYON'!$K:$K,MATCH(1,('[1]PROSES ENJEKSİYON'!$A:$A=$H$2)*('[1]PROSES ENJEKSİYON'!$F:$F=U66),0)),"")</f>
        <v/>
      </c>
      <c r="AE66" s="44" t="str" cm="1">
        <f t="array" ref="AE66">IFERROR(INDEX('[1]PROSES ENJEKSİYON'!$L:$L,MATCH(1,('[1]PROSES ENJEKSİYON'!$A:$A=$H$2)*('[1]PROSES ENJEKSİYON'!$F:$F=U66),0)),"")</f>
        <v/>
      </c>
    </row>
    <row r="67" spans="1:31" ht="46.95" customHeight="1" thickBot="1" x14ac:dyDescent="0.45">
      <c r="A67" s="67">
        <v>176</v>
      </c>
      <c r="H67" s="71" t="str" cm="1">
        <f t="array" ref="H67">IFERROR(INDEX('[1]PROSES ENJEKSİYON'!$G:$G,MATCH(1,('[1]PROSES ENJEKSİYON'!$A:$A=$H$2)*('[1]PROSES ENJEKSİYON'!$F:$F=A67),0)),"")</f>
        <v>PET0015-05 1000ML OPAK TURKUAZ 28MM YIVLI 52GR</v>
      </c>
      <c r="I67" s="93" cm="1">
        <f t="array" ref="I67">IFERROR(INDEX('[1]PROSES ENJEKSİYON'!$J:$J,MATCH(1,('[1]PROSES ENJEKSİYON'!$A:$A=$H$2)*('[1]PROSES ENJEKSİYON'!$F:$F=A67),0)),"")</f>
        <v>5</v>
      </c>
      <c r="J67" s="93" cm="1">
        <f t="array" ref="J67">IFERROR(INDEX('[1]PROSES ENJEKSİYON'!$K:$K,MATCH(1,('[1]PROSES ENJEKSİYON'!$A:$A=$H$2)*('[1]PROSES ENJEKSİYON'!$F:$F=A67),0)),"")</f>
        <v>5</v>
      </c>
      <c r="K67" s="96" cm="1">
        <f t="array" ref="K67">IFERROR(INDEX('[1]PROSES ENJEKSİYON'!$L:$L,MATCH(1,('[1]PROSES ENJEKSİYON'!$A:$A=$H$2)*('[1]PROSES ENJEKSİYON'!$F:$F=A67),0)),"")</f>
        <v>18.5</v>
      </c>
      <c r="L67" s="99" t="str" cm="1">
        <f t="array" ref="L67">IFERROR(INDEX('[1]PROSES ENJEKSİYON'!$G:$G,MATCH(1,('[1]PROSES ENJEKSİYON'!$A:$A=$L$2)*('[1]PROSES ENJEKSİYON'!$F:$F=A67),0)),"")</f>
        <v/>
      </c>
      <c r="M67" s="93" t="str" cm="1">
        <f t="array" ref="M67">IFERROR(INDEX('[1]PROSES ENJEKSİYON'!$J:$J,MATCH(1,('[1]PROSES ENJEKSİYON'!$A:$A=$L$2)*('[1]PROSES ENJEKSİYON'!$F:$F=A67),0)),"")</f>
        <v/>
      </c>
      <c r="N67" s="93" t="str" cm="1">
        <f t="array" ref="N67">IFERROR(INDEX('[1]PROSES ENJEKSİYON'!$K:$K,MATCH(1,('[1]PROSES ENJEKSİYON'!$A:$A=$L$2)*('[1]PROSES ENJEKSİYON'!$F:$F=A67),0)),"")</f>
        <v/>
      </c>
      <c r="O67" s="96" t="str" cm="1">
        <f t="array" ref="O67">IFERROR(INDEX('[1]PROSES ENJEKSİYON'!$L:$L,MATCH(1,('[1]PROSES ENJEKSİYON'!$A:$A=$L$2)*('[1]PROSES ENJEKSİYON'!$F:$F=A67),0)),"")</f>
        <v/>
      </c>
      <c r="P67" s="92" t="str" cm="1">
        <f t="array" ref="P67">IFERROR(INDEX('[1]PROSES ENJEKSİYON'!$G:$G,MATCH(1,('[1]PROSES ENJEKSİYON'!$A:$A=$P$2)*('[1]PROSES ENJEKSİYON'!$F:$F=A67),0)),"")</f>
        <v>MM-PET0026-04-028Y-052 - PET0026-04 900ML OPAK BEYAZ 28MM YIVLI 52GR</v>
      </c>
      <c r="Q67" s="93" cm="1">
        <f t="array" ref="Q67">IFERROR(INDEX('[1]PROSES ENJEKSİYON'!$J:$J,MATCH(1,('[1]PROSES ENJEKSİYON'!$A:$A=$P$2)*('[1]PROSES ENJEKSİYON'!$F:$F=A67),0)),"")</f>
        <v>5</v>
      </c>
      <c r="R67" s="93" cm="1">
        <f t="array" ref="R67">IFERROR(INDEX('[1]PROSES ENJEKSİYON'!$K:$K,MATCH(1,('[1]PROSES ENJEKSİYON'!$A:$A=$P$2)*('[1]PROSES ENJEKSİYON'!$F:$F=A67),0)),"")</f>
        <v>5</v>
      </c>
      <c r="S67" s="96" cm="1">
        <f t="array" ref="S67">IFERROR(INDEX('[1]PROSES ENJEKSİYON'!$L:$L,MATCH(1,('[1]PROSES ENJEKSİYON'!$A:$A=$P$2)*('[1]PROSES ENJEKSİYON'!$F:$F=A67),0)),"")</f>
        <v>18.010000000000002</v>
      </c>
      <c r="T67" s="92" t="str" cm="1">
        <f t="array" ref="T67">IFERROR(INDEX('[1]PROSES ENJEKSİYON'!$G:$G,MATCH(1,('[1]PROSES ENJEKSİYON'!$A:$A=$T$2)*('[1]PROSES ENJEKSİYON'!$F:$F=A67),0)),"")</f>
        <v>PET0015-04 1000ML OPAK MAVI 28MM YIVLI 52GR</v>
      </c>
      <c r="U67" s="98" cm="1">
        <f t="array" ref="U67">IFERROR(INDEX('[1]PROSES ENJEKSİYON'!$J:$J,MATCH(1,('[1]PROSES ENJEKSİYON'!$A:$A=$T$2)*('[1]PROSES ENJEKSİYON'!$F:$F=A67),0)),"")</f>
        <v>5</v>
      </c>
      <c r="V67" s="98" cm="1">
        <f t="array" ref="V67">IFERROR(INDEX('[1]PROSES ENJEKSİYON'!$K:$K,MATCH(1,('[1]PROSES ENJEKSİYON'!$A:$A=$T$2)*('[1]PROSES ENJEKSİYON'!$F:$F=A67),0)),"")</f>
        <v>5</v>
      </c>
      <c r="W67" s="91" cm="1">
        <f t="array" ref="W67">IFERROR(INDEX('[1]PROSES ENJEKSİYON'!$L:$L,MATCH(1,('[1]PROSES ENJEKSİYON'!$A:$A=$T$2)*('[1]PROSES ENJEKSİYON'!$F:$F=A67),0)),"")</f>
        <v>18.010000000000002</v>
      </c>
      <c r="X67" s="92" t="str" cm="1">
        <f t="array" ref="X67">IFERROR(INDEX('[1]PROSES ENJEKSİYON'!$G:$G,MATCH(1,('[1]PROSES ENJEKSİYON'!$A:$A=$X$2)*('[1]PROSES ENJEKSİYON'!$F:$F=A67),0)),"")</f>
        <v/>
      </c>
      <c r="Y67" s="93" t="str" cm="1">
        <f t="array" ref="Y67">IFERROR(INDEX('[1]PROSES ENJEKSİYON'!$J:$J,MATCH(1,('[1]PROSES ENJEKSİYON'!$A:$A=$X$2)*('[1]PROSES ENJEKSİYON'!$F:$F=A67),0)),"")</f>
        <v/>
      </c>
      <c r="Z67" s="93" t="str" cm="1">
        <f t="array" ref="Z67">IFERROR(INDEX('[1]PROSES ENJEKSİYON'!$K:$K,MATCH(1,('[1]PROSES ENJEKSİYON'!$A:$A=$X$2)*('[1]PROSES ENJEKSİYON'!$F:$F=A67),0)),"")</f>
        <v/>
      </c>
      <c r="AA67" s="97" t="str" cm="1">
        <f t="array" ref="AA67">IFERROR(INDEX('[1]PROSES ENJEKSİYON'!$L:$L,MATCH(1,('[1]PROSES ENJEKSİYON'!$A:$A=$X$2)*('[1]PROSES ENJEKSİYON'!$F:$F=A67),0)),"")</f>
        <v/>
      </c>
      <c r="AB67" s="70" t="str" cm="1">
        <f t="array" ref="AB67">IFERROR(INDEX('[1]PROSES ENJEKSİYON'!$G:$G,MATCH(1,('[1]PROSES ENJEKSİYON'!$A:$A=$H$2)*('[1]PROSES ENJEKSİYON'!$F:$F=U67),0)),"")</f>
        <v/>
      </c>
      <c r="AC67" s="64" t="str" cm="1">
        <f t="array" ref="AC67">IFERROR(INDEX('[1]PROSES ENJEKSİYON'!$J:$J,MATCH(1,('[1]PROSES ENJEKSİYON'!$A:$A=$H$2)*('[1]PROSES ENJEKSİYON'!$F:$F=U67),0)),"")</f>
        <v/>
      </c>
      <c r="AD67" s="64" t="str" cm="1">
        <f t="array" ref="AD67">IFERROR(INDEX('[1]PROSES ENJEKSİYON'!$K:$K,MATCH(1,('[1]PROSES ENJEKSİYON'!$A:$A=$H$2)*('[1]PROSES ENJEKSİYON'!$F:$F=U67),0)),"")</f>
        <v/>
      </c>
      <c r="AE67" s="44" t="str" cm="1">
        <f t="array" ref="AE67">IFERROR(INDEX('[1]PROSES ENJEKSİYON'!$L:$L,MATCH(1,('[1]PROSES ENJEKSİYON'!$A:$A=$H$2)*('[1]PROSES ENJEKSİYON'!$F:$F=U67),0)),"")</f>
        <v/>
      </c>
    </row>
    <row r="68" spans="1:31" ht="46.95" customHeight="1" thickBot="1" x14ac:dyDescent="0.45">
      <c r="A68" s="67">
        <v>177</v>
      </c>
      <c r="H68" s="99" t="str" cm="1">
        <f t="array" ref="H68">IFERROR(INDEX('[1]PROSES ENJEKSİYON'!$G:$G,MATCH(1,('[1]PROSES ENJEKSİYON'!$A:$A=$H$2)*('[1]PROSES ENJEKSİYON'!$F:$F=A68),0)),"")</f>
        <v>PET0015-06 1000ML OPAK SEDEFLI MOR 28MM YIVLI 52GR</v>
      </c>
      <c r="I68" s="93" cm="1">
        <f t="array" ref="I68">IFERROR(INDEX('[1]PROSES ENJEKSİYON'!$J:$J,MATCH(1,('[1]PROSES ENJEKSİYON'!$A:$A=$H$2)*('[1]PROSES ENJEKSİYON'!$F:$F=A68),0)),"")</f>
        <v>4</v>
      </c>
      <c r="J68" s="93" cm="1">
        <f t="array" ref="J68">IFERROR(INDEX('[1]PROSES ENJEKSİYON'!$K:$K,MATCH(1,('[1]PROSES ENJEKSİYON'!$A:$A=$H$2)*('[1]PROSES ENJEKSİYON'!$F:$F=A68),0)),"")</f>
        <v>4</v>
      </c>
      <c r="K68" s="96" cm="1">
        <f t="array" ref="K68">IFERROR(INDEX('[1]PROSES ENJEKSİYON'!$L:$L,MATCH(1,('[1]PROSES ENJEKSİYON'!$A:$A=$H$2)*('[1]PROSES ENJEKSİYON'!$F:$F=A68),0)),"")</f>
        <v>17.760000000000002</v>
      </c>
      <c r="L68" s="99" t="str" cm="1">
        <f t="array" ref="L68">IFERROR(INDEX('[1]PROSES ENJEKSİYON'!$G:$G,MATCH(1,('[1]PROSES ENJEKSİYON'!$A:$A=$L$2)*('[1]PROSES ENJEKSİYON'!$F:$F=A68),0)),"")</f>
        <v/>
      </c>
      <c r="M68" s="93" t="str" cm="1">
        <f t="array" ref="M68">IFERROR(INDEX('[1]PROSES ENJEKSİYON'!$J:$J,MATCH(1,('[1]PROSES ENJEKSİYON'!$A:$A=$L$2)*('[1]PROSES ENJEKSİYON'!$F:$F=A68),0)),"")</f>
        <v/>
      </c>
      <c r="N68" s="93" t="str" cm="1">
        <f t="array" ref="N68">IFERROR(INDEX('[1]PROSES ENJEKSİYON'!$K:$K,MATCH(1,('[1]PROSES ENJEKSİYON'!$A:$A=$L$2)*('[1]PROSES ENJEKSİYON'!$F:$F=A68),0)),"")</f>
        <v/>
      </c>
      <c r="O68" s="96" t="str" cm="1">
        <f t="array" ref="O68">IFERROR(INDEX('[1]PROSES ENJEKSİYON'!$L:$L,MATCH(1,('[1]PROSES ENJEKSİYON'!$A:$A=$L$2)*('[1]PROSES ENJEKSİYON'!$F:$F=A68),0)),"")</f>
        <v/>
      </c>
      <c r="P68" s="92" t="str" cm="1">
        <f t="array" ref="P68">IFERROR(INDEX('[1]PROSES ENJEKSİYON'!$G:$G,MATCH(1,('[1]PROSES ENJEKSİYON'!$A:$A=$P$2)*('[1]PROSES ENJEKSİYON'!$F:$F=A68),0)),"")</f>
        <v>MM-PET0015-02-028Y-052 - PET0015-02 1000ML OPAK YESIL 28MM YIVLI 52GR</v>
      </c>
      <c r="Q68" s="93" cm="1">
        <f t="array" ref="Q68">IFERROR(INDEX('[1]PROSES ENJEKSİYON'!$J:$J,MATCH(1,('[1]PROSES ENJEKSİYON'!$A:$A=$P$2)*('[1]PROSES ENJEKSİYON'!$F:$F=A68),0)),"")</f>
        <v>4</v>
      </c>
      <c r="R68" s="93" cm="1">
        <f t="array" ref="R68">IFERROR(INDEX('[1]PROSES ENJEKSİYON'!$K:$K,MATCH(1,('[1]PROSES ENJEKSİYON'!$A:$A=$P$2)*('[1]PROSES ENJEKSİYON'!$F:$F=A68),0)),"")</f>
        <v>4</v>
      </c>
      <c r="S68" s="96" cm="1">
        <f t="array" ref="S68">IFERROR(INDEX('[1]PROSES ENJEKSİYON'!$L:$L,MATCH(1,('[1]PROSES ENJEKSİYON'!$A:$A=$P$2)*('[1]PROSES ENJEKSİYON'!$F:$F=A68),0)),"")</f>
        <v>18.39</v>
      </c>
      <c r="T68" s="92" t="str" cm="1">
        <f t="array" ref="T68">IFERROR(INDEX('[1]PROSES ENJEKSİYON'!$G:$G,MATCH(1,('[1]PROSES ENJEKSİYON'!$A:$A=$T$2)*('[1]PROSES ENJEKSİYON'!$F:$F=A68),0)),"")</f>
        <v>PET0015-02 1000ML OPAK YESIL 28MM YIVLI 52GR</v>
      </c>
      <c r="U68" s="98" cm="1">
        <f t="array" ref="U68">IFERROR(INDEX('[1]PROSES ENJEKSİYON'!$J:$J,MATCH(1,('[1]PROSES ENJEKSİYON'!$A:$A=$T$2)*('[1]PROSES ENJEKSİYON'!$F:$F=A68),0)),"")</f>
        <v>4</v>
      </c>
      <c r="V68" s="98" cm="1">
        <f t="array" ref="V68">IFERROR(INDEX('[1]PROSES ENJEKSİYON'!$K:$K,MATCH(1,('[1]PROSES ENJEKSİYON'!$A:$A=$T$2)*('[1]PROSES ENJEKSİYON'!$F:$F=A68),0)),"")</f>
        <v>4</v>
      </c>
      <c r="W68" s="91" cm="1">
        <f t="array" ref="W68">IFERROR(INDEX('[1]PROSES ENJEKSİYON'!$L:$L,MATCH(1,('[1]PROSES ENJEKSİYON'!$A:$A=$T$2)*('[1]PROSES ENJEKSİYON'!$F:$F=A68),0)),"")</f>
        <v>18.36</v>
      </c>
      <c r="X68" s="92" t="str" cm="1">
        <f t="array" ref="X68">IFERROR(INDEX('[1]PROSES ENJEKSİYON'!$G:$G,MATCH(1,('[1]PROSES ENJEKSİYON'!$A:$A=$X$2)*('[1]PROSES ENJEKSİYON'!$F:$F=A68),0)),"")</f>
        <v/>
      </c>
      <c r="Y68" s="93" t="str" cm="1">
        <f t="array" ref="Y68">IFERROR(INDEX('[1]PROSES ENJEKSİYON'!$J:$J,MATCH(1,('[1]PROSES ENJEKSİYON'!$A:$A=$X$2)*('[1]PROSES ENJEKSİYON'!$F:$F=A68),0)),"")</f>
        <v/>
      </c>
      <c r="Z68" s="93" t="str" cm="1">
        <f t="array" ref="Z68">IFERROR(INDEX('[1]PROSES ENJEKSİYON'!$K:$K,MATCH(1,('[1]PROSES ENJEKSİYON'!$A:$A=$X$2)*('[1]PROSES ENJEKSİYON'!$F:$F=A68),0)),"")</f>
        <v/>
      </c>
      <c r="AA68" s="97" t="str" cm="1">
        <f t="array" ref="AA68">IFERROR(INDEX('[1]PROSES ENJEKSİYON'!$L:$L,MATCH(1,('[1]PROSES ENJEKSİYON'!$A:$A=$X$2)*('[1]PROSES ENJEKSİYON'!$F:$F=A68),0)),"")</f>
        <v/>
      </c>
      <c r="AB68" s="70" t="str" cm="1">
        <f t="array" ref="AB68">IFERROR(INDEX('[1]PROSES ENJEKSİYON'!$G:$G,MATCH(1,('[1]PROSES ENJEKSİYON'!$A:$A=$H$2)*('[1]PROSES ENJEKSİYON'!$F:$F=U68),0)),"")</f>
        <v/>
      </c>
      <c r="AC68" s="64" t="str" cm="1">
        <f t="array" ref="AC68">IFERROR(INDEX('[1]PROSES ENJEKSİYON'!$J:$J,MATCH(1,('[1]PROSES ENJEKSİYON'!$A:$A=$H$2)*('[1]PROSES ENJEKSİYON'!$F:$F=U68),0)),"")</f>
        <v/>
      </c>
      <c r="AD68" s="64" t="str" cm="1">
        <f t="array" ref="AD68">IFERROR(INDEX('[1]PROSES ENJEKSİYON'!$K:$K,MATCH(1,('[1]PROSES ENJEKSİYON'!$A:$A=$H$2)*('[1]PROSES ENJEKSİYON'!$F:$F=U68),0)),"")</f>
        <v/>
      </c>
      <c r="AE68" s="44" t="str" cm="1">
        <f t="array" ref="AE68">IFERROR(INDEX('[1]PROSES ENJEKSİYON'!$L:$L,MATCH(1,('[1]PROSES ENJEKSİYON'!$A:$A=$H$2)*('[1]PROSES ENJEKSİYON'!$F:$F=U68),0)),"")</f>
        <v/>
      </c>
    </row>
    <row r="69" spans="1:31" ht="46.95" customHeight="1" thickBot="1" x14ac:dyDescent="0.45">
      <c r="A69" s="67">
        <v>131</v>
      </c>
      <c r="H69" s="99" t="str" cm="1">
        <f t="array" ref="H69">IFERROR(INDEX('[1]PROSES ENJEKSİYON'!$G:$G,MATCH(1,('[1]PROSES ENJEKSİYON'!$A:$A=$H$2)*('[1]PROSES ENJEKSİYON'!$F:$F=A69),0)),"")</f>
        <v/>
      </c>
      <c r="I69" s="93" t="str" cm="1">
        <f t="array" ref="I69">IFERROR(INDEX('[1]PROSES ENJEKSİYON'!$J:$J,MATCH(1,('[1]PROSES ENJEKSİYON'!$A:$A=$H$2)*('[1]PROSES ENJEKSİYON'!$F:$F=A69),0)),"")</f>
        <v/>
      </c>
      <c r="J69" s="93" t="str" cm="1">
        <f t="array" ref="J69">IFERROR(INDEX('[1]PROSES ENJEKSİYON'!$K:$K,MATCH(1,('[1]PROSES ENJEKSİYON'!$A:$A=$H$2)*('[1]PROSES ENJEKSİYON'!$F:$F=A69),0)),"")</f>
        <v/>
      </c>
      <c r="K69" s="96" t="str" cm="1">
        <f t="array" ref="K69">IFERROR(INDEX('[1]PROSES ENJEKSİYON'!$L:$L,MATCH(1,('[1]PROSES ENJEKSİYON'!$A:$A=$H$2)*('[1]PROSES ENJEKSİYON'!$F:$F=A69),0)),"")</f>
        <v/>
      </c>
      <c r="L69" s="99" t="str" cm="1">
        <f t="array" ref="L69">IFERROR(INDEX('[1]PROSES ENJEKSİYON'!$G:$G,MATCH(1,('[1]PROSES ENJEKSİYON'!$A:$A=$L$2)*('[1]PROSES ENJEKSİYON'!$F:$F=A69),0)),"")</f>
        <v/>
      </c>
      <c r="M69" s="93" t="str" cm="1">
        <f t="array" ref="M69">IFERROR(INDEX('[1]PROSES ENJEKSİYON'!$J:$J,MATCH(1,('[1]PROSES ENJEKSİYON'!$A:$A=$L$2)*('[1]PROSES ENJEKSİYON'!$F:$F=A69),0)),"")</f>
        <v/>
      </c>
      <c r="N69" s="93" t="str" cm="1">
        <f t="array" ref="N69">IFERROR(INDEX('[1]PROSES ENJEKSİYON'!$K:$K,MATCH(1,('[1]PROSES ENJEKSİYON'!$A:$A=$L$2)*('[1]PROSES ENJEKSİYON'!$F:$F=A69),0)),"")</f>
        <v/>
      </c>
      <c r="O69" s="96" t="str" cm="1">
        <f t="array" ref="O69">IFERROR(INDEX('[1]PROSES ENJEKSİYON'!$L:$L,MATCH(1,('[1]PROSES ENJEKSİYON'!$A:$A=$L$2)*('[1]PROSES ENJEKSİYON'!$F:$F=A69),0)),"")</f>
        <v/>
      </c>
      <c r="P69" s="92" t="str" cm="1">
        <f t="array" ref="P69">IFERROR(INDEX('[1]PROSES ENJEKSİYON'!$G:$G,MATCH(1,('[1]PROSES ENJEKSİYON'!$A:$A=$P$2)*('[1]PROSES ENJEKSİYON'!$F:$F=A69),0)),"")</f>
        <v>MM-PET0110-01-024Y-025 - PET0110-01 100ML SEFFAF TURUNCU 24MM YIVLI 25G</v>
      </c>
      <c r="Q69" s="93" cm="1">
        <f t="array" ref="Q69">IFERROR(INDEX('[1]PROSES ENJEKSİYON'!$J:$J,MATCH(1,('[1]PROSES ENJEKSİYON'!$A:$A=$P$2)*('[1]PROSES ENJEKSİYON'!$F:$F=A69),0)),"")</f>
        <v>3</v>
      </c>
      <c r="R69" s="93" cm="1">
        <f t="array" ref="R69">IFERROR(INDEX('[1]PROSES ENJEKSİYON'!$K:$K,MATCH(1,('[1]PROSES ENJEKSİYON'!$A:$A=$P$2)*('[1]PROSES ENJEKSİYON'!$F:$F=A69),0)),"")</f>
        <v>3</v>
      </c>
      <c r="S69" s="96" cm="1">
        <f t="array" ref="S69">IFERROR(INDEX('[1]PROSES ENJEKSİYON'!$L:$L,MATCH(1,('[1]PROSES ENJEKSİYON'!$A:$A=$P$2)*('[1]PROSES ENJEKSİYON'!$F:$F=A69),0)),"")</f>
        <v>19.670000000000002</v>
      </c>
      <c r="T69" s="92" t="str" cm="1">
        <f t="array" ref="T69">IFERROR(INDEX('[1]PROSES ENJEKSİYON'!$G:$G,MATCH(1,('[1]PROSES ENJEKSİYON'!$A:$A=$T$2)*('[1]PROSES ENJEKSİYON'!$F:$F=A69),0)),"")</f>
        <v>PET0110-01 100ML SEFFAF TURUNCU 24MM YIVLI 25GR</v>
      </c>
      <c r="U69" s="98" cm="1">
        <f t="array" ref="U69">IFERROR(INDEX('[1]PROSES ENJEKSİYON'!$J:$J,MATCH(1,('[1]PROSES ENJEKSİYON'!$A:$A=$T$2)*('[1]PROSES ENJEKSİYON'!$F:$F=A69),0)),"")</f>
        <v>3</v>
      </c>
      <c r="V69" s="98" cm="1">
        <f t="array" ref="V69">IFERROR(INDEX('[1]PROSES ENJEKSİYON'!$K:$K,MATCH(1,('[1]PROSES ENJEKSİYON'!$A:$A=$T$2)*('[1]PROSES ENJEKSİYON'!$F:$F=A69),0)),"")</f>
        <v>3</v>
      </c>
      <c r="W69" s="91" cm="1">
        <f t="array" ref="W69">IFERROR(INDEX('[1]PROSES ENJEKSİYON'!$L:$L,MATCH(1,('[1]PROSES ENJEKSİYON'!$A:$A=$T$2)*('[1]PROSES ENJEKSİYON'!$F:$F=A69),0)),"")</f>
        <v>19.68</v>
      </c>
      <c r="X69" s="92" t="str" cm="1">
        <f t="array" ref="X69">IFERROR(INDEX('[1]PROSES ENJEKSİYON'!$G:$G,MATCH(1,('[1]PROSES ENJEKSİYON'!$A:$A=$X$2)*('[1]PROSES ENJEKSİYON'!$F:$F=A69),0)),"")</f>
        <v/>
      </c>
      <c r="Y69" s="93" t="str" cm="1">
        <f t="array" ref="Y69">IFERROR(INDEX('[1]PROSES ENJEKSİYON'!$J:$J,MATCH(1,('[1]PROSES ENJEKSİYON'!$A:$A=$X$2)*('[1]PROSES ENJEKSİYON'!$F:$F=A69),0)),"")</f>
        <v/>
      </c>
      <c r="Z69" s="93" t="str" cm="1">
        <f t="array" ref="Z69">IFERROR(INDEX('[1]PROSES ENJEKSİYON'!$K:$K,MATCH(1,('[1]PROSES ENJEKSİYON'!$A:$A=$X$2)*('[1]PROSES ENJEKSİYON'!$F:$F=A69),0)),"")</f>
        <v/>
      </c>
      <c r="AA69" s="97" t="str" cm="1">
        <f t="array" ref="AA69">IFERROR(INDEX('[1]PROSES ENJEKSİYON'!$L:$L,MATCH(1,('[1]PROSES ENJEKSİYON'!$A:$A=$X$2)*('[1]PROSES ENJEKSİYON'!$F:$F=A69),0)),"")</f>
        <v/>
      </c>
      <c r="AB69" s="70" t="str" cm="1">
        <f t="array" ref="AB69">IFERROR(INDEX('[1]PROSES ENJEKSİYON'!$G:$G,MATCH(1,('[1]PROSES ENJEKSİYON'!$A:$A=$H$2)*('[1]PROSES ENJEKSİYON'!$F:$F=U69),0)),"")</f>
        <v/>
      </c>
      <c r="AC69" s="64" t="str" cm="1">
        <f t="array" ref="AC69">IFERROR(INDEX('[1]PROSES ENJEKSİYON'!$J:$J,MATCH(1,('[1]PROSES ENJEKSİYON'!$A:$A=$H$2)*('[1]PROSES ENJEKSİYON'!$F:$F=U69),0)),"")</f>
        <v/>
      </c>
      <c r="AD69" s="64" t="str" cm="1">
        <f t="array" ref="AD69">IFERROR(INDEX('[1]PROSES ENJEKSİYON'!$K:$K,MATCH(1,('[1]PROSES ENJEKSİYON'!$A:$A=$H$2)*('[1]PROSES ENJEKSİYON'!$F:$F=U69),0)),"")</f>
        <v/>
      </c>
      <c r="AE69" s="44" t="str" cm="1">
        <f t="array" ref="AE69">IFERROR(INDEX('[1]PROSES ENJEKSİYON'!$L:$L,MATCH(1,('[1]PROSES ENJEKSİYON'!$A:$A=$H$2)*('[1]PROSES ENJEKSİYON'!$F:$F=U69),0)),"")</f>
        <v/>
      </c>
    </row>
    <row r="70" spans="1:31" ht="46.95" customHeight="1" thickBot="1" x14ac:dyDescent="0.45">
      <c r="A70" s="67">
        <v>132</v>
      </c>
      <c r="H70" s="99" t="str" cm="1">
        <f t="array" ref="H70">IFERROR(INDEX('[1]PROSES ENJEKSİYON'!$G:$G,MATCH(1,('[1]PROSES ENJEKSİYON'!$A:$A=$H$2)*('[1]PROSES ENJEKSİYON'!$F:$F=A70),0)),"")</f>
        <v>PET0017-01 200ML SEFFAF SEFFAF 24MM YIVLI 25GR</v>
      </c>
      <c r="I70" s="93" cm="1">
        <f t="array" ref="I70">IFERROR(INDEX('[1]PROSES ENJEKSİYON'!$J:$J,MATCH(1,('[1]PROSES ENJEKSİYON'!$A:$A=$H$2)*('[1]PROSES ENJEKSİYON'!$F:$F=A70),0)),"")</f>
        <v>3</v>
      </c>
      <c r="J70" s="93" cm="1">
        <f t="array" ref="J70">IFERROR(INDEX('[1]PROSES ENJEKSİYON'!$K:$K,MATCH(1,('[1]PROSES ENJEKSİYON'!$A:$A=$H$2)*('[1]PROSES ENJEKSİYON'!$F:$F=A70),0)),"")</f>
        <v>3</v>
      </c>
      <c r="K70" s="96" cm="1">
        <f t="array" ref="K70">IFERROR(INDEX('[1]PROSES ENJEKSİYON'!$L:$L,MATCH(1,('[1]PROSES ENJEKSİYON'!$A:$A=$H$2)*('[1]PROSES ENJEKSİYON'!$F:$F=A70),0)),"")</f>
        <v>18.59</v>
      </c>
      <c r="L70" s="99" t="str" cm="1">
        <f t="array" ref="L70">IFERROR(INDEX('[1]PROSES ENJEKSİYON'!$G:$G,MATCH(1,('[1]PROSES ENJEKSİYON'!$A:$A=$L$2)*('[1]PROSES ENJEKSİYON'!$F:$F=A70),0)),"")</f>
        <v/>
      </c>
      <c r="M70" s="93" t="str" cm="1">
        <f t="array" ref="M70">IFERROR(INDEX('[1]PROSES ENJEKSİYON'!$J:$J,MATCH(1,('[1]PROSES ENJEKSİYON'!$A:$A=$L$2)*('[1]PROSES ENJEKSİYON'!$F:$F=A70),0)),"")</f>
        <v/>
      </c>
      <c r="N70" s="93" t="str" cm="1">
        <f t="array" ref="N70">IFERROR(INDEX('[1]PROSES ENJEKSİYON'!$K:$K,MATCH(1,('[1]PROSES ENJEKSİYON'!$A:$A=$L$2)*('[1]PROSES ENJEKSİYON'!$F:$F=A70),0)),"")</f>
        <v/>
      </c>
      <c r="O70" s="96" t="str" cm="1">
        <f t="array" ref="O70">IFERROR(INDEX('[1]PROSES ENJEKSİYON'!$L:$L,MATCH(1,('[1]PROSES ENJEKSİYON'!$A:$A=$L$2)*('[1]PROSES ENJEKSİYON'!$F:$F=A70),0)),"")</f>
        <v/>
      </c>
      <c r="P70" s="92" t="str" cm="1">
        <f t="array" ref="P70">IFERROR(INDEX('[1]PROSES ENJEKSİYON'!$G:$G,MATCH(1,('[1]PROSES ENJEKSİYON'!$A:$A=$P$2)*('[1]PROSES ENJEKSİYON'!$F:$F=A70),0)),"")</f>
        <v>MM-PET0064-06-024Y-025 - PET0064-06 200ML SEFFAF YESIL 24MM YIVLI 25GR</v>
      </c>
      <c r="Q70" s="93" cm="1">
        <f t="array" ref="Q70">IFERROR(INDEX('[1]PROSES ENJEKSİYON'!$J:$J,MATCH(1,('[1]PROSES ENJEKSİYON'!$A:$A=$P$2)*('[1]PROSES ENJEKSİYON'!$F:$F=A70),0)),"")</f>
        <v>3</v>
      </c>
      <c r="R70" s="93" cm="1">
        <f t="array" ref="R70">IFERROR(INDEX('[1]PROSES ENJEKSİYON'!$K:$K,MATCH(1,('[1]PROSES ENJEKSİYON'!$A:$A=$P$2)*('[1]PROSES ENJEKSİYON'!$F:$F=A70),0)),"")</f>
        <v>3</v>
      </c>
      <c r="S70" s="96" cm="1">
        <f t="array" ref="S70">IFERROR(INDEX('[1]PROSES ENJEKSİYON'!$L:$L,MATCH(1,('[1]PROSES ENJEKSİYON'!$A:$A=$P$2)*('[1]PROSES ENJEKSİYON'!$F:$F=A70),0)),"")</f>
        <v>17.87</v>
      </c>
      <c r="T70" s="92" t="str" cm="1">
        <f t="array" ref="T70">IFERROR(INDEX('[1]PROSES ENJEKSİYON'!$G:$G,MATCH(1,('[1]PROSES ENJEKSİYON'!$A:$A=$T$2)*('[1]PROSES ENJEKSİYON'!$F:$F=A70),0)),"")</f>
        <v>PET0064-06 200ML SEFFAF YESIL 24MM YIVLI 25GR</v>
      </c>
      <c r="U70" s="98" cm="1">
        <f t="array" ref="U70">IFERROR(INDEX('[1]PROSES ENJEKSİYON'!$J:$J,MATCH(1,('[1]PROSES ENJEKSİYON'!$A:$A=$T$2)*('[1]PROSES ENJEKSİYON'!$F:$F=A70),0)),"")</f>
        <v>3</v>
      </c>
      <c r="V70" s="98" cm="1">
        <f t="array" ref="V70">IFERROR(INDEX('[1]PROSES ENJEKSİYON'!$K:$K,MATCH(1,('[1]PROSES ENJEKSİYON'!$A:$A=$T$2)*('[1]PROSES ENJEKSİYON'!$F:$F=A70),0)),"")</f>
        <v>3</v>
      </c>
      <c r="W70" s="91" cm="1">
        <f t="array" ref="W70">IFERROR(INDEX('[1]PROSES ENJEKSİYON'!$L:$L,MATCH(1,('[1]PROSES ENJEKSİYON'!$A:$A=$T$2)*('[1]PROSES ENJEKSİYON'!$F:$F=A70),0)),"")</f>
        <v>17.77</v>
      </c>
      <c r="X70" s="92" t="str" cm="1">
        <f t="array" ref="X70">IFERROR(INDEX('[1]PROSES ENJEKSİYON'!$G:$G,MATCH(1,('[1]PROSES ENJEKSİYON'!$A:$A=$X$2)*('[1]PROSES ENJEKSİYON'!$F:$F=A70),0)),"")</f>
        <v/>
      </c>
      <c r="Y70" s="93" t="str" cm="1">
        <f t="array" ref="Y70">IFERROR(INDEX('[1]PROSES ENJEKSİYON'!$J:$J,MATCH(1,('[1]PROSES ENJEKSİYON'!$A:$A=$X$2)*('[1]PROSES ENJEKSİYON'!$F:$F=A70),0)),"")</f>
        <v/>
      </c>
      <c r="Z70" s="93" t="str" cm="1">
        <f t="array" ref="Z70">IFERROR(INDEX('[1]PROSES ENJEKSİYON'!$K:$K,MATCH(1,('[1]PROSES ENJEKSİYON'!$A:$A=$X$2)*('[1]PROSES ENJEKSİYON'!$F:$F=A70),0)),"")</f>
        <v/>
      </c>
      <c r="AA70" s="97" t="str" cm="1">
        <f t="array" ref="AA70">IFERROR(INDEX('[1]PROSES ENJEKSİYON'!$L:$L,MATCH(1,('[1]PROSES ENJEKSİYON'!$A:$A=$X$2)*('[1]PROSES ENJEKSİYON'!$F:$F=A70),0)),"")</f>
        <v/>
      </c>
      <c r="AB70" s="70" t="str" cm="1">
        <f t="array" ref="AB70">IFERROR(INDEX('[1]PROSES ENJEKSİYON'!$G:$G,MATCH(1,('[1]PROSES ENJEKSİYON'!$A:$A=$H$2)*('[1]PROSES ENJEKSİYON'!$F:$F=U70),0)),"")</f>
        <v/>
      </c>
      <c r="AC70" s="64" t="str" cm="1">
        <f t="array" ref="AC70">IFERROR(INDEX('[1]PROSES ENJEKSİYON'!$J:$J,MATCH(1,('[1]PROSES ENJEKSİYON'!$A:$A=$H$2)*('[1]PROSES ENJEKSİYON'!$F:$F=U70),0)),"")</f>
        <v/>
      </c>
      <c r="AD70" s="64" t="str" cm="1">
        <f t="array" ref="AD70">IFERROR(INDEX('[1]PROSES ENJEKSİYON'!$K:$K,MATCH(1,('[1]PROSES ENJEKSİYON'!$A:$A=$H$2)*('[1]PROSES ENJEKSİYON'!$F:$F=U70),0)),"")</f>
        <v/>
      </c>
      <c r="AE70" s="44" t="str" cm="1">
        <f t="array" ref="AE70">IFERROR(INDEX('[1]PROSES ENJEKSİYON'!$L:$L,MATCH(1,('[1]PROSES ENJEKSİYON'!$A:$A=$H$2)*('[1]PROSES ENJEKSİYON'!$F:$F=U70),0)),"")</f>
        <v/>
      </c>
    </row>
    <row r="71" spans="1:31" ht="46.95" customHeight="1" x14ac:dyDescent="0.4">
      <c r="A71" s="67">
        <v>133</v>
      </c>
      <c r="H71" s="71" t="str" cm="1">
        <f t="array" ref="H71">IFERROR(INDEX('[1]PROSES ENJEKSİYON'!$G:$G,MATCH(1,('[1]PROSES ENJEKSİYON'!$A:$A=$H$2)*('[1]PROSES ENJEKSİYON'!$F:$F=A71),0)),"")</f>
        <v/>
      </c>
      <c r="I71" s="93" t="str" cm="1">
        <f t="array" ref="I71">IFERROR(INDEX('[1]PROSES ENJEKSİYON'!$J:$J,MATCH(1,('[1]PROSES ENJEKSİYON'!$A:$A=$H$2)*('[1]PROSES ENJEKSİYON'!$F:$F=A71),0)),"")</f>
        <v/>
      </c>
      <c r="J71" s="93" t="str" cm="1">
        <f t="array" ref="J71">IFERROR(INDEX('[1]PROSES ENJEKSİYON'!$K:$K,MATCH(1,('[1]PROSES ENJEKSİYON'!$A:$A=$H$2)*('[1]PROSES ENJEKSİYON'!$F:$F=A71),0)),"")</f>
        <v/>
      </c>
      <c r="K71" s="96" t="str" cm="1">
        <f t="array" ref="K71">IFERROR(INDEX('[1]PROSES ENJEKSİYON'!$L:$L,MATCH(1,('[1]PROSES ENJEKSİYON'!$A:$A=$H$2)*('[1]PROSES ENJEKSİYON'!$F:$F=A71),0)),"")</f>
        <v/>
      </c>
      <c r="L71" s="92" t="str" cm="1">
        <f t="array" ref="L71">IFERROR(INDEX('[1]PROSES ENJEKSİYON'!$G:$G,MATCH(1,('[1]PROSES ENJEKSİYON'!$A:$A=$H$2)*('[1]PROSES ENJEKSİYON'!$F:$F=E71),0)),"")</f>
        <v/>
      </c>
      <c r="M71" s="93" t="str" cm="1">
        <f t="array" ref="M71">IFERROR(INDEX('[1]PROSES ENJEKSİYON'!$J:$J,MATCH(1,('[1]PROSES ENJEKSİYON'!$A:$A=$H$2)*('[1]PROSES ENJEKSİYON'!$F:$F=E71),0)),"")</f>
        <v/>
      </c>
      <c r="N71" s="93" t="str" cm="1">
        <f t="array" ref="N71">IFERROR(INDEX('[1]PROSES ENJEKSİYON'!$K:$K,MATCH(1,('[1]PROSES ENJEKSİYON'!$A:$A=$H$2)*('[1]PROSES ENJEKSİYON'!$F:$F=E71),0)),"")</f>
        <v/>
      </c>
      <c r="O71" s="96" t="str" cm="1">
        <f t="array" ref="O71">IFERROR(INDEX('[1]PROSES ENJEKSİYON'!$L:$L,MATCH(1,('[1]PROSES ENJEKSİYON'!$A:$A=$H$2)*('[1]PROSES ENJEKSİYON'!$F:$F=E71),0)),"")</f>
        <v/>
      </c>
      <c r="P71" s="92" t="str" cm="1">
        <f t="array" ref="P71">IFERROR(INDEX('[1]PROSES ENJEKSİYON'!$G:$G,MATCH(1,('[1]PROSES ENJEKSİYON'!$A:$A=$P$2)*('[1]PROSES ENJEKSİYON'!$F:$F=A71),0)),"")</f>
        <v/>
      </c>
      <c r="Q71" s="93" t="str" cm="1">
        <f t="array" ref="Q71">IFERROR(INDEX('[1]PROSES ENJEKSİYON'!$J:$J,MATCH(1,('[1]PROSES ENJEKSİYON'!$A:$A=$P$2)*('[1]PROSES ENJEKSİYON'!$F:$F=A71),0)),"")</f>
        <v/>
      </c>
      <c r="R71" s="93" t="str" cm="1">
        <f t="array" ref="R71">IFERROR(INDEX('[1]PROSES ENJEKSİYON'!$K:$K,MATCH(1,('[1]PROSES ENJEKSİYON'!$A:$A=$P$2)*('[1]PROSES ENJEKSİYON'!$F:$F=A71),0)),"")</f>
        <v/>
      </c>
      <c r="S71" s="96" t="str" cm="1">
        <f t="array" ref="S71">IFERROR(INDEX('[1]PROSES ENJEKSİYON'!$L:$L,MATCH(1,('[1]PROSES ENJEKSİYON'!$A:$A=$P$2)*('[1]PROSES ENJEKSİYON'!$F:$F=A71),0)),"")</f>
        <v/>
      </c>
      <c r="T71" s="92" t="str" cm="1">
        <f t="array" ref="T71">IFERROR(INDEX('[1]PROSES ENJEKSİYON'!$G:$G,MATCH(1,('[1]PROSES ENJEKSİYON'!$A:$A=$T$2)*('[1]PROSES ENJEKSİYON'!$F:$F=A71),0)),"")</f>
        <v/>
      </c>
      <c r="U71" s="98" t="str" cm="1">
        <f t="array" ref="U71">IFERROR(INDEX('[1]PROSES ENJEKSİYON'!$J:$J,MATCH(1,('[1]PROSES ENJEKSİYON'!$A:$A=$T$2)*('[1]PROSES ENJEKSİYON'!$F:$F=A71),0)),"")</f>
        <v/>
      </c>
      <c r="V71" s="98" t="str" cm="1">
        <f t="array" ref="V71">IFERROR(INDEX('[1]PROSES ENJEKSİYON'!$K:$K,MATCH(1,('[1]PROSES ENJEKSİYON'!$A:$A=$T$2)*('[1]PROSES ENJEKSİYON'!$F:$F=A71),0)),"")</f>
        <v/>
      </c>
      <c r="W71" s="91" t="str" cm="1">
        <f t="array" ref="W71">IFERROR(INDEX('[1]PROSES ENJEKSİYON'!$L:$L,MATCH(1,('[1]PROSES ENJEKSİYON'!$A:$A=$T$2)*('[1]PROSES ENJEKSİYON'!$F:$F=A71),0)),"")</f>
        <v/>
      </c>
      <c r="X71" s="92" t="str" cm="1">
        <f t="array" ref="X71">IFERROR(INDEX('[1]PROSES ENJEKSİYON'!$G:$G,MATCH(1,('[1]PROSES ENJEKSİYON'!$A:$A=$X$2)*('[1]PROSES ENJEKSİYON'!$F:$F=A71),0)),"")</f>
        <v/>
      </c>
      <c r="Y71" s="93" t="str" cm="1">
        <f t="array" ref="Y71">IFERROR(INDEX('[1]PROSES ENJEKSİYON'!$J:$J,MATCH(1,('[1]PROSES ENJEKSİYON'!$A:$A=$X$2)*('[1]PROSES ENJEKSİYON'!$F:$F=A71),0)),"")</f>
        <v/>
      </c>
      <c r="Z71" s="93" t="str" cm="1">
        <f t="array" ref="Z71">IFERROR(INDEX('[1]PROSES ENJEKSİYON'!$K:$K,MATCH(1,('[1]PROSES ENJEKSİYON'!$A:$A=$X$2)*('[1]PROSES ENJEKSİYON'!$F:$F=A71),0)),"")</f>
        <v/>
      </c>
      <c r="AA71" s="97" t="str" cm="1">
        <f t="array" ref="AA71">IFERROR(INDEX('[1]PROSES ENJEKSİYON'!$L:$L,MATCH(1,('[1]PROSES ENJEKSİYON'!$A:$A=$X$2)*('[1]PROSES ENJEKSİYON'!$F:$F=A71),0)),"")</f>
        <v/>
      </c>
      <c r="AB71" s="70" t="str" cm="1">
        <f t="array" ref="AB71">IFERROR(INDEX('[1]PROSES ENJEKSİYON'!$G:$G,MATCH(1,('[1]PROSES ENJEKSİYON'!$A:$A=$H$2)*('[1]PROSES ENJEKSİYON'!$F:$F=U71),0)),"")</f>
        <v/>
      </c>
      <c r="AC71" s="64" t="str" cm="1">
        <f t="array" ref="AC71">IFERROR(INDEX('[1]PROSES ENJEKSİYON'!$J:$J,MATCH(1,('[1]PROSES ENJEKSİYON'!$A:$A=$H$2)*('[1]PROSES ENJEKSİYON'!$F:$F=U71),0)),"")</f>
        <v/>
      </c>
      <c r="AD71" s="64" t="str" cm="1">
        <f t="array" ref="AD71">IFERROR(INDEX('[1]PROSES ENJEKSİYON'!$K:$K,MATCH(1,('[1]PROSES ENJEKSİYON'!$A:$A=$H$2)*('[1]PROSES ENJEKSİYON'!$F:$F=U71),0)),"")</f>
        <v/>
      </c>
      <c r="AE71" s="44" t="str" cm="1">
        <f t="array" ref="AE71">IFERROR(INDEX('[1]PROSES ENJEKSİYON'!$L:$L,MATCH(1,('[1]PROSES ENJEKSİYON'!$A:$A=$H$2)*('[1]PROSES ENJEKSİYON'!$F:$F=U71),0)),"")</f>
        <v/>
      </c>
    </row>
    <row r="72" spans="1:31" ht="46.95" customHeight="1" x14ac:dyDescent="0.4">
      <c r="A72" s="67">
        <v>134</v>
      </c>
      <c r="H72" s="99" t="str" cm="1">
        <f t="array" ref="H72">IFERROR(INDEX('[1]PROSES ENJEKSİYON'!$G:$G,MATCH(1,('[1]PROSES ENJEKSİYON'!$A:$A=$H$2)*('[1]PROSES ENJEKSİYON'!$F:$F=A72),0)),"")</f>
        <v/>
      </c>
      <c r="I72" s="93" t="str" cm="1">
        <f t="array" ref="I72">IFERROR(INDEX('[1]PROSES ENJEKSİYON'!$J:$J,MATCH(1,('[1]PROSES ENJEKSİYON'!$A:$A=$H$2)*('[1]PROSES ENJEKSİYON'!$F:$F=A72),0)),"")</f>
        <v/>
      </c>
      <c r="J72" s="93" t="str" cm="1">
        <f t="array" ref="J72">IFERROR(INDEX('[1]PROSES ENJEKSİYON'!$K:$K,MATCH(1,('[1]PROSES ENJEKSİYON'!$A:$A=$H$2)*('[1]PROSES ENJEKSİYON'!$F:$F=A72),0)),"")</f>
        <v/>
      </c>
      <c r="K72" s="96" t="str" cm="1">
        <f t="array" ref="K72">IFERROR(INDEX('[1]PROSES ENJEKSİYON'!$L:$L,MATCH(1,('[1]PROSES ENJEKSİYON'!$A:$A=$H$2)*('[1]PROSES ENJEKSİYON'!$F:$F=A72),0)),"")</f>
        <v/>
      </c>
      <c r="L72" s="92" t="str" cm="1">
        <f t="array" ref="L72">IFERROR(INDEX('[1]PROSES ENJEKSİYON'!$G:$G,MATCH(1,('[1]PROSES ENJEKSİYON'!$A:$A=$H$2)*('[1]PROSES ENJEKSİYON'!$F:$F=E72),0)),"")</f>
        <v/>
      </c>
      <c r="M72" s="93" t="str" cm="1">
        <f t="array" ref="M72">IFERROR(INDEX('[1]PROSES ENJEKSİYON'!$J:$J,MATCH(1,('[1]PROSES ENJEKSİYON'!$A:$A=$H$2)*('[1]PROSES ENJEKSİYON'!$F:$F=E72),0)),"")</f>
        <v/>
      </c>
      <c r="N72" s="93" t="str" cm="1">
        <f t="array" ref="N72">IFERROR(INDEX('[1]PROSES ENJEKSİYON'!$K:$K,MATCH(1,('[1]PROSES ENJEKSİYON'!$A:$A=$H$2)*('[1]PROSES ENJEKSİYON'!$F:$F=E72),0)),"")</f>
        <v/>
      </c>
      <c r="O72" s="96" t="str" cm="1">
        <f t="array" ref="O72">IFERROR(INDEX('[1]PROSES ENJEKSİYON'!$L:$L,MATCH(1,('[1]PROSES ENJEKSİYON'!$A:$A=$H$2)*('[1]PROSES ENJEKSİYON'!$F:$F=E72),0)),"")</f>
        <v/>
      </c>
      <c r="P72" s="92" t="str" cm="1">
        <f t="array" ref="P72">IFERROR(INDEX('[1]PROSES ENJEKSİYON'!$G:$G,MATCH(1,('[1]PROSES ENJEKSİYON'!$A:$A=$P$2)*('[1]PROSES ENJEKSİYON'!$F:$F=A72),0)),"")</f>
        <v/>
      </c>
      <c r="Q72" s="93" t="str" cm="1">
        <f t="array" ref="Q72">IFERROR(INDEX('[1]PROSES ENJEKSİYON'!$J:$J,MATCH(1,('[1]PROSES ENJEKSİYON'!$A:$A=$P$2)*('[1]PROSES ENJEKSİYON'!$F:$F=A72),0)),"")</f>
        <v/>
      </c>
      <c r="R72" s="93" t="str" cm="1">
        <f t="array" ref="R72">IFERROR(INDEX('[1]PROSES ENJEKSİYON'!$K:$K,MATCH(1,('[1]PROSES ENJEKSİYON'!$A:$A=$P$2)*('[1]PROSES ENJEKSİYON'!$F:$F=A72),0)),"")</f>
        <v/>
      </c>
      <c r="S72" s="96" t="str" cm="1">
        <f t="array" ref="S72">IFERROR(INDEX('[1]PROSES ENJEKSİYON'!$L:$L,MATCH(1,('[1]PROSES ENJEKSİYON'!$A:$A=$P$2)*('[1]PROSES ENJEKSİYON'!$F:$F=A72),0)),"")</f>
        <v/>
      </c>
      <c r="T72" s="92" t="str" cm="1">
        <f t="array" ref="T72">IFERROR(INDEX('[1]PROSES ENJEKSİYON'!$G:$G,MATCH(1,('[1]PROSES ENJEKSİYON'!$A:$A=$T$2)*('[1]PROSES ENJEKSİYON'!$F:$F=A72),0)),"")</f>
        <v/>
      </c>
      <c r="U72" s="93" t="str" cm="1">
        <f t="array" ref="U72">IFERROR(INDEX('[1]PROSES ENJEKSİYON'!$J:$J,MATCH(1,('[1]PROSES ENJEKSİYON'!$A:$A=$T$2)*('[1]PROSES ENJEKSİYON'!$F:$F=A72),0)),"")</f>
        <v/>
      </c>
      <c r="V72" s="93" t="str" cm="1">
        <f t="array" ref="V72">IFERROR(INDEX('[1]PROSES ENJEKSİYON'!$K:$K,MATCH(1,('[1]PROSES ENJEKSİYON'!$A:$A=$T$2)*('[1]PROSES ENJEKSİYON'!$F:$F=A72),0)),"")</f>
        <v/>
      </c>
      <c r="W72" s="95" t="str" cm="1">
        <f t="array" ref="W72">IFERROR(INDEX('[1]PROSES ENJEKSİYON'!$L:$L,MATCH(1,('[1]PROSES ENJEKSİYON'!$A:$A=$T$2)*('[1]PROSES ENJEKSİYON'!$F:$F=A72),0)),"")</f>
        <v/>
      </c>
      <c r="X72" s="92" t="str" cm="1">
        <f t="array" ref="X72">IFERROR(INDEX('[1]PROSES ENJEKSİYON'!$G:$G,MATCH(1,('[1]PROSES ENJEKSİYON'!$A:$A=$X$2)*('[1]PROSES ENJEKSİYON'!$F:$F=A72),0)),"")</f>
        <v/>
      </c>
      <c r="Y72" s="93" t="str" cm="1">
        <f t="array" ref="Y72">IFERROR(INDEX('[1]PROSES ENJEKSİYON'!$J:$J,MATCH(1,('[1]PROSES ENJEKSİYON'!$A:$A=$X$2)*('[1]PROSES ENJEKSİYON'!$F:$F=A72),0)),"")</f>
        <v/>
      </c>
      <c r="Z72" s="93" t="str" cm="1">
        <f t="array" ref="Z72">IFERROR(INDEX('[1]PROSES ENJEKSİYON'!$K:$K,MATCH(1,('[1]PROSES ENJEKSİYON'!$A:$A=$X$2)*('[1]PROSES ENJEKSİYON'!$F:$F=A72),0)),"")</f>
        <v/>
      </c>
      <c r="AA72" s="97" t="str" cm="1">
        <f t="array" ref="AA72">IFERROR(INDEX('[1]PROSES ENJEKSİYON'!$L:$L,MATCH(1,('[1]PROSES ENJEKSİYON'!$A:$A=$X$2)*('[1]PROSES ENJEKSİYON'!$F:$F=A72),0)),"")</f>
        <v/>
      </c>
      <c r="AB72" s="70" t="str" cm="1">
        <f t="array" ref="AB72">IFERROR(INDEX('[1]PROSES ENJEKSİYON'!$G:$G,MATCH(1,('[1]PROSES ENJEKSİYON'!$A:$A=$H$2)*('[1]PROSES ENJEKSİYON'!$F:$F=U72),0)),"")</f>
        <v/>
      </c>
      <c r="AC72" s="64" t="str" cm="1">
        <f t="array" ref="AC72">IFERROR(INDEX('[1]PROSES ENJEKSİYON'!$J:$J,MATCH(1,('[1]PROSES ENJEKSİYON'!$A:$A=$H$2)*('[1]PROSES ENJEKSİYON'!$F:$F=U72),0)),"")</f>
        <v/>
      </c>
      <c r="AD72" s="64" t="str" cm="1">
        <f t="array" ref="AD72">IFERROR(INDEX('[1]PROSES ENJEKSİYON'!$K:$K,MATCH(1,('[1]PROSES ENJEKSİYON'!$A:$A=$H$2)*('[1]PROSES ENJEKSİYON'!$F:$F=U72),0)),"")</f>
        <v/>
      </c>
      <c r="AE72" s="44" t="str" cm="1">
        <f t="array" ref="AE72">IFERROR(INDEX('[1]PROSES ENJEKSİYON'!$L:$L,MATCH(1,('[1]PROSES ENJEKSİYON'!$A:$A=$H$2)*('[1]PROSES ENJEKSİYON'!$F:$F=U72),0)),"")</f>
        <v/>
      </c>
    </row>
    <row r="73" spans="1:31" ht="46.95" customHeight="1" thickBot="1" x14ac:dyDescent="0.45">
      <c r="A73" s="67">
        <v>135</v>
      </c>
      <c r="H73" s="92" t="str" cm="1">
        <f t="array" ref="H73">IFERROR(INDEX('[1]PROSES ENJEKSİYON'!$G:$G,MATCH(1,('[1]PROSES ENJEKSİYON'!$A:$A=$H$2)*('[1]PROSES ENJEKSİYON'!$F:$F=A73),0)),"")</f>
        <v xml:space="preserve"> PET0324-01 110ML OPAK KIRMIZI 38MM YIVLI 25GR</v>
      </c>
      <c r="I73" s="93" cm="1">
        <f t="array" ref="I73">IFERROR(INDEX('[1]PROSES ENJEKSİYON'!$J:$J,MATCH(1,('[1]PROSES ENJEKSİYON'!$A:$A=$H$2)*('[1]PROSES ENJEKSİYON'!$F:$F=A73),0)),"")</f>
        <v>2</v>
      </c>
      <c r="J73" s="93" cm="1">
        <f t="array" ref="J73">IFERROR(INDEX('[1]PROSES ENJEKSİYON'!$K:$K,MATCH(1,('[1]PROSES ENJEKSİYON'!$A:$A=$H$2)*('[1]PROSES ENJEKSİYON'!$F:$F=A73),0)),"")</f>
        <v>2</v>
      </c>
      <c r="K73" s="96" cm="1">
        <f t="array" ref="K73">IFERROR(INDEX('[1]PROSES ENJEKSİYON'!$L:$L,MATCH(1,('[1]PROSES ENJEKSİYON'!$A:$A=$H$2)*('[1]PROSES ENJEKSİYON'!$F:$F=A73),0)),"")</f>
        <v>18.690000000000001</v>
      </c>
      <c r="L73" s="92" t="str" cm="1">
        <f t="array" ref="L73">IFERROR(INDEX('[1]PROSES ENJEKSİYON'!$G:$G,MATCH(1,('[1]PROSES ENJEKSİYON'!$A:$A=$H$2)*('[1]PROSES ENJEKSİYON'!$F:$F=E73),0)),"")</f>
        <v/>
      </c>
      <c r="M73" s="93" t="str" cm="1">
        <f t="array" ref="M73">IFERROR(INDEX('[1]PROSES ENJEKSİYON'!$J:$J,MATCH(1,('[1]PROSES ENJEKSİYON'!$A:$A=$H$2)*('[1]PROSES ENJEKSİYON'!$F:$F=E73),0)),"")</f>
        <v/>
      </c>
      <c r="N73" s="93" t="str" cm="1">
        <f t="array" ref="N73">IFERROR(INDEX('[1]PROSES ENJEKSİYON'!$K:$K,MATCH(1,('[1]PROSES ENJEKSİYON'!$A:$A=$H$2)*('[1]PROSES ENJEKSİYON'!$F:$F=E73),0)),"")</f>
        <v/>
      </c>
      <c r="O73" s="96" t="str" cm="1">
        <f t="array" ref="O73">IFERROR(INDEX('[1]PROSES ENJEKSİYON'!$L:$L,MATCH(1,('[1]PROSES ENJEKSİYON'!$A:$A=$H$2)*('[1]PROSES ENJEKSİYON'!$F:$F=E73),0)),"")</f>
        <v/>
      </c>
      <c r="P73" s="92" t="str" cm="1">
        <f t="array" ref="P73">IFERROR(INDEX('[1]PROSES ENJEKSİYON'!$G:$G,MATCH(1,('[1]PROSES ENJEKSİYON'!$A:$A=$P$2)*('[1]PROSES ENJEKSİYON'!$F:$F=A73),0)),"")</f>
        <v>MM-PET0145-01-038Y-025 - PET0145-01 150ML SEFFAF KAHVE 38MM YIVLI 25GR</v>
      </c>
      <c r="Q73" s="93" cm="1">
        <f t="array" ref="Q73">IFERROR(INDEX('[1]PROSES ENJEKSİYON'!$J:$J,MATCH(1,('[1]PROSES ENJEKSİYON'!$A:$A=$P$2)*('[1]PROSES ENJEKSİYON'!$F:$F=A73),0)),"")</f>
        <v>2</v>
      </c>
      <c r="R73" s="93" cm="1">
        <f t="array" ref="R73">IFERROR(INDEX('[1]PROSES ENJEKSİYON'!$K:$K,MATCH(1,('[1]PROSES ENJEKSİYON'!$A:$A=$P$2)*('[1]PROSES ENJEKSİYON'!$F:$F=A73),0)),"")</f>
        <v>2</v>
      </c>
      <c r="S73" s="96" cm="1">
        <f t="array" ref="S73">IFERROR(INDEX('[1]PROSES ENJEKSİYON'!$L:$L,MATCH(1,('[1]PROSES ENJEKSİYON'!$A:$A=$P$2)*('[1]PROSES ENJEKSİYON'!$F:$F=A73),0)),"")</f>
        <v>20.46</v>
      </c>
      <c r="T73" s="92" t="str" cm="1">
        <f t="array" ref="T73">IFERROR(INDEX('[1]PROSES ENJEKSİYON'!$G:$G,MATCH(1,('[1]PROSES ENJEKSİYON'!$A:$A=$T$2)*('[1]PROSES ENJEKSİYON'!$F:$F=A73),0)),"")</f>
        <v/>
      </c>
      <c r="U73" s="93" t="str" cm="1">
        <f t="array" ref="U73">IFERROR(INDEX('[1]PROSES ENJEKSİYON'!$J:$J,MATCH(1,('[1]PROSES ENJEKSİYON'!$A:$A=$T$2)*('[1]PROSES ENJEKSİYON'!$F:$F=A73),0)),"")</f>
        <v/>
      </c>
      <c r="V73" s="93" t="str" cm="1">
        <f t="array" ref="V73">IFERROR(INDEX('[1]PROSES ENJEKSİYON'!$K:$K,MATCH(1,('[1]PROSES ENJEKSİYON'!$A:$A=$T$2)*('[1]PROSES ENJEKSİYON'!$F:$F=A73),0)),"")</f>
        <v/>
      </c>
      <c r="W73" s="95" t="str" cm="1">
        <f t="array" ref="W73">IFERROR(INDEX('[1]PROSES ENJEKSİYON'!$L:$L,MATCH(1,('[1]PROSES ENJEKSİYON'!$A:$A=$T$2)*('[1]PROSES ENJEKSİYON'!$F:$F=A73),0)),"")</f>
        <v/>
      </c>
      <c r="X73" s="92" t="str" cm="1">
        <f t="array" ref="X73">IFERROR(INDEX('[1]PROSES ENJEKSİYON'!$G:$G,MATCH(1,('[1]PROSES ENJEKSİYON'!$A:$A=$X$2)*('[1]PROSES ENJEKSİYON'!$F:$F=A73),0)),"")</f>
        <v/>
      </c>
      <c r="Y73" s="93" t="str" cm="1">
        <f t="array" ref="Y73">IFERROR(INDEX('[1]PROSES ENJEKSİYON'!$J:$J,MATCH(1,('[1]PROSES ENJEKSİYON'!$A:$A=$X$2)*('[1]PROSES ENJEKSİYON'!$F:$F=A73),0)),"")</f>
        <v/>
      </c>
      <c r="Z73" s="93" t="str" cm="1">
        <f t="array" ref="Z73">IFERROR(INDEX('[1]PROSES ENJEKSİYON'!$K:$K,MATCH(1,('[1]PROSES ENJEKSİYON'!$A:$A=$X$2)*('[1]PROSES ENJEKSİYON'!$F:$F=A73),0)),"")</f>
        <v/>
      </c>
      <c r="AA73" s="97" t="str" cm="1">
        <f t="array" ref="AA73">IFERROR(INDEX('[1]PROSES ENJEKSİYON'!$L:$L,MATCH(1,('[1]PROSES ENJEKSİYON'!$A:$A=$X$2)*('[1]PROSES ENJEKSİYON'!$F:$F=A73),0)),"")</f>
        <v/>
      </c>
      <c r="AB73" s="70" t="str" cm="1">
        <f t="array" ref="AB73">IFERROR(INDEX('[1]PROSES ENJEKSİYON'!$G:$G,MATCH(1,('[1]PROSES ENJEKSİYON'!$A:$A=$H$2)*('[1]PROSES ENJEKSİYON'!$F:$F=U73),0)),"")</f>
        <v/>
      </c>
      <c r="AC73" s="64" t="str" cm="1">
        <f t="array" ref="AC73">IFERROR(INDEX('[1]PROSES ENJEKSİYON'!$J:$J,MATCH(1,('[1]PROSES ENJEKSİYON'!$A:$A=$H$2)*('[1]PROSES ENJEKSİYON'!$F:$F=U73),0)),"")</f>
        <v/>
      </c>
      <c r="AD73" s="64" t="str" cm="1">
        <f t="array" ref="AD73">IFERROR(INDEX('[1]PROSES ENJEKSİYON'!$K:$K,MATCH(1,('[1]PROSES ENJEKSİYON'!$A:$A=$H$2)*('[1]PROSES ENJEKSİYON'!$F:$F=U73),0)),"")</f>
        <v/>
      </c>
      <c r="AE73" s="44" t="str" cm="1">
        <f t="array" ref="AE73">IFERROR(INDEX('[1]PROSES ENJEKSİYON'!$L:$L,MATCH(1,('[1]PROSES ENJEKSİYON'!$A:$A=$H$2)*('[1]PROSES ENJEKSİYON'!$F:$F=U73),0)),"")</f>
        <v/>
      </c>
    </row>
    <row r="74" spans="1:31" s="89" customFormat="1" ht="46.95" customHeight="1" x14ac:dyDescent="0.4">
      <c r="A74" s="67">
        <v>138</v>
      </c>
      <c r="B74" s="88"/>
      <c r="C74" s="88"/>
      <c r="D74" s="88"/>
      <c r="E74" s="88"/>
      <c r="F74" s="88"/>
      <c r="G74" s="88"/>
      <c r="H74" s="99" t="str" cm="1">
        <f t="array" ref="H74">IFERROR(INDEX('[1]PROSES ENJEKSİYON'!$G:$G,MATCH(1,('[1]PROSES ENJEKSİYON'!$A:$A=$H$2)*('[1]PROSES ENJEKSİYON'!$F:$F=A74),0)),"")</f>
        <v/>
      </c>
      <c r="I74" s="100" t="str" cm="1">
        <f t="array" ref="I74">IFERROR(INDEX('[1]PROSES ENJEKSİYON'!$J:$J,MATCH(1,('[1]PROSES ENJEKSİYON'!$A:$A=$H$2)*('[1]PROSES ENJEKSİYON'!$F:$F=A74),0)),"")</f>
        <v/>
      </c>
      <c r="J74" s="100" t="str" cm="1">
        <f t="array" ref="J74">IFERROR(INDEX('[1]PROSES ENJEKSİYON'!$K:$K,MATCH(1,('[1]PROSES ENJEKSİYON'!$A:$A=$H$2)*('[1]PROSES ENJEKSİYON'!$F:$F=A74),0)),"")</f>
        <v/>
      </c>
      <c r="K74" s="101" t="str" cm="1">
        <f t="array" ref="K74">IFERROR(INDEX('[1]PROSES ENJEKSİYON'!$L:$L,MATCH(1,('[1]PROSES ENJEKSİYON'!$A:$A=$H$2)*('[1]PROSES ENJEKSİYON'!$F:$F=A74),0)),"")</f>
        <v/>
      </c>
      <c r="L74" s="99" t="str" cm="1">
        <f t="array" ref="L74">IFERROR(INDEX('[1]PROSES ENJEKSİYON'!$G:$G,MATCH(1,('[1]PROSES ENJEKSİYON'!$A:$A=$L$2)*('[1]PROSES ENJEKSİYON'!$F:$F=A74),0)),"")</f>
        <v/>
      </c>
      <c r="M74" s="93" t="str" cm="1">
        <f t="array" ref="M74">IFERROR(INDEX('[1]PROSES ENJEKSİYON'!$J:$J,MATCH(1,('[1]PROSES ENJEKSİYON'!$A:$A=$L$2)*('[1]PROSES ENJEKSİYON'!$F:$F=A74),0)),"")</f>
        <v/>
      </c>
      <c r="N74" s="93" t="str" cm="1">
        <f t="array" ref="N74">IFERROR(INDEX('[1]PROSES ENJEKSİYON'!$K:$K,MATCH(1,('[1]PROSES ENJEKSİYON'!$A:$A=$L$2)*('[1]PROSES ENJEKSİYON'!$F:$F=A74),0)),"")</f>
        <v/>
      </c>
      <c r="O74" s="96" t="str" cm="1">
        <f t="array" ref="O74">IFERROR(INDEX('[1]PROSES ENJEKSİYON'!$L:$L,MATCH(1,('[1]PROSES ENJEKSİYON'!$A:$A=$L$2)*('[1]PROSES ENJEKSİYON'!$F:$F=A74),0)),"")</f>
        <v/>
      </c>
      <c r="P74" s="92" t="str" cm="1">
        <f t="array" ref="P74">IFERROR(INDEX('[1]PROSES ENJEKSİYON'!$G:$G,MATCH(1,('[1]PROSES ENJEKSİYON'!$A:$A=$P$2)*('[1]PROSES ENJEKSİYON'!$F:$F=A74),0)),"")</f>
        <v>MM-PET0310-01-062Y-026 - PET0310-01 310ML SEFFAF SEFFAF 62MM YIVLI 26GR</v>
      </c>
      <c r="Q74" s="93" cm="1">
        <f t="array" ref="Q74">IFERROR(INDEX('[1]PROSES ENJEKSİYON'!$J:$J,MATCH(1,('[1]PROSES ENJEKSİYON'!$A:$A=$P$2)*('[1]PROSES ENJEKSİYON'!$F:$F=A74),0)),"")</f>
        <v>3</v>
      </c>
      <c r="R74" s="93" cm="1">
        <f t="array" ref="R74">IFERROR(INDEX('[1]PROSES ENJEKSİYON'!$K:$K,MATCH(1,('[1]PROSES ENJEKSİYON'!$A:$A=$P$2)*('[1]PROSES ENJEKSİYON'!$F:$F=A74),0)),"")</f>
        <v>3</v>
      </c>
      <c r="S74" s="96" cm="1">
        <f t="array" ref="S74">IFERROR(INDEX('[1]PROSES ENJEKSİYON'!$L:$L,MATCH(1,('[1]PROSES ENJEKSİYON'!$A:$A=$P$2)*('[1]PROSES ENJEKSİYON'!$F:$F=A74),0)),"")</f>
        <v>12.48</v>
      </c>
      <c r="T74" s="92" t="str" cm="1">
        <f t="array" ref="T74">IFERROR(INDEX('[1]PROSES ENJEKSİYON'!$G:$G,MATCH(1,('[1]PROSES ENJEKSİYON'!$A:$A=$T$2)*('[1]PROSES ENJEKSİYON'!$F:$F=A74),0)),"")</f>
        <v/>
      </c>
      <c r="U74" s="98" t="str" cm="1">
        <f t="array" ref="U74">IFERROR(INDEX('[1]PROSES ENJEKSİYON'!$J:$J,MATCH(1,('[1]PROSES ENJEKSİYON'!$A:$A=$T$2)*('[1]PROSES ENJEKSİYON'!$F:$F=A74),0)),"")</f>
        <v/>
      </c>
      <c r="V74" s="98" t="str" cm="1">
        <f t="array" ref="V74">IFERROR(INDEX('[1]PROSES ENJEKSİYON'!$K:$K,MATCH(1,('[1]PROSES ENJEKSİYON'!$A:$A=$T$2)*('[1]PROSES ENJEKSİYON'!$F:$F=A74),0)),"")</f>
        <v/>
      </c>
      <c r="W74" s="91" t="str" cm="1">
        <f t="array" ref="W74">IFERROR(INDEX('[1]PROSES ENJEKSİYON'!$L:$L,MATCH(1,('[1]PROSES ENJEKSİYON'!$A:$A=$T$2)*('[1]PROSES ENJEKSİYON'!$F:$F=A74),0)),"")</f>
        <v/>
      </c>
      <c r="X74" s="92" t="str" cm="1">
        <f t="array" ref="X74">IFERROR(INDEX('[1]PROSES ENJEKSİYON'!$G:$G,MATCH(1,('[1]PROSES ENJEKSİYON'!$A:$A=$X$2)*('[1]PROSES ENJEKSİYON'!$F:$F=A74),0)),"")</f>
        <v/>
      </c>
      <c r="Y74" s="93" t="str" cm="1">
        <f t="array" ref="Y74">IFERROR(INDEX('[1]PROSES ENJEKSİYON'!$J:$J,MATCH(1,('[1]PROSES ENJEKSİYON'!$A:$A=$X$2)*('[1]PROSES ENJEKSİYON'!$F:$F=A74),0)),"")</f>
        <v/>
      </c>
      <c r="Z74" s="93" t="str" cm="1">
        <f t="array" ref="Z74">IFERROR(INDEX('[1]PROSES ENJEKSİYON'!$K:$K,MATCH(1,('[1]PROSES ENJEKSİYON'!$A:$A=$X$2)*('[1]PROSES ENJEKSİYON'!$F:$F=A74),0)),"")</f>
        <v/>
      </c>
      <c r="AA74" s="97" t="str" cm="1">
        <f t="array" ref="AA74">IFERROR(INDEX('[1]PROSES ENJEKSİYON'!$L:$L,MATCH(1,('[1]PROSES ENJEKSİYON'!$A:$A=$X$2)*('[1]PROSES ENJEKSİYON'!$F:$F=A74),0)),"")</f>
        <v/>
      </c>
      <c r="AB74" s="70" t="str" cm="1">
        <f t="array" ref="AB74">IFERROR(INDEX('[1]PROSES ENJEKSİYON'!$G:$G,MATCH(1,('[1]PROSES ENJEKSİYON'!$A:$A=$H$2)*('[1]PROSES ENJEKSİYON'!$F:$F=U74),0)),"")</f>
        <v/>
      </c>
      <c r="AC74" s="64" t="str" cm="1">
        <f t="array" ref="AC74">IFERROR(INDEX('[1]PROSES ENJEKSİYON'!$J:$J,MATCH(1,('[1]PROSES ENJEKSİYON'!$A:$A=$H$2)*('[1]PROSES ENJEKSİYON'!$F:$F=U74),0)),"")</f>
        <v/>
      </c>
      <c r="AD74" s="64" t="str" cm="1">
        <f t="array" ref="AD74">IFERROR(INDEX('[1]PROSES ENJEKSİYON'!$K:$K,MATCH(1,('[1]PROSES ENJEKSİYON'!$A:$A=$H$2)*('[1]PROSES ENJEKSİYON'!$F:$F=U74),0)),"")</f>
        <v/>
      </c>
      <c r="AE74" s="44" t="str" cm="1">
        <f t="array" ref="AE74">IFERROR(INDEX('[1]PROSES ENJEKSİYON'!$L:$L,MATCH(1,('[1]PROSES ENJEKSİYON'!$A:$A=$H$2)*('[1]PROSES ENJEKSİYON'!$F:$F=U74),0)),"")</f>
        <v/>
      </c>
    </row>
    <row r="75" spans="1:31" ht="31.2" x14ac:dyDescent="0.3">
      <c r="A75" s="87"/>
    </row>
    <row r="76" spans="1:31" ht="31.2" x14ac:dyDescent="0.3">
      <c r="A76" s="46"/>
    </row>
    <row r="77" spans="1:31" ht="31.2" x14ac:dyDescent="0.3">
      <c r="A77" s="46"/>
    </row>
    <row r="78" spans="1:31" ht="31.2" x14ac:dyDescent="0.3">
      <c r="A78" s="46"/>
    </row>
    <row r="79" spans="1:31" ht="31.2" x14ac:dyDescent="0.3">
      <c r="A79" s="46"/>
    </row>
    <row r="80" spans="1:31" ht="31.2" x14ac:dyDescent="0.3">
      <c r="A80" s="46"/>
    </row>
    <row r="81" spans="1:1" ht="31.2" x14ac:dyDescent="0.3">
      <c r="A81" s="46"/>
    </row>
    <row r="82" spans="1:1" ht="31.2" x14ac:dyDescent="0.3">
      <c r="A82" s="46"/>
    </row>
    <row r="83" spans="1:1" ht="31.2" x14ac:dyDescent="0.3">
      <c r="A83" s="46"/>
    </row>
    <row r="84" spans="1:1" ht="31.2" x14ac:dyDescent="0.3">
      <c r="A84" s="46"/>
    </row>
    <row r="85" spans="1:1" ht="31.2" x14ac:dyDescent="0.3">
      <c r="A85" s="46"/>
    </row>
    <row r="86" spans="1:1" ht="31.2" x14ac:dyDescent="0.3">
      <c r="A86" s="46"/>
    </row>
    <row r="87" spans="1:1" ht="31.2" x14ac:dyDescent="0.3">
      <c r="A87" s="46"/>
    </row>
    <row r="88" spans="1:1" ht="31.2" x14ac:dyDescent="0.3">
      <c r="A88" s="46"/>
    </row>
    <row r="89" spans="1:1" ht="31.2" x14ac:dyDescent="0.3">
      <c r="A89" s="46"/>
    </row>
    <row r="90" spans="1:1" ht="31.2" x14ac:dyDescent="0.3">
      <c r="A90" s="46"/>
    </row>
  </sheetData>
  <autoFilter ref="A2:AA25" xr:uid="{2183112B-A569-4266-B22A-E3B965AEA755}"/>
  <mergeCells count="12">
    <mergeCell ref="AB49:AE49"/>
    <mergeCell ref="H1:K1"/>
    <mergeCell ref="L1:O1"/>
    <mergeCell ref="P1:S1"/>
    <mergeCell ref="T1:W1"/>
    <mergeCell ref="X1:AA1"/>
    <mergeCell ref="AB1:AE1"/>
    <mergeCell ref="H49:K49"/>
    <mergeCell ref="L49:O49"/>
    <mergeCell ref="P49:S49"/>
    <mergeCell ref="T49:W49"/>
    <mergeCell ref="X49:AA49"/>
  </mergeCells>
  <conditionalFormatting sqref="H53:H55">
    <cfRule type="cellIs" dxfId="39" priority="33" operator="between">
      <formula>1</formula>
      <formula>100</formula>
    </cfRule>
  </conditionalFormatting>
  <conditionalFormatting sqref="H57:H58">
    <cfRule type="cellIs" dxfId="38" priority="32" operator="between">
      <formula>1</formula>
      <formula>100</formula>
    </cfRule>
  </conditionalFormatting>
  <conditionalFormatting sqref="H61:H64">
    <cfRule type="cellIs" dxfId="37" priority="31" operator="between">
      <formula>1</formula>
      <formula>100</formula>
    </cfRule>
  </conditionalFormatting>
  <conditionalFormatting sqref="H66">
    <cfRule type="cellIs" dxfId="36" priority="30" operator="between">
      <formula>1</formula>
      <formula>100</formula>
    </cfRule>
  </conditionalFormatting>
  <conditionalFormatting sqref="H68:H70">
    <cfRule type="cellIs" dxfId="35" priority="29" operator="between">
      <formula>1</formula>
      <formula>100</formula>
    </cfRule>
  </conditionalFormatting>
  <conditionalFormatting sqref="H72">
    <cfRule type="cellIs" dxfId="34" priority="28" operator="between">
      <formula>1</formula>
      <formula>100</formula>
    </cfRule>
  </conditionalFormatting>
  <conditionalFormatting sqref="H74">
    <cfRule type="cellIs" dxfId="33" priority="27" operator="between">
      <formula>1</formula>
      <formula>100</formula>
    </cfRule>
  </conditionalFormatting>
  <conditionalFormatting sqref="H51:K52">
    <cfRule type="cellIs" dxfId="32" priority="22" operator="between">
      <formula>1</formula>
      <formula>100</formula>
    </cfRule>
  </conditionalFormatting>
  <conditionalFormatting sqref="H56:K56">
    <cfRule type="cellIs" dxfId="31" priority="21" operator="between">
      <formula>1</formula>
      <formula>100</formula>
    </cfRule>
  </conditionalFormatting>
  <conditionalFormatting sqref="H73:K73">
    <cfRule type="cellIs" dxfId="30" priority="19" operator="between">
      <formula>1</formula>
      <formula>100</formula>
    </cfRule>
  </conditionalFormatting>
  <conditionalFormatting sqref="H59:O60">
    <cfRule type="cellIs" dxfId="29" priority="20" operator="between">
      <formula>1</formula>
      <formula>100</formula>
    </cfRule>
  </conditionalFormatting>
  <conditionalFormatting sqref="H3:AE47">
    <cfRule type="cellIs" dxfId="28" priority="11" operator="between">
      <formula>1</formula>
      <formula>100</formula>
    </cfRule>
  </conditionalFormatting>
  <conditionalFormatting sqref="I3:J47 M3:N47 Q3:R47 U3:V47 Y3:Z47 AC3:AD47">
    <cfRule type="cellIs" dxfId="27" priority="10" operator="between">
      <formula>0</formula>
      <formula>100</formula>
    </cfRule>
  </conditionalFormatting>
  <conditionalFormatting sqref="I51:J74">
    <cfRule type="cellIs" dxfId="26" priority="18" operator="between">
      <formula>0</formula>
      <formula>100</formula>
    </cfRule>
  </conditionalFormatting>
  <conditionalFormatting sqref="I53:O55 I57:O58 I61:O70 I71:K72">
    <cfRule type="cellIs" dxfId="25" priority="39" operator="between">
      <formula>1</formula>
      <formula>100</formula>
    </cfRule>
  </conditionalFormatting>
  <conditionalFormatting sqref="I74:O74">
    <cfRule type="cellIs" dxfId="24" priority="37" operator="between">
      <formula>1</formula>
      <formula>100</formula>
    </cfRule>
  </conditionalFormatting>
  <conditionalFormatting sqref="L51:O51">
    <cfRule type="cellIs" dxfId="23" priority="24" operator="between">
      <formula>1</formula>
      <formula>100</formula>
    </cfRule>
  </conditionalFormatting>
  <conditionalFormatting sqref="L52:O58">
    <cfRule type="cellIs" dxfId="22" priority="35" operator="between">
      <formula>1</formula>
      <formula>100</formula>
    </cfRule>
  </conditionalFormatting>
  <conditionalFormatting sqref="L56:O56">
    <cfRule type="cellIs" dxfId="21" priority="26" operator="between">
      <formula>1</formula>
      <formula>100</formula>
    </cfRule>
  </conditionalFormatting>
  <conditionalFormatting sqref="L61:O74">
    <cfRule type="cellIs" dxfId="20" priority="17" operator="between">
      <formula>1</formula>
      <formula>100</formula>
    </cfRule>
  </conditionalFormatting>
  <conditionalFormatting sqref="M51:N51">
    <cfRule type="cellIs" dxfId="19" priority="23" operator="between">
      <formula>0</formula>
      <formula>100</formula>
    </cfRule>
  </conditionalFormatting>
  <conditionalFormatting sqref="M52:N58">
    <cfRule type="cellIs" dxfId="18" priority="34" operator="between">
      <formula>0</formula>
      <formula>100</formula>
    </cfRule>
  </conditionalFormatting>
  <conditionalFormatting sqref="M53:N55 M57:N58 M61:N70">
    <cfRule type="cellIs" dxfId="17" priority="38" operator="between">
      <formula>0</formula>
      <formula>100</formula>
    </cfRule>
  </conditionalFormatting>
  <conditionalFormatting sqref="M56:N56">
    <cfRule type="cellIs" dxfId="16" priority="25" operator="between">
      <formula>0</formula>
      <formula>100</formula>
    </cfRule>
  </conditionalFormatting>
  <conditionalFormatting sqref="M59:N74">
    <cfRule type="cellIs" dxfId="15" priority="16" operator="between">
      <formula>0</formula>
      <formula>100</formula>
    </cfRule>
  </conditionalFormatting>
  <conditionalFormatting sqref="M74:N74">
    <cfRule type="cellIs" dxfId="14" priority="36" operator="between">
      <formula>0</formula>
      <formula>100</formula>
    </cfRule>
  </conditionalFormatting>
  <conditionalFormatting sqref="P51:S74">
    <cfRule type="cellIs" dxfId="13" priority="9" operator="between">
      <formula>1</formula>
      <formula>100</formula>
    </cfRule>
  </conditionalFormatting>
  <conditionalFormatting sqref="Q51:R74">
    <cfRule type="cellIs" dxfId="12" priority="8" operator="between">
      <formula>0</formula>
      <formula>100</formula>
    </cfRule>
  </conditionalFormatting>
  <conditionalFormatting sqref="T60">
    <cfRule type="cellIs" dxfId="11" priority="4" operator="between">
      <formula>0</formula>
      <formula>100</formula>
    </cfRule>
  </conditionalFormatting>
  <conditionalFormatting sqref="T60:T74">
    <cfRule type="cellIs" dxfId="10" priority="5" operator="between">
      <formula>1</formula>
      <formula>100</formula>
    </cfRule>
  </conditionalFormatting>
  <conditionalFormatting sqref="T51:W59">
    <cfRule type="cellIs" dxfId="9" priority="7" operator="between">
      <formula>1</formula>
      <formula>100</formula>
    </cfRule>
  </conditionalFormatting>
  <conditionalFormatting sqref="U51:V74">
    <cfRule type="cellIs" dxfId="8" priority="2" operator="between">
      <formula>0</formula>
      <formula>100</formula>
    </cfRule>
  </conditionalFormatting>
  <conditionalFormatting sqref="U60:V61">
    <cfRule type="cellIs" dxfId="7" priority="3" operator="between">
      <formula>1</formula>
      <formula>100</formula>
    </cfRule>
  </conditionalFormatting>
  <conditionalFormatting sqref="U62:W74">
    <cfRule type="cellIs" dxfId="6" priority="6" operator="between">
      <formula>1</formula>
      <formula>100</formula>
    </cfRule>
  </conditionalFormatting>
  <conditionalFormatting sqref="W60:W61">
    <cfRule type="cellIs" dxfId="5" priority="1" operator="between">
      <formula>1</formula>
      <formula>100</formula>
    </cfRule>
  </conditionalFormatting>
  <conditionalFormatting sqref="X51:AA74">
    <cfRule type="cellIs" dxfId="4" priority="15" operator="between">
      <formula>1</formula>
      <formula>100</formula>
    </cfRule>
  </conditionalFormatting>
  <conditionalFormatting sqref="Y51:Z74">
    <cfRule type="cellIs" dxfId="3" priority="14" operator="between">
      <formula>0</formula>
      <formula>100</formula>
    </cfRule>
  </conditionalFormatting>
  <conditionalFormatting sqref="AB51:AE74">
    <cfRule type="cellIs" dxfId="2" priority="13" operator="between">
      <formula>1</formula>
      <formula>100</formula>
    </cfRule>
  </conditionalFormatting>
  <conditionalFormatting sqref="AC51:AD74">
    <cfRule type="cellIs" dxfId="1" priority="12" operator="between">
      <formula>0</formula>
      <formula>100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B8B80-8CE2-4797-9D60-61A38EA8ECCD}">
  <dimension ref="A1:Y83"/>
  <sheetViews>
    <sheetView zoomScale="95" zoomScaleNormal="95" zoomScaleSheetLayoutView="80" workbookViewId="0">
      <pane ySplit="1" topLeftCell="A32" activePane="bottomLeft" state="frozen"/>
      <selection pane="bottomLeft" activeCell="C59" sqref="C59"/>
    </sheetView>
  </sheetViews>
  <sheetFormatPr defaultColWidth="8.88671875" defaultRowHeight="10.199999999999999" x14ac:dyDescent="0.3"/>
  <cols>
    <col min="1" max="1" width="8.5546875" style="4" customWidth="1"/>
    <col min="2" max="2" width="4.5546875" style="4" customWidth="1"/>
    <col min="3" max="3" width="14.109375" style="4" customWidth="1"/>
    <col min="4" max="4" width="8.6640625" style="4" customWidth="1"/>
    <col min="5" max="5" width="6.33203125" style="4" customWidth="1"/>
    <col min="6" max="6" width="11.33203125" style="4" bestFit="1" customWidth="1"/>
    <col min="7" max="7" width="53.6640625" style="8" customWidth="1"/>
    <col min="8" max="8" width="11.88671875" style="4" hidden="1" customWidth="1"/>
    <col min="9" max="9" width="8.88671875" style="8" hidden="1" customWidth="1"/>
    <col min="10" max="10" width="8" style="4" customWidth="1"/>
    <col min="11" max="11" width="8.88671875" style="4" customWidth="1"/>
    <col min="12" max="12" width="10.44140625" style="4" customWidth="1"/>
    <col min="13" max="13" width="9.6640625" style="4" customWidth="1"/>
    <col min="14" max="14" width="10" style="4" customWidth="1"/>
    <col min="15" max="15" width="9.44140625" style="4" customWidth="1"/>
    <col min="16" max="16" width="13.33203125" style="4" customWidth="1"/>
    <col min="17" max="17" width="18.33203125" style="4" customWidth="1"/>
    <col min="18" max="18" width="18.44140625" style="4" hidden="1" customWidth="1"/>
    <col min="19" max="19" width="18.109375" style="4" hidden="1" customWidth="1"/>
    <col min="20" max="20" width="18.6640625" style="4" hidden="1" customWidth="1"/>
    <col min="21" max="21" width="13.6640625" style="4" hidden="1" customWidth="1"/>
    <col min="22" max="22" width="15.6640625" style="4" hidden="1" customWidth="1"/>
    <col min="23" max="23" width="16.6640625" style="4" hidden="1" customWidth="1"/>
    <col min="24" max="24" width="70.88671875" style="4" customWidth="1"/>
    <col min="25" max="25" width="37.33203125" style="4" customWidth="1"/>
    <col min="26" max="16384" width="8.88671875" style="4"/>
  </cols>
  <sheetData>
    <row r="1" spans="1:25" ht="24" customHeight="1" x14ac:dyDescent="0.3">
      <c r="A1" s="1" t="s">
        <v>0</v>
      </c>
      <c r="B1" s="1" t="s">
        <v>270</v>
      </c>
      <c r="C1" s="1" t="s">
        <v>37</v>
      </c>
      <c r="D1" s="1" t="s">
        <v>35</v>
      </c>
      <c r="E1" s="1" t="s">
        <v>1</v>
      </c>
      <c r="F1" s="1" t="s">
        <v>3</v>
      </c>
      <c r="G1" s="2" t="s">
        <v>4</v>
      </c>
      <c r="H1" s="1" t="s">
        <v>2</v>
      </c>
      <c r="I1" s="2" t="s">
        <v>48</v>
      </c>
      <c r="J1" s="1" t="s">
        <v>42</v>
      </c>
      <c r="K1" s="1" t="s">
        <v>43</v>
      </c>
      <c r="L1" s="1" t="s">
        <v>41</v>
      </c>
      <c r="M1" s="1" t="s">
        <v>40</v>
      </c>
      <c r="N1" s="1" t="s">
        <v>56</v>
      </c>
      <c r="O1" s="1" t="s">
        <v>39</v>
      </c>
      <c r="P1" s="1" t="s">
        <v>44</v>
      </c>
      <c r="Q1" s="1" t="s">
        <v>45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46</v>
      </c>
      <c r="Y1" s="1" t="s">
        <v>47</v>
      </c>
    </row>
    <row r="2" spans="1:25" ht="13.95" customHeight="1" x14ac:dyDescent="0.3">
      <c r="A2" s="5">
        <v>46024</v>
      </c>
      <c r="B2" s="25">
        <v>24</v>
      </c>
      <c r="C2" s="3" t="s">
        <v>1839</v>
      </c>
      <c r="D2" s="3" t="s">
        <v>2034</v>
      </c>
      <c r="E2" s="3">
        <v>2</v>
      </c>
      <c r="F2" s="3">
        <v>103</v>
      </c>
      <c r="G2" s="6" t="s">
        <v>2073</v>
      </c>
      <c r="I2" s="6"/>
      <c r="J2" s="3">
        <v>5</v>
      </c>
      <c r="K2" s="3">
        <v>5</v>
      </c>
      <c r="L2" s="3">
        <v>15.65</v>
      </c>
      <c r="M2" s="3">
        <v>3</v>
      </c>
      <c r="N2" s="3">
        <v>7</v>
      </c>
      <c r="O2" s="3">
        <v>7</v>
      </c>
      <c r="P2" s="3">
        <v>45</v>
      </c>
      <c r="Q2" s="3">
        <v>147</v>
      </c>
      <c r="R2" s="3"/>
      <c r="S2" s="3"/>
      <c r="T2" s="3"/>
      <c r="U2" s="3"/>
      <c r="V2" s="3"/>
      <c r="W2" s="3"/>
      <c r="X2" s="3" t="s">
        <v>2106</v>
      </c>
      <c r="Y2" s="6" t="s">
        <v>254</v>
      </c>
    </row>
    <row r="3" spans="1:25" ht="13.95" customHeight="1" x14ac:dyDescent="0.3">
      <c r="A3" s="5">
        <v>46024</v>
      </c>
      <c r="B3" s="25">
        <v>24</v>
      </c>
      <c r="C3" s="3" t="s">
        <v>1839</v>
      </c>
      <c r="D3" s="3" t="s">
        <v>2034</v>
      </c>
      <c r="E3" s="3">
        <v>2</v>
      </c>
      <c r="F3" s="3">
        <v>104</v>
      </c>
      <c r="G3" s="6" t="s">
        <v>2100</v>
      </c>
      <c r="I3" s="6"/>
      <c r="J3" s="3">
        <v>6</v>
      </c>
      <c r="K3" s="3">
        <v>5</v>
      </c>
      <c r="L3" s="3">
        <v>15.73</v>
      </c>
      <c r="M3" s="3">
        <v>5.5</v>
      </c>
      <c r="N3" s="3">
        <v>5.9</v>
      </c>
      <c r="O3" s="3">
        <v>5.5</v>
      </c>
      <c r="P3" s="3"/>
      <c r="Q3" s="3">
        <v>170</v>
      </c>
      <c r="R3" s="3"/>
      <c r="S3" s="3"/>
      <c r="T3" s="3"/>
      <c r="U3" s="3"/>
      <c r="V3" s="3"/>
      <c r="W3" s="3"/>
      <c r="X3" s="3" t="s">
        <v>253</v>
      </c>
      <c r="Y3" s="6" t="s">
        <v>84</v>
      </c>
    </row>
    <row r="4" spans="1:25" ht="13.95" customHeight="1" x14ac:dyDescent="0.3">
      <c r="A4" s="5">
        <v>46024</v>
      </c>
      <c r="B4" s="25">
        <v>24</v>
      </c>
      <c r="C4" s="3" t="s">
        <v>1839</v>
      </c>
      <c r="D4" s="3" t="s">
        <v>2034</v>
      </c>
      <c r="E4" s="3">
        <v>2</v>
      </c>
      <c r="F4" s="3">
        <v>161</v>
      </c>
      <c r="G4" s="6" t="s">
        <v>2085</v>
      </c>
      <c r="I4" s="6"/>
      <c r="J4" s="3">
        <v>6</v>
      </c>
      <c r="K4" s="3">
        <v>6</v>
      </c>
      <c r="L4" s="3">
        <v>22.51</v>
      </c>
      <c r="M4" s="3">
        <v>8</v>
      </c>
      <c r="N4" s="3">
        <v>9</v>
      </c>
      <c r="O4" s="3">
        <v>3</v>
      </c>
      <c r="P4" s="3"/>
      <c r="Q4" s="3">
        <v>160</v>
      </c>
      <c r="R4" s="3"/>
      <c r="S4" s="3"/>
      <c r="T4" s="3"/>
      <c r="U4" s="3"/>
      <c r="V4" s="3"/>
      <c r="W4" s="3"/>
      <c r="X4" s="3" t="s">
        <v>2107</v>
      </c>
      <c r="Y4" s="6" t="s">
        <v>86</v>
      </c>
    </row>
    <row r="5" spans="1:25" ht="13.95" customHeight="1" x14ac:dyDescent="0.3">
      <c r="A5" s="5">
        <v>46024</v>
      </c>
      <c r="B5" s="25">
        <v>24</v>
      </c>
      <c r="C5" s="3" t="s">
        <v>1839</v>
      </c>
      <c r="D5" s="3" t="s">
        <v>2034</v>
      </c>
      <c r="E5" s="3">
        <v>2</v>
      </c>
      <c r="F5" s="3">
        <v>162</v>
      </c>
      <c r="G5" s="6" t="s">
        <v>2089</v>
      </c>
      <c r="I5" s="6"/>
      <c r="J5" s="3">
        <v>6</v>
      </c>
      <c r="K5" s="3">
        <v>6</v>
      </c>
      <c r="L5" s="3">
        <v>24</v>
      </c>
      <c r="M5" s="3">
        <v>8.5</v>
      </c>
      <c r="N5" s="3">
        <v>10</v>
      </c>
      <c r="O5" s="3">
        <v>4</v>
      </c>
      <c r="P5" s="3">
        <v>35</v>
      </c>
      <c r="Q5" s="3">
        <v>175</v>
      </c>
      <c r="R5" s="3"/>
      <c r="S5" s="3"/>
      <c r="T5" s="3"/>
      <c r="U5" s="3"/>
      <c r="V5" s="3"/>
      <c r="W5" s="3"/>
      <c r="X5" s="3" t="s">
        <v>2071</v>
      </c>
      <c r="Y5" s="6" t="s">
        <v>2094</v>
      </c>
    </row>
    <row r="6" spans="1:25" ht="13.95" customHeight="1" x14ac:dyDescent="0.3">
      <c r="A6" s="5">
        <v>46024</v>
      </c>
      <c r="B6" s="25">
        <v>24</v>
      </c>
      <c r="C6" s="3" t="s">
        <v>1839</v>
      </c>
      <c r="D6" s="3" t="s">
        <v>2034</v>
      </c>
      <c r="E6" s="3">
        <v>2</v>
      </c>
      <c r="F6" s="3">
        <v>164</v>
      </c>
      <c r="G6" s="6" t="s">
        <v>2101</v>
      </c>
      <c r="I6" s="6"/>
      <c r="J6" s="3">
        <v>6</v>
      </c>
      <c r="K6" s="3">
        <v>6</v>
      </c>
      <c r="L6" s="3">
        <v>21.59</v>
      </c>
      <c r="M6" s="3">
        <v>5</v>
      </c>
      <c r="N6" s="3">
        <v>9</v>
      </c>
      <c r="O6" s="3">
        <v>3</v>
      </c>
      <c r="P6" s="3"/>
      <c r="Q6" s="3">
        <v>180</v>
      </c>
      <c r="R6" s="3"/>
      <c r="S6" s="3"/>
      <c r="T6" s="3"/>
      <c r="U6" s="3"/>
      <c r="V6" s="3"/>
      <c r="W6" s="3"/>
      <c r="X6" s="3" t="s">
        <v>84</v>
      </c>
      <c r="Y6" s="6" t="s">
        <v>396</v>
      </c>
    </row>
    <row r="7" spans="1:25" ht="13.95" customHeight="1" x14ac:dyDescent="0.3">
      <c r="A7" s="5">
        <v>46024</v>
      </c>
      <c r="B7" s="25">
        <v>24</v>
      </c>
      <c r="C7" s="3" t="s">
        <v>1839</v>
      </c>
      <c r="D7" s="3" t="s">
        <v>2034</v>
      </c>
      <c r="E7" s="3">
        <v>2</v>
      </c>
      <c r="F7" s="3">
        <v>141</v>
      </c>
      <c r="G7" s="6" t="s">
        <v>2090</v>
      </c>
      <c r="I7" s="6"/>
      <c r="J7" s="3">
        <v>4</v>
      </c>
      <c r="K7" s="3">
        <v>4</v>
      </c>
      <c r="L7" s="3">
        <v>28</v>
      </c>
      <c r="M7" s="3">
        <v>6.3</v>
      </c>
      <c r="N7" s="3">
        <v>8</v>
      </c>
      <c r="O7" s="3">
        <v>3</v>
      </c>
      <c r="P7" s="3"/>
      <c r="Q7" s="3">
        <v>175</v>
      </c>
      <c r="R7" s="3"/>
      <c r="S7" s="3"/>
      <c r="T7" s="3"/>
      <c r="U7" s="3"/>
      <c r="V7" s="3"/>
      <c r="W7" s="3"/>
      <c r="X7" s="3" t="s">
        <v>79</v>
      </c>
      <c r="Y7" s="6" t="s">
        <v>153</v>
      </c>
    </row>
    <row r="8" spans="1:25" ht="13.95" customHeight="1" x14ac:dyDescent="0.3">
      <c r="A8" s="5">
        <v>46024</v>
      </c>
      <c r="B8" s="25">
        <v>24</v>
      </c>
      <c r="C8" s="3" t="s">
        <v>1839</v>
      </c>
      <c r="D8" s="3" t="s">
        <v>2034</v>
      </c>
      <c r="E8" s="3">
        <v>2</v>
      </c>
      <c r="F8" s="3">
        <v>172</v>
      </c>
      <c r="G8" s="6" t="s">
        <v>2074</v>
      </c>
      <c r="I8" s="6"/>
      <c r="J8" s="3">
        <v>4</v>
      </c>
      <c r="K8" s="3">
        <v>4</v>
      </c>
      <c r="L8" s="3">
        <v>15.85</v>
      </c>
      <c r="M8" s="3">
        <v>1</v>
      </c>
      <c r="N8" s="3">
        <v>9.75</v>
      </c>
      <c r="O8" s="3">
        <v>7</v>
      </c>
      <c r="P8" s="3" t="s">
        <v>2095</v>
      </c>
      <c r="Q8" s="3">
        <v>170</v>
      </c>
      <c r="R8" s="3"/>
      <c r="S8" s="3"/>
      <c r="T8" s="3"/>
      <c r="U8" s="3"/>
      <c r="V8" s="3"/>
      <c r="W8" s="3"/>
      <c r="X8" s="3" t="s">
        <v>79</v>
      </c>
      <c r="Y8" s="6" t="s">
        <v>80</v>
      </c>
    </row>
    <row r="9" spans="1:25" ht="13.95" customHeight="1" x14ac:dyDescent="0.3">
      <c r="A9" s="5">
        <v>46024</v>
      </c>
      <c r="B9" s="25">
        <v>24</v>
      </c>
      <c r="C9" s="3" t="s">
        <v>1839</v>
      </c>
      <c r="D9" s="3" t="s">
        <v>2034</v>
      </c>
      <c r="E9" s="3">
        <v>2</v>
      </c>
      <c r="F9" s="3">
        <v>173</v>
      </c>
      <c r="G9" s="6" t="s">
        <v>2102</v>
      </c>
      <c r="I9" s="6"/>
      <c r="J9" s="3">
        <v>5</v>
      </c>
      <c r="K9" s="3">
        <v>5</v>
      </c>
      <c r="L9" s="3">
        <v>19.23</v>
      </c>
      <c r="M9" s="3">
        <v>2.8</v>
      </c>
      <c r="N9" s="3">
        <v>12.25</v>
      </c>
      <c r="O9" s="3">
        <v>8</v>
      </c>
      <c r="P9" s="3" t="s">
        <v>2108</v>
      </c>
      <c r="Q9" s="3">
        <v>170</v>
      </c>
      <c r="R9" s="3"/>
      <c r="S9" s="3"/>
      <c r="T9" s="3"/>
      <c r="U9" s="3"/>
      <c r="V9" s="3"/>
      <c r="W9" s="3"/>
      <c r="X9" s="3" t="s">
        <v>79</v>
      </c>
      <c r="Y9" s="6" t="s">
        <v>217</v>
      </c>
    </row>
    <row r="10" spans="1:25" ht="13.95" customHeight="1" x14ac:dyDescent="0.3">
      <c r="A10" s="5">
        <v>46024</v>
      </c>
      <c r="B10" s="25">
        <v>24</v>
      </c>
      <c r="C10" s="3" t="s">
        <v>1839</v>
      </c>
      <c r="D10" s="3" t="s">
        <v>2034</v>
      </c>
      <c r="E10" s="3">
        <v>2</v>
      </c>
      <c r="F10" s="3">
        <v>175</v>
      </c>
      <c r="G10" s="6" t="s">
        <v>2076</v>
      </c>
      <c r="I10" s="6"/>
      <c r="J10" s="3">
        <v>5</v>
      </c>
      <c r="K10" s="3">
        <v>5</v>
      </c>
      <c r="L10" s="3">
        <v>14.94</v>
      </c>
      <c r="M10" s="3">
        <v>1.5</v>
      </c>
      <c r="N10" s="3">
        <v>9.5</v>
      </c>
      <c r="O10" s="3">
        <v>6.5</v>
      </c>
      <c r="P10" s="3" t="s">
        <v>2109</v>
      </c>
      <c r="Q10" s="3">
        <v>170</v>
      </c>
      <c r="R10" s="3"/>
      <c r="S10" s="3"/>
      <c r="T10" s="3"/>
      <c r="U10" s="3"/>
      <c r="V10" s="3"/>
      <c r="W10" s="3"/>
      <c r="X10" s="3" t="s">
        <v>79</v>
      </c>
      <c r="Y10" s="6" t="s">
        <v>138</v>
      </c>
    </row>
    <row r="11" spans="1:25" ht="13.95" customHeight="1" x14ac:dyDescent="0.3">
      <c r="A11" s="5">
        <v>46024</v>
      </c>
      <c r="B11" s="25">
        <v>24</v>
      </c>
      <c r="C11" s="3" t="s">
        <v>1839</v>
      </c>
      <c r="D11" s="3" t="s">
        <v>2034</v>
      </c>
      <c r="E11" s="3">
        <v>2</v>
      </c>
      <c r="F11" s="3">
        <v>176</v>
      </c>
      <c r="G11" s="6" t="s">
        <v>2092</v>
      </c>
      <c r="I11" s="6"/>
      <c r="J11" s="3">
        <v>5</v>
      </c>
      <c r="K11" s="3">
        <v>5</v>
      </c>
      <c r="L11" s="3">
        <v>20.3</v>
      </c>
      <c r="M11" s="3">
        <v>1</v>
      </c>
      <c r="N11" s="3">
        <v>13</v>
      </c>
      <c r="O11" s="3">
        <v>8</v>
      </c>
      <c r="P11" s="3" t="s">
        <v>2110</v>
      </c>
      <c r="Q11" s="3">
        <v>171</v>
      </c>
      <c r="R11" s="3"/>
      <c r="S11" s="3"/>
      <c r="T11" s="3"/>
      <c r="U11" s="3"/>
      <c r="V11" s="3"/>
      <c r="W11" s="3"/>
      <c r="X11" s="3" t="s">
        <v>611</v>
      </c>
      <c r="Y11" s="6" t="s">
        <v>84</v>
      </c>
    </row>
    <row r="12" spans="1:25" ht="13.95" customHeight="1" x14ac:dyDescent="0.3">
      <c r="A12" s="5">
        <v>46024</v>
      </c>
      <c r="B12" s="25">
        <v>24</v>
      </c>
      <c r="C12" s="3" t="s">
        <v>1839</v>
      </c>
      <c r="D12" s="3" t="s">
        <v>2034</v>
      </c>
      <c r="E12" s="3">
        <v>2</v>
      </c>
      <c r="F12" s="3">
        <v>177</v>
      </c>
      <c r="G12" s="6" t="s">
        <v>2093</v>
      </c>
      <c r="I12" s="6"/>
      <c r="J12" s="3">
        <v>4</v>
      </c>
      <c r="K12" s="3">
        <v>4</v>
      </c>
      <c r="L12" s="3">
        <v>17.989999999999998</v>
      </c>
      <c r="M12" s="3">
        <v>0.8</v>
      </c>
      <c r="N12" s="3">
        <v>8</v>
      </c>
      <c r="O12" s="3">
        <v>8.3000000000000007</v>
      </c>
      <c r="P12" s="3" t="s">
        <v>2111</v>
      </c>
      <c r="Q12" s="3">
        <v>170</v>
      </c>
      <c r="R12" s="3"/>
      <c r="S12" s="3"/>
      <c r="T12" s="3"/>
      <c r="U12" s="3"/>
      <c r="V12" s="3"/>
      <c r="W12" s="3"/>
      <c r="X12" s="3" t="s">
        <v>902</v>
      </c>
      <c r="Y12" s="6" t="s">
        <v>80</v>
      </c>
    </row>
    <row r="13" spans="1:25" ht="13.95" customHeight="1" x14ac:dyDescent="0.3">
      <c r="A13" s="5">
        <v>46024</v>
      </c>
      <c r="B13" s="25">
        <v>24</v>
      </c>
      <c r="C13" s="3" t="s">
        <v>1839</v>
      </c>
      <c r="D13" s="3" t="s">
        <v>2034</v>
      </c>
      <c r="E13" s="3">
        <v>2</v>
      </c>
      <c r="F13" s="3">
        <v>131</v>
      </c>
      <c r="G13" s="6" t="s">
        <v>2103</v>
      </c>
      <c r="I13" s="6"/>
      <c r="J13" s="3">
        <v>3</v>
      </c>
      <c r="K13" s="3">
        <v>3</v>
      </c>
      <c r="L13" s="3">
        <v>19.07</v>
      </c>
      <c r="M13" s="3">
        <v>3.65</v>
      </c>
      <c r="N13" s="3">
        <v>9</v>
      </c>
      <c r="O13" s="3">
        <v>6</v>
      </c>
      <c r="P13" s="3"/>
      <c r="Q13" s="3">
        <v>180</v>
      </c>
      <c r="R13" s="3"/>
      <c r="S13" s="3"/>
      <c r="T13" s="3"/>
      <c r="U13" s="3"/>
      <c r="V13" s="3"/>
      <c r="W13" s="3"/>
      <c r="X13" s="3" t="s">
        <v>86</v>
      </c>
      <c r="Y13" s="6" t="s">
        <v>2112</v>
      </c>
    </row>
    <row r="14" spans="1:25" ht="13.95" customHeight="1" x14ac:dyDescent="0.3">
      <c r="A14" s="5">
        <v>46024</v>
      </c>
      <c r="B14" s="25">
        <v>24</v>
      </c>
      <c r="C14" s="3" t="s">
        <v>1839</v>
      </c>
      <c r="D14" s="3" t="s">
        <v>2034</v>
      </c>
      <c r="E14" s="3">
        <v>2</v>
      </c>
      <c r="F14" s="3">
        <v>135</v>
      </c>
      <c r="G14" s="6" t="s">
        <v>2104</v>
      </c>
      <c r="I14" s="6"/>
      <c r="J14" s="3">
        <v>2</v>
      </c>
      <c r="K14" s="3">
        <v>2</v>
      </c>
      <c r="L14" s="3">
        <v>20.58</v>
      </c>
      <c r="M14" s="3">
        <v>6</v>
      </c>
      <c r="N14" s="3">
        <v>9</v>
      </c>
      <c r="O14" s="3">
        <v>4.5</v>
      </c>
      <c r="P14" s="3"/>
      <c r="Q14" s="3">
        <v>160</v>
      </c>
      <c r="R14" s="3"/>
      <c r="S14" s="3"/>
      <c r="T14" s="3"/>
      <c r="U14" s="3"/>
      <c r="V14" s="3"/>
      <c r="W14" s="3"/>
      <c r="X14" s="3" t="s">
        <v>2087</v>
      </c>
      <c r="Y14" s="6" t="s">
        <v>2113</v>
      </c>
    </row>
    <row r="15" spans="1:25" ht="13.95" customHeight="1" x14ac:dyDescent="0.3">
      <c r="A15" s="5">
        <v>46024</v>
      </c>
      <c r="B15" s="25">
        <v>24</v>
      </c>
      <c r="C15" s="3" t="s">
        <v>1839</v>
      </c>
      <c r="D15" s="3" t="s">
        <v>2034</v>
      </c>
      <c r="E15" s="3">
        <v>2</v>
      </c>
      <c r="F15" s="3">
        <v>138</v>
      </c>
      <c r="G15" s="6" t="s">
        <v>2105</v>
      </c>
      <c r="I15" s="6"/>
      <c r="J15" s="3">
        <v>3</v>
      </c>
      <c r="K15" s="3">
        <v>3</v>
      </c>
      <c r="L15" s="3">
        <v>12.85</v>
      </c>
      <c r="M15" s="3">
        <v>2.5</v>
      </c>
      <c r="N15" s="3">
        <v>5</v>
      </c>
      <c r="O15" s="3">
        <v>4</v>
      </c>
      <c r="P15" s="3"/>
      <c r="Q15" s="3">
        <v>143</v>
      </c>
      <c r="R15" s="3"/>
      <c r="S15" s="3"/>
      <c r="T15" s="3"/>
      <c r="U15" s="3"/>
      <c r="V15" s="3"/>
      <c r="W15" s="3"/>
      <c r="X15" s="3" t="s">
        <v>84</v>
      </c>
      <c r="Y15" s="6" t="s">
        <v>2094</v>
      </c>
    </row>
    <row r="16" spans="1:25" ht="13.95" customHeight="1" x14ac:dyDescent="0.3">
      <c r="A16" s="5">
        <v>46024</v>
      </c>
      <c r="B16" s="25">
        <v>24</v>
      </c>
      <c r="C16" s="3" t="s">
        <v>2072</v>
      </c>
      <c r="D16" s="3" t="s">
        <v>2034</v>
      </c>
      <c r="E16" s="3">
        <v>2</v>
      </c>
      <c r="F16" s="3">
        <v>202</v>
      </c>
      <c r="G16" s="6" t="s">
        <v>2114</v>
      </c>
      <c r="I16" s="6"/>
      <c r="J16" s="3">
        <v>24</v>
      </c>
      <c r="K16" s="3">
        <v>24</v>
      </c>
      <c r="L16" s="3">
        <v>212</v>
      </c>
      <c r="M16" s="3">
        <v>10</v>
      </c>
      <c r="N16" s="3">
        <v>3</v>
      </c>
      <c r="O16" s="3"/>
      <c r="P16" s="3"/>
      <c r="Q16" s="3"/>
      <c r="R16" s="3" t="s">
        <v>1162</v>
      </c>
      <c r="S16" s="3" t="s">
        <v>2119</v>
      </c>
      <c r="T16" s="3">
        <v>0.5</v>
      </c>
      <c r="U16" s="3">
        <v>20</v>
      </c>
      <c r="V16" s="3">
        <v>25</v>
      </c>
      <c r="W16" s="3">
        <v>110</v>
      </c>
      <c r="X16" s="3" t="s">
        <v>2054</v>
      </c>
      <c r="Y16" s="6"/>
    </row>
    <row r="17" spans="1:25" ht="13.95" customHeight="1" x14ac:dyDescent="0.3">
      <c r="A17" s="5">
        <v>46024</v>
      </c>
      <c r="B17" s="25">
        <v>24</v>
      </c>
      <c r="C17" s="3" t="s">
        <v>2072</v>
      </c>
      <c r="D17" s="3" t="s">
        <v>2034</v>
      </c>
      <c r="E17" s="3">
        <v>2</v>
      </c>
      <c r="F17" s="3">
        <v>203</v>
      </c>
      <c r="G17" s="6" t="s">
        <v>2096</v>
      </c>
      <c r="I17" s="6"/>
      <c r="J17" s="3">
        <v>4</v>
      </c>
      <c r="K17" s="3">
        <v>4</v>
      </c>
      <c r="L17" s="3">
        <v>16.100000000000001</v>
      </c>
      <c r="M17" s="3">
        <v>5</v>
      </c>
      <c r="N17" s="3">
        <v>4</v>
      </c>
      <c r="O17" s="3"/>
      <c r="P17" s="3"/>
      <c r="Q17" s="3"/>
      <c r="R17" s="3" t="s">
        <v>2098</v>
      </c>
      <c r="S17" s="3" t="s">
        <v>2120</v>
      </c>
      <c r="T17" s="3">
        <v>1</v>
      </c>
      <c r="U17" s="3">
        <v>20</v>
      </c>
      <c r="V17" s="3">
        <v>25</v>
      </c>
      <c r="W17" s="3">
        <v>100</v>
      </c>
      <c r="X17" s="3" t="s">
        <v>2121</v>
      </c>
      <c r="Y17" s="6"/>
    </row>
    <row r="18" spans="1:25" ht="13.95" customHeight="1" x14ac:dyDescent="0.3">
      <c r="A18" s="5">
        <v>46024</v>
      </c>
      <c r="B18" s="25">
        <v>24</v>
      </c>
      <c r="C18" s="3" t="s">
        <v>2072</v>
      </c>
      <c r="D18" s="3" t="s">
        <v>2034</v>
      </c>
      <c r="E18" s="3">
        <v>2</v>
      </c>
      <c r="F18" s="3">
        <v>204</v>
      </c>
      <c r="G18" s="6" t="s">
        <v>2079</v>
      </c>
      <c r="I18" s="6"/>
      <c r="J18" s="3">
        <v>24</v>
      </c>
      <c r="K18" s="3">
        <v>24</v>
      </c>
      <c r="L18" s="3">
        <v>25.5</v>
      </c>
      <c r="M18" s="3">
        <v>15</v>
      </c>
      <c r="N18" s="3">
        <v>3</v>
      </c>
      <c r="O18" s="3"/>
      <c r="P18" s="3"/>
      <c r="Q18" s="3"/>
      <c r="R18" s="3" t="s">
        <v>2122</v>
      </c>
      <c r="S18" s="3" t="s">
        <v>71</v>
      </c>
      <c r="T18" s="3">
        <v>0.5</v>
      </c>
      <c r="U18" s="3">
        <v>25</v>
      </c>
      <c r="V18" s="3">
        <v>30</v>
      </c>
      <c r="W18" s="3">
        <v>90</v>
      </c>
      <c r="X18" s="3" t="s">
        <v>2123</v>
      </c>
      <c r="Y18" s="6"/>
    </row>
    <row r="19" spans="1:25" ht="13.95" customHeight="1" x14ac:dyDescent="0.3">
      <c r="A19" s="5">
        <v>46024</v>
      </c>
      <c r="B19" s="25">
        <v>24</v>
      </c>
      <c r="C19" s="3" t="s">
        <v>2072</v>
      </c>
      <c r="D19" s="3" t="s">
        <v>2034</v>
      </c>
      <c r="E19" s="3">
        <v>2</v>
      </c>
      <c r="F19" s="3">
        <v>205</v>
      </c>
      <c r="G19" s="6" t="s">
        <v>2080</v>
      </c>
      <c r="I19" s="6"/>
      <c r="J19" s="3">
        <v>12</v>
      </c>
      <c r="K19" s="3">
        <v>12</v>
      </c>
      <c r="L19" s="3">
        <v>26.9</v>
      </c>
      <c r="M19" s="3">
        <v>10</v>
      </c>
      <c r="N19" s="3">
        <v>3</v>
      </c>
      <c r="O19" s="3"/>
      <c r="P19" s="3"/>
      <c r="Q19" s="3"/>
      <c r="R19" s="3" t="s">
        <v>133</v>
      </c>
      <c r="S19" s="3" t="s">
        <v>1133</v>
      </c>
      <c r="T19" s="3">
        <v>1</v>
      </c>
      <c r="U19" s="3">
        <v>20</v>
      </c>
      <c r="V19" s="3">
        <v>25</v>
      </c>
      <c r="W19" s="3">
        <v>120</v>
      </c>
      <c r="X19" s="3" t="s">
        <v>2099</v>
      </c>
      <c r="Y19" s="6"/>
    </row>
    <row r="20" spans="1:25" ht="13.95" customHeight="1" x14ac:dyDescent="0.3">
      <c r="A20" s="5">
        <v>46024</v>
      </c>
      <c r="B20" s="25">
        <v>24</v>
      </c>
      <c r="C20" s="3" t="s">
        <v>2072</v>
      </c>
      <c r="D20" s="3" t="s">
        <v>2034</v>
      </c>
      <c r="E20" s="3">
        <v>2</v>
      </c>
      <c r="F20" s="3">
        <v>206</v>
      </c>
      <c r="G20" s="6" t="s">
        <v>2097</v>
      </c>
      <c r="I20" s="6"/>
      <c r="J20" s="3">
        <v>8</v>
      </c>
      <c r="K20" s="3">
        <v>6</v>
      </c>
      <c r="L20" s="3">
        <v>33.200000000000003</v>
      </c>
      <c r="M20" s="3">
        <v>18</v>
      </c>
      <c r="N20" s="3">
        <v>3</v>
      </c>
      <c r="O20" s="3"/>
      <c r="P20" s="3"/>
      <c r="Q20" s="3"/>
      <c r="R20" s="3" t="s">
        <v>1777</v>
      </c>
      <c r="S20" s="3" t="s">
        <v>1517</v>
      </c>
      <c r="T20" s="3">
        <v>1.5</v>
      </c>
      <c r="U20" s="3">
        <v>30</v>
      </c>
      <c r="V20" s="3">
        <v>40</v>
      </c>
      <c r="W20" s="3">
        <v>130</v>
      </c>
      <c r="X20" s="3" t="s">
        <v>2124</v>
      </c>
      <c r="Y20" s="6"/>
    </row>
    <row r="21" spans="1:25" ht="13.95" customHeight="1" x14ac:dyDescent="0.3">
      <c r="A21" s="5">
        <v>46024</v>
      </c>
      <c r="B21" s="25">
        <v>24</v>
      </c>
      <c r="C21" s="3" t="s">
        <v>2072</v>
      </c>
      <c r="D21" s="3" t="s">
        <v>2034</v>
      </c>
      <c r="E21" s="3">
        <v>2</v>
      </c>
      <c r="F21" s="3">
        <v>207</v>
      </c>
      <c r="G21" s="6" t="s">
        <v>2069</v>
      </c>
      <c r="I21" s="6"/>
      <c r="J21" s="3">
        <v>12</v>
      </c>
      <c r="K21" s="3">
        <v>9</v>
      </c>
      <c r="L21" s="3">
        <v>27.85</v>
      </c>
      <c r="M21" s="3">
        <v>10</v>
      </c>
      <c r="N21" s="3">
        <v>5.85</v>
      </c>
      <c r="O21" s="3"/>
      <c r="P21" s="3"/>
      <c r="Q21" s="3"/>
      <c r="R21" s="3" t="s">
        <v>1053</v>
      </c>
      <c r="S21" s="3" t="s">
        <v>284</v>
      </c>
      <c r="T21" s="3">
        <v>1.25</v>
      </c>
      <c r="U21" s="3">
        <v>15</v>
      </c>
      <c r="V21" s="3">
        <v>20</v>
      </c>
      <c r="W21" s="3">
        <v>140</v>
      </c>
      <c r="X21" s="3" t="s">
        <v>2125</v>
      </c>
      <c r="Y21" s="6" t="s">
        <v>2126</v>
      </c>
    </row>
    <row r="22" spans="1:25" ht="13.95" customHeight="1" x14ac:dyDescent="0.3">
      <c r="A22" s="5">
        <v>46024</v>
      </c>
      <c r="B22" s="25">
        <v>24</v>
      </c>
      <c r="C22" s="3" t="s">
        <v>2072</v>
      </c>
      <c r="D22" s="3" t="s">
        <v>2034</v>
      </c>
      <c r="E22" s="3">
        <v>2</v>
      </c>
      <c r="F22" s="3">
        <v>209</v>
      </c>
      <c r="G22" s="6" t="s">
        <v>2115</v>
      </c>
      <c r="I22" s="6"/>
      <c r="J22" s="3">
        <v>16</v>
      </c>
      <c r="K22" s="3">
        <v>10</v>
      </c>
      <c r="L22" s="3">
        <v>27.5</v>
      </c>
      <c r="M22" s="3">
        <v>6</v>
      </c>
      <c r="N22" s="3">
        <v>5</v>
      </c>
      <c r="O22" s="3"/>
      <c r="P22" s="3"/>
      <c r="Q22" s="3"/>
      <c r="R22" s="3" t="s">
        <v>919</v>
      </c>
      <c r="S22" s="3" t="s">
        <v>1553</v>
      </c>
      <c r="T22" s="3">
        <v>0.5</v>
      </c>
      <c r="U22" s="3">
        <v>30</v>
      </c>
      <c r="V22" s="3">
        <v>30</v>
      </c>
      <c r="W22" s="3">
        <v>148</v>
      </c>
      <c r="X22" s="3" t="s">
        <v>393</v>
      </c>
      <c r="Y22" s="6"/>
    </row>
    <row r="23" spans="1:25" ht="13.95" customHeight="1" x14ac:dyDescent="0.3">
      <c r="A23" s="5">
        <v>46024</v>
      </c>
      <c r="B23" s="25">
        <v>24</v>
      </c>
      <c r="C23" s="3" t="s">
        <v>2072</v>
      </c>
      <c r="D23" s="3" t="s">
        <v>2034</v>
      </c>
      <c r="E23" s="3">
        <v>2</v>
      </c>
      <c r="F23" s="3">
        <v>210</v>
      </c>
      <c r="G23" s="6" t="s">
        <v>2116</v>
      </c>
      <c r="I23" s="6"/>
      <c r="J23" s="3">
        <v>4</v>
      </c>
      <c r="K23" s="3">
        <v>4</v>
      </c>
      <c r="L23" s="3">
        <v>19.8</v>
      </c>
      <c r="M23" s="3">
        <v>6</v>
      </c>
      <c r="N23" s="3">
        <v>4</v>
      </c>
      <c r="O23" s="3"/>
      <c r="P23" s="3"/>
      <c r="Q23" s="3"/>
      <c r="R23" s="3" t="s">
        <v>2127</v>
      </c>
      <c r="S23" s="3" t="s">
        <v>2128</v>
      </c>
      <c r="T23" s="3">
        <v>1</v>
      </c>
      <c r="U23" s="3">
        <v>25</v>
      </c>
      <c r="V23" s="3">
        <v>35</v>
      </c>
      <c r="W23" s="3">
        <v>101</v>
      </c>
      <c r="X23" s="3" t="s">
        <v>2084</v>
      </c>
      <c r="Y23" s="6" t="s">
        <v>2129</v>
      </c>
    </row>
    <row r="24" spans="1:25" ht="13.95" customHeight="1" x14ac:dyDescent="0.3">
      <c r="A24" s="5">
        <v>46024</v>
      </c>
      <c r="B24" s="25">
        <v>24</v>
      </c>
      <c r="C24" s="3" t="s">
        <v>2072</v>
      </c>
      <c r="D24" s="3" t="s">
        <v>2034</v>
      </c>
      <c r="E24" s="3">
        <v>2</v>
      </c>
      <c r="F24" s="3">
        <v>211</v>
      </c>
      <c r="G24" s="6" t="s">
        <v>2117</v>
      </c>
      <c r="I24" s="6"/>
      <c r="J24" s="3">
        <v>24</v>
      </c>
      <c r="K24" s="3">
        <v>21</v>
      </c>
      <c r="L24" s="3">
        <v>21.4</v>
      </c>
      <c r="M24" s="3">
        <v>10</v>
      </c>
      <c r="N24" s="3">
        <v>4.4000000000000004</v>
      </c>
      <c r="O24" s="3"/>
      <c r="P24" s="3"/>
      <c r="Q24" s="3"/>
      <c r="R24" s="3" t="s">
        <v>2130</v>
      </c>
      <c r="S24" s="3" t="s">
        <v>2131</v>
      </c>
      <c r="T24" s="3">
        <v>0.6</v>
      </c>
      <c r="U24" s="3">
        <v>15</v>
      </c>
      <c r="V24" s="3">
        <v>15</v>
      </c>
      <c r="W24" s="3">
        <v>110</v>
      </c>
      <c r="X24" s="3" t="s">
        <v>2132</v>
      </c>
      <c r="Y24" s="6"/>
    </row>
    <row r="25" spans="1:25" ht="13.95" customHeight="1" x14ac:dyDescent="0.3">
      <c r="A25" s="5">
        <v>46024</v>
      </c>
      <c r="B25" s="25">
        <v>24</v>
      </c>
      <c r="C25" s="3" t="s">
        <v>2072</v>
      </c>
      <c r="D25" s="3" t="s">
        <v>2034</v>
      </c>
      <c r="E25" s="3">
        <v>2</v>
      </c>
      <c r="F25" s="3">
        <v>301</v>
      </c>
      <c r="G25" s="6" t="s">
        <v>2118</v>
      </c>
      <c r="I25" s="6"/>
      <c r="J25" s="3">
        <v>8</v>
      </c>
      <c r="K25" s="3">
        <v>8</v>
      </c>
      <c r="L25" s="3">
        <v>36.700000000000003</v>
      </c>
      <c r="M25" s="3">
        <v>18</v>
      </c>
      <c r="N25" s="3">
        <v>6.3</v>
      </c>
      <c r="O25" s="3"/>
      <c r="P25" s="3"/>
      <c r="Q25" s="3"/>
      <c r="R25" s="3" t="s">
        <v>201</v>
      </c>
      <c r="S25" s="3" t="s">
        <v>1034</v>
      </c>
      <c r="T25" s="3">
        <v>2</v>
      </c>
      <c r="U25" s="3">
        <v>25</v>
      </c>
      <c r="V25" s="3">
        <v>30</v>
      </c>
      <c r="W25" s="3">
        <v>110</v>
      </c>
      <c r="X25" s="3" t="s">
        <v>2133</v>
      </c>
      <c r="Y25" s="6" t="s">
        <v>2134</v>
      </c>
    </row>
    <row r="26" spans="1:25" ht="13.95" customHeight="1" x14ac:dyDescent="0.3">
      <c r="A26" s="5">
        <v>46024</v>
      </c>
      <c r="B26" s="25">
        <v>24</v>
      </c>
      <c r="C26" s="3" t="s">
        <v>2072</v>
      </c>
      <c r="D26" s="3" t="s">
        <v>2034</v>
      </c>
      <c r="E26" s="3">
        <v>2</v>
      </c>
      <c r="F26" s="3">
        <v>303</v>
      </c>
      <c r="G26" s="6" t="s">
        <v>2083</v>
      </c>
      <c r="I26" s="6"/>
      <c r="J26" s="3">
        <v>8</v>
      </c>
      <c r="K26" s="3">
        <v>8</v>
      </c>
      <c r="L26" s="3">
        <v>34.200000000000003</v>
      </c>
      <c r="M26" s="3">
        <v>16</v>
      </c>
      <c r="N26" s="3">
        <v>6</v>
      </c>
      <c r="O26" s="3"/>
      <c r="P26" s="3"/>
      <c r="Q26" s="3"/>
      <c r="R26" s="3" t="s">
        <v>853</v>
      </c>
      <c r="S26" s="3" t="s">
        <v>63</v>
      </c>
      <c r="T26" s="3">
        <v>2.5</v>
      </c>
      <c r="U26" s="3">
        <v>20</v>
      </c>
      <c r="V26" s="3">
        <v>30</v>
      </c>
      <c r="W26" s="3">
        <v>140</v>
      </c>
      <c r="X26" s="3" t="s">
        <v>496</v>
      </c>
      <c r="Y26" s="6" t="s">
        <v>2135</v>
      </c>
    </row>
    <row r="27" spans="1:25" ht="13.95" customHeight="1" x14ac:dyDescent="0.3">
      <c r="A27" s="5">
        <v>46028</v>
      </c>
      <c r="B27" s="25">
        <v>24</v>
      </c>
      <c r="C27" s="3" t="s">
        <v>1839</v>
      </c>
      <c r="D27" s="3" t="s">
        <v>2067</v>
      </c>
      <c r="E27" s="3">
        <v>2</v>
      </c>
      <c r="F27" s="3">
        <v>102</v>
      </c>
      <c r="G27" s="6" t="s">
        <v>2136</v>
      </c>
      <c r="I27" s="6"/>
      <c r="J27" s="3">
        <v>5</v>
      </c>
      <c r="K27" s="3">
        <v>4</v>
      </c>
      <c r="L27" s="3">
        <v>18.559999999999999</v>
      </c>
      <c r="M27" s="3">
        <v>4</v>
      </c>
      <c r="N27" s="3">
        <v>9.5</v>
      </c>
      <c r="O27" s="3">
        <v>6</v>
      </c>
      <c r="P27" s="3">
        <v>55</v>
      </c>
      <c r="Q27" s="3">
        <v>175</v>
      </c>
      <c r="R27" s="3"/>
      <c r="S27" s="3"/>
      <c r="T27" s="3"/>
      <c r="U27" s="3"/>
      <c r="V27" s="3"/>
      <c r="W27" s="3"/>
      <c r="X27" s="3" t="s">
        <v>2144</v>
      </c>
      <c r="Y27" s="6" t="s">
        <v>580</v>
      </c>
    </row>
    <row r="28" spans="1:25" ht="13.95" customHeight="1" x14ac:dyDescent="0.3">
      <c r="A28" s="5">
        <v>46028</v>
      </c>
      <c r="B28" s="25">
        <v>24</v>
      </c>
      <c r="C28" s="3" t="s">
        <v>1839</v>
      </c>
      <c r="D28" s="3" t="s">
        <v>2067</v>
      </c>
      <c r="E28" s="3">
        <v>2</v>
      </c>
      <c r="F28" s="3">
        <v>103</v>
      </c>
      <c r="G28" s="6" t="s">
        <v>2073</v>
      </c>
      <c r="I28" s="6"/>
      <c r="J28" s="3">
        <v>5</v>
      </c>
      <c r="K28" s="3">
        <v>5</v>
      </c>
      <c r="L28" s="3">
        <v>15.94</v>
      </c>
      <c r="M28" s="3">
        <v>3.2</v>
      </c>
      <c r="N28" s="3">
        <v>7.2</v>
      </c>
      <c r="O28" s="3">
        <v>7</v>
      </c>
      <c r="P28" s="3">
        <v>45</v>
      </c>
      <c r="Q28" s="3">
        <v>160</v>
      </c>
      <c r="R28" s="3"/>
      <c r="S28" s="3"/>
      <c r="T28" s="3"/>
      <c r="U28" s="3"/>
      <c r="V28" s="3"/>
      <c r="W28" s="3"/>
      <c r="X28" s="3" t="s">
        <v>2145</v>
      </c>
      <c r="Y28" s="6" t="s">
        <v>254</v>
      </c>
    </row>
    <row r="29" spans="1:25" ht="13.95" customHeight="1" x14ac:dyDescent="0.3">
      <c r="A29" s="5">
        <v>46028</v>
      </c>
      <c r="B29" s="25">
        <v>24</v>
      </c>
      <c r="C29" s="3" t="s">
        <v>1839</v>
      </c>
      <c r="D29" s="3" t="s">
        <v>2067</v>
      </c>
      <c r="E29" s="3">
        <v>2</v>
      </c>
      <c r="F29" s="3">
        <v>104</v>
      </c>
      <c r="G29" s="6" t="s">
        <v>2137</v>
      </c>
      <c r="I29" s="6"/>
      <c r="J29" s="3">
        <v>6</v>
      </c>
      <c r="K29" s="3">
        <v>5</v>
      </c>
      <c r="L29" s="3">
        <v>13.28</v>
      </c>
      <c r="M29" s="3">
        <v>3.2</v>
      </c>
      <c r="N29" s="3">
        <v>5.0999999999999996</v>
      </c>
      <c r="O29" s="3">
        <v>4</v>
      </c>
      <c r="P29" s="3">
        <v>50</v>
      </c>
      <c r="Q29" s="3">
        <v>175</v>
      </c>
      <c r="R29" s="3"/>
      <c r="S29" s="3"/>
      <c r="T29" s="3"/>
      <c r="U29" s="3"/>
      <c r="V29" s="3"/>
      <c r="W29" s="3"/>
      <c r="X29" s="3" t="s">
        <v>2146</v>
      </c>
      <c r="Y29" s="6" t="s">
        <v>84</v>
      </c>
    </row>
    <row r="30" spans="1:25" ht="13.95" customHeight="1" x14ac:dyDescent="0.3">
      <c r="A30" s="5">
        <v>46028</v>
      </c>
      <c r="B30" s="25">
        <v>24</v>
      </c>
      <c r="C30" s="3" t="s">
        <v>1839</v>
      </c>
      <c r="D30" s="3" t="s">
        <v>2067</v>
      </c>
      <c r="E30" s="3">
        <v>2</v>
      </c>
      <c r="F30" s="3">
        <v>164</v>
      </c>
      <c r="G30" s="6" t="s">
        <v>2138</v>
      </c>
      <c r="I30" s="6"/>
      <c r="J30" s="3">
        <v>6</v>
      </c>
      <c r="K30" s="3">
        <v>6</v>
      </c>
      <c r="L30" s="3">
        <v>21.59</v>
      </c>
      <c r="M30" s="3">
        <v>5</v>
      </c>
      <c r="N30" s="3">
        <v>9</v>
      </c>
      <c r="O30" s="3">
        <v>3</v>
      </c>
      <c r="P30" s="3"/>
      <c r="Q30" s="3">
        <v>180</v>
      </c>
      <c r="R30" s="3"/>
      <c r="S30" s="3"/>
      <c r="T30" s="3"/>
      <c r="U30" s="3"/>
      <c r="V30" s="3"/>
      <c r="W30" s="3"/>
      <c r="X30" s="3" t="s">
        <v>138</v>
      </c>
      <c r="Y30" s="6" t="s">
        <v>396</v>
      </c>
    </row>
    <row r="31" spans="1:25" ht="13.95" customHeight="1" x14ac:dyDescent="0.3">
      <c r="A31" s="5">
        <v>46028</v>
      </c>
      <c r="B31" s="25">
        <v>24</v>
      </c>
      <c r="C31" s="3" t="s">
        <v>1839</v>
      </c>
      <c r="D31" s="3" t="s">
        <v>2067</v>
      </c>
      <c r="E31" s="3">
        <v>2</v>
      </c>
      <c r="F31" s="3">
        <v>182</v>
      </c>
      <c r="G31" s="6" t="s">
        <v>2139</v>
      </c>
      <c r="I31" s="6"/>
      <c r="J31" s="3">
        <v>8</v>
      </c>
      <c r="K31" s="3">
        <v>8</v>
      </c>
      <c r="L31" s="3">
        <v>16</v>
      </c>
      <c r="M31" s="3">
        <v>3.8</v>
      </c>
      <c r="N31" s="3">
        <v>6</v>
      </c>
      <c r="O31" s="3">
        <v>3.5</v>
      </c>
      <c r="P31" s="3">
        <v>43</v>
      </c>
      <c r="Q31" s="3">
        <v>170</v>
      </c>
      <c r="R31" s="3"/>
      <c r="S31" s="3"/>
      <c r="T31" s="3"/>
      <c r="U31" s="3"/>
      <c r="V31" s="3"/>
      <c r="W31" s="3"/>
      <c r="X31" s="3" t="s">
        <v>138</v>
      </c>
      <c r="Y31" s="6" t="s">
        <v>153</v>
      </c>
    </row>
    <row r="32" spans="1:25" ht="13.95" customHeight="1" x14ac:dyDescent="0.3">
      <c r="A32" s="5">
        <v>46028</v>
      </c>
      <c r="B32" s="25">
        <v>24</v>
      </c>
      <c r="C32" s="3" t="s">
        <v>1839</v>
      </c>
      <c r="D32" s="3" t="s">
        <v>2067</v>
      </c>
      <c r="E32" s="3">
        <v>2</v>
      </c>
      <c r="F32" s="3">
        <v>172</v>
      </c>
      <c r="G32" s="6" t="s">
        <v>2140</v>
      </c>
      <c r="I32" s="6"/>
      <c r="J32" s="3">
        <v>4</v>
      </c>
      <c r="K32" s="3">
        <v>4</v>
      </c>
      <c r="L32" s="3">
        <v>16.059999999999999</v>
      </c>
      <c r="M32" s="3">
        <v>0.25</v>
      </c>
      <c r="N32" s="3">
        <v>10</v>
      </c>
      <c r="O32" s="3">
        <v>8.5</v>
      </c>
      <c r="P32" s="3" t="s">
        <v>2147</v>
      </c>
      <c r="Q32" s="3">
        <v>170</v>
      </c>
      <c r="R32" s="3"/>
      <c r="S32" s="3"/>
      <c r="T32" s="3"/>
      <c r="U32" s="3"/>
      <c r="V32" s="3"/>
      <c r="W32" s="3"/>
      <c r="X32" s="3" t="s">
        <v>252</v>
      </c>
      <c r="Y32" s="6" t="s">
        <v>87</v>
      </c>
    </row>
    <row r="33" spans="1:25" ht="13.95" customHeight="1" x14ac:dyDescent="0.3">
      <c r="A33" s="5">
        <v>46028</v>
      </c>
      <c r="B33" s="25">
        <v>24</v>
      </c>
      <c r="C33" s="3" t="s">
        <v>1839</v>
      </c>
      <c r="D33" s="3" t="s">
        <v>2067</v>
      </c>
      <c r="E33" s="3">
        <v>2</v>
      </c>
      <c r="F33" s="3">
        <v>173</v>
      </c>
      <c r="G33" s="6" t="s">
        <v>2091</v>
      </c>
      <c r="I33" s="6"/>
      <c r="J33" s="3">
        <v>5</v>
      </c>
      <c r="K33" s="3">
        <v>5</v>
      </c>
      <c r="L33" s="3">
        <v>17.16</v>
      </c>
      <c r="M33" s="3">
        <v>2</v>
      </c>
      <c r="N33" s="3">
        <v>11</v>
      </c>
      <c r="O33" s="3">
        <v>6</v>
      </c>
      <c r="P33" s="3" t="s">
        <v>2148</v>
      </c>
      <c r="Q33" s="3">
        <v>175</v>
      </c>
      <c r="R33" s="3"/>
      <c r="S33" s="3"/>
      <c r="T33" s="3"/>
      <c r="U33" s="3"/>
      <c r="V33" s="3"/>
      <c r="W33" s="3"/>
      <c r="X33" s="3" t="s">
        <v>79</v>
      </c>
      <c r="Y33" s="6" t="s">
        <v>87</v>
      </c>
    </row>
    <row r="34" spans="1:25" ht="13.95" customHeight="1" x14ac:dyDescent="0.3">
      <c r="A34" s="5">
        <v>46028</v>
      </c>
      <c r="B34" s="25">
        <v>24</v>
      </c>
      <c r="C34" s="3" t="s">
        <v>1839</v>
      </c>
      <c r="D34" s="3" t="s">
        <v>2067</v>
      </c>
      <c r="E34" s="3">
        <v>2</v>
      </c>
      <c r="F34" s="3">
        <v>174</v>
      </c>
      <c r="G34" s="6" t="s">
        <v>2141</v>
      </c>
      <c r="I34" s="6"/>
      <c r="J34" s="3">
        <v>3</v>
      </c>
      <c r="K34" s="3">
        <v>3</v>
      </c>
      <c r="L34" s="3">
        <v>18.190000000000001</v>
      </c>
      <c r="M34" s="3">
        <v>4</v>
      </c>
      <c r="N34" s="3">
        <v>10</v>
      </c>
      <c r="O34" s="3">
        <v>8</v>
      </c>
      <c r="P34" s="3" t="s">
        <v>2149</v>
      </c>
      <c r="Q34" s="3">
        <v>170</v>
      </c>
      <c r="R34" s="3"/>
      <c r="S34" s="3"/>
      <c r="T34" s="3"/>
      <c r="U34" s="3"/>
      <c r="V34" s="3"/>
      <c r="W34" s="3"/>
      <c r="X34" s="3" t="s">
        <v>79</v>
      </c>
      <c r="Y34" s="6" t="s">
        <v>87</v>
      </c>
    </row>
    <row r="35" spans="1:25" ht="13.95" customHeight="1" x14ac:dyDescent="0.3">
      <c r="A35" s="5">
        <v>46028</v>
      </c>
      <c r="B35" s="25">
        <v>24</v>
      </c>
      <c r="C35" s="3" t="s">
        <v>1839</v>
      </c>
      <c r="D35" s="3" t="s">
        <v>2067</v>
      </c>
      <c r="E35" s="3">
        <v>2</v>
      </c>
      <c r="F35" s="3">
        <v>175</v>
      </c>
      <c r="G35" s="6" t="s">
        <v>2076</v>
      </c>
      <c r="I35" s="6"/>
      <c r="J35" s="3">
        <v>5</v>
      </c>
      <c r="K35" s="3">
        <v>5</v>
      </c>
      <c r="L35" s="3">
        <v>14.42</v>
      </c>
      <c r="M35" s="3">
        <v>1.3</v>
      </c>
      <c r="N35" s="3">
        <v>4.2</v>
      </c>
      <c r="O35" s="3">
        <v>6.5</v>
      </c>
      <c r="P35" s="3" t="s">
        <v>2150</v>
      </c>
      <c r="Q35" s="3">
        <v>170</v>
      </c>
      <c r="R35" s="3"/>
      <c r="S35" s="3"/>
      <c r="T35" s="3"/>
      <c r="U35" s="3"/>
      <c r="V35" s="3"/>
      <c r="W35" s="3"/>
      <c r="X35" s="3" t="s">
        <v>79</v>
      </c>
      <c r="Y35" s="6" t="s">
        <v>2151</v>
      </c>
    </row>
    <row r="36" spans="1:25" ht="13.95" customHeight="1" x14ac:dyDescent="0.3">
      <c r="A36" s="5">
        <v>46028</v>
      </c>
      <c r="B36" s="25">
        <v>24</v>
      </c>
      <c r="C36" s="3" t="s">
        <v>1839</v>
      </c>
      <c r="D36" s="3" t="s">
        <v>2067</v>
      </c>
      <c r="E36" s="3">
        <v>2</v>
      </c>
      <c r="F36" s="3">
        <v>176</v>
      </c>
      <c r="G36" s="6" t="s">
        <v>2077</v>
      </c>
      <c r="I36" s="6"/>
      <c r="J36" s="3">
        <v>5</v>
      </c>
      <c r="K36" s="3">
        <v>5</v>
      </c>
      <c r="L36" s="3">
        <v>17.809999999999999</v>
      </c>
      <c r="M36" s="3">
        <v>2.2000000000000002</v>
      </c>
      <c r="N36" s="3">
        <v>12</v>
      </c>
      <c r="O36" s="3">
        <v>7</v>
      </c>
      <c r="P36" s="3" t="s">
        <v>2152</v>
      </c>
      <c r="Q36" s="3">
        <v>170</v>
      </c>
      <c r="R36" s="3"/>
      <c r="S36" s="3"/>
      <c r="T36" s="3"/>
      <c r="U36" s="3"/>
      <c r="V36" s="3"/>
      <c r="W36" s="3"/>
      <c r="X36" s="3" t="s">
        <v>2153</v>
      </c>
      <c r="Y36" s="6" t="s">
        <v>84</v>
      </c>
    </row>
    <row r="37" spans="1:25" ht="13.95" customHeight="1" x14ac:dyDescent="0.3">
      <c r="A37" s="5">
        <v>46028</v>
      </c>
      <c r="B37" s="25">
        <v>24</v>
      </c>
      <c r="C37" s="3" t="s">
        <v>1839</v>
      </c>
      <c r="D37" s="3" t="s">
        <v>2067</v>
      </c>
      <c r="E37" s="3">
        <v>2</v>
      </c>
      <c r="F37" s="3">
        <v>177</v>
      </c>
      <c r="G37" s="6" t="s">
        <v>2142</v>
      </c>
      <c r="I37" s="6"/>
      <c r="J37" s="3">
        <v>4</v>
      </c>
      <c r="K37" s="3">
        <v>4</v>
      </c>
      <c r="L37" s="3">
        <v>18.739999999999998</v>
      </c>
      <c r="M37" s="3">
        <v>3</v>
      </c>
      <c r="N37" s="3">
        <v>12</v>
      </c>
      <c r="O37" s="3">
        <v>8.3000000000000007</v>
      </c>
      <c r="P37" s="3" t="s">
        <v>2154</v>
      </c>
      <c r="Q37" s="3">
        <v>170</v>
      </c>
      <c r="R37" s="3"/>
      <c r="S37" s="3"/>
      <c r="T37" s="3"/>
      <c r="U37" s="3"/>
      <c r="V37" s="3"/>
      <c r="W37" s="3"/>
      <c r="X37" s="3" t="s">
        <v>2155</v>
      </c>
      <c r="Y37" s="6" t="s">
        <v>89</v>
      </c>
    </row>
    <row r="38" spans="1:25" ht="13.95" customHeight="1" x14ac:dyDescent="0.3">
      <c r="A38" s="5">
        <v>46028</v>
      </c>
      <c r="B38" s="25">
        <v>24</v>
      </c>
      <c r="C38" s="3" t="s">
        <v>1839</v>
      </c>
      <c r="D38" s="3" t="s">
        <v>2067</v>
      </c>
      <c r="E38" s="3">
        <v>2</v>
      </c>
      <c r="F38" s="3">
        <v>135</v>
      </c>
      <c r="G38" s="6" t="s">
        <v>2104</v>
      </c>
      <c r="I38" s="6"/>
      <c r="J38" s="3">
        <v>2</v>
      </c>
      <c r="K38" s="3">
        <v>2</v>
      </c>
      <c r="L38" s="3">
        <v>20.47</v>
      </c>
      <c r="M38" s="3">
        <v>6</v>
      </c>
      <c r="N38" s="3">
        <v>9</v>
      </c>
      <c r="O38" s="3">
        <v>4.5</v>
      </c>
      <c r="P38" s="3"/>
      <c r="Q38" s="3">
        <v>170</v>
      </c>
      <c r="R38" s="3"/>
      <c r="S38" s="3"/>
      <c r="T38" s="3"/>
      <c r="U38" s="3"/>
      <c r="V38" s="3"/>
      <c r="W38" s="3"/>
      <c r="X38" s="3" t="s">
        <v>2087</v>
      </c>
      <c r="Y38" s="6" t="s">
        <v>2156</v>
      </c>
    </row>
    <row r="39" spans="1:25" ht="13.95" customHeight="1" x14ac:dyDescent="0.3">
      <c r="A39" s="5">
        <v>46028</v>
      </c>
      <c r="B39" s="25">
        <v>24</v>
      </c>
      <c r="C39" s="3" t="s">
        <v>1839</v>
      </c>
      <c r="D39" s="3" t="s">
        <v>2067</v>
      </c>
      <c r="E39" s="3">
        <v>2</v>
      </c>
      <c r="F39" s="3">
        <v>138</v>
      </c>
      <c r="G39" s="6" t="s">
        <v>2143</v>
      </c>
      <c r="I39" s="6"/>
      <c r="J39" s="3">
        <v>3</v>
      </c>
      <c r="K39" s="3">
        <v>3</v>
      </c>
      <c r="L39" s="3">
        <v>12.72</v>
      </c>
      <c r="M39" s="3">
        <v>2.5</v>
      </c>
      <c r="N39" s="3">
        <v>5</v>
      </c>
      <c r="O39" s="3">
        <v>4</v>
      </c>
      <c r="P39" s="3"/>
      <c r="Q39" s="3">
        <v>173</v>
      </c>
      <c r="R39" s="3"/>
      <c r="S39" s="3"/>
      <c r="T39" s="3"/>
      <c r="U39" s="3"/>
      <c r="V39" s="3"/>
      <c r="W39" s="3"/>
      <c r="X39" s="3" t="s">
        <v>82</v>
      </c>
      <c r="Y39" s="6" t="s">
        <v>288</v>
      </c>
    </row>
    <row r="40" spans="1:25" ht="13.95" customHeight="1" x14ac:dyDescent="0.3">
      <c r="A40" s="5">
        <v>46028</v>
      </c>
      <c r="B40" s="25">
        <v>24</v>
      </c>
      <c r="C40" s="3" t="s">
        <v>2072</v>
      </c>
      <c r="D40" s="3" t="s">
        <v>2067</v>
      </c>
      <c r="E40" s="3">
        <v>2</v>
      </c>
      <c r="F40" s="3">
        <v>401</v>
      </c>
      <c r="G40" s="6" t="s">
        <v>2157</v>
      </c>
      <c r="I40" s="6"/>
      <c r="J40" s="3">
        <v>1</v>
      </c>
      <c r="K40" s="3">
        <v>1</v>
      </c>
      <c r="L40" s="3">
        <v>9.08</v>
      </c>
      <c r="M40" s="3"/>
      <c r="N40" s="3"/>
      <c r="O40" s="3">
        <v>2</v>
      </c>
      <c r="P40" s="3"/>
      <c r="Q40" s="3"/>
      <c r="R40" s="3"/>
      <c r="S40" s="3"/>
      <c r="T40" s="3"/>
      <c r="U40" s="3"/>
      <c r="V40" s="3"/>
      <c r="W40" s="3"/>
      <c r="X40" s="3" t="s">
        <v>2162</v>
      </c>
      <c r="Y40" s="6"/>
    </row>
    <row r="41" spans="1:25" ht="13.95" customHeight="1" x14ac:dyDescent="0.3">
      <c r="A41" s="5">
        <v>46028</v>
      </c>
      <c r="B41" s="25">
        <v>24</v>
      </c>
      <c r="C41" s="3" t="s">
        <v>2072</v>
      </c>
      <c r="D41" s="3" t="s">
        <v>2067</v>
      </c>
      <c r="E41" s="3">
        <v>2</v>
      </c>
      <c r="F41" s="3">
        <v>202</v>
      </c>
      <c r="G41" s="6" t="s">
        <v>2114</v>
      </c>
      <c r="I41" s="6"/>
      <c r="J41" s="3">
        <v>24</v>
      </c>
      <c r="K41" s="3">
        <v>22</v>
      </c>
      <c r="L41" s="3">
        <v>21.1</v>
      </c>
      <c r="M41" s="3">
        <v>10</v>
      </c>
      <c r="N41" s="3">
        <v>3</v>
      </c>
      <c r="O41" s="3"/>
      <c r="P41" s="3"/>
      <c r="Q41" s="3"/>
      <c r="R41" s="3" t="s">
        <v>1162</v>
      </c>
      <c r="S41" s="3" t="s">
        <v>1049</v>
      </c>
      <c r="T41" s="3">
        <v>0</v>
      </c>
      <c r="U41" s="3">
        <v>20</v>
      </c>
      <c r="V41" s="3">
        <v>25</v>
      </c>
      <c r="W41" s="3">
        <v>110</v>
      </c>
      <c r="X41" s="3" t="s">
        <v>2054</v>
      </c>
      <c r="Y41" s="6"/>
    </row>
    <row r="42" spans="1:25" ht="13.95" customHeight="1" x14ac:dyDescent="0.3">
      <c r="A42" s="5">
        <v>46028</v>
      </c>
      <c r="B42" s="25">
        <v>24</v>
      </c>
      <c r="C42" s="3" t="s">
        <v>2072</v>
      </c>
      <c r="D42" s="3" t="s">
        <v>2067</v>
      </c>
      <c r="E42" s="3">
        <v>2</v>
      </c>
      <c r="F42" s="3">
        <v>203</v>
      </c>
      <c r="G42" s="6" t="s">
        <v>2068</v>
      </c>
      <c r="I42" s="6"/>
      <c r="J42" s="3">
        <v>8</v>
      </c>
      <c r="K42" s="3">
        <v>8</v>
      </c>
      <c r="L42" s="3">
        <v>17.600000000000001</v>
      </c>
      <c r="M42" s="3">
        <v>5</v>
      </c>
      <c r="N42" s="3">
        <v>3.2</v>
      </c>
      <c r="O42" s="3"/>
      <c r="P42" s="3"/>
      <c r="Q42" s="3"/>
      <c r="R42" s="3" t="s">
        <v>487</v>
      </c>
      <c r="S42" s="3" t="s">
        <v>318</v>
      </c>
      <c r="T42" s="3">
        <v>4.5</v>
      </c>
      <c r="U42" s="3">
        <v>50</v>
      </c>
      <c r="V42" s="3">
        <v>90</v>
      </c>
      <c r="W42" s="3">
        <v>100</v>
      </c>
      <c r="X42" s="3" t="s">
        <v>2163</v>
      </c>
      <c r="Y42" s="6" t="s">
        <v>2164</v>
      </c>
    </row>
    <row r="43" spans="1:25" ht="13.95" customHeight="1" x14ac:dyDescent="0.3">
      <c r="A43" s="5">
        <v>46028</v>
      </c>
      <c r="B43" s="25">
        <v>24</v>
      </c>
      <c r="C43" s="3" t="s">
        <v>2072</v>
      </c>
      <c r="D43" s="3" t="s">
        <v>2067</v>
      </c>
      <c r="E43" s="3">
        <v>2</v>
      </c>
      <c r="F43" s="3">
        <v>204</v>
      </c>
      <c r="G43" s="6" t="s">
        <v>2079</v>
      </c>
      <c r="I43" s="6"/>
      <c r="J43" s="3">
        <v>24</v>
      </c>
      <c r="K43" s="3">
        <v>24</v>
      </c>
      <c r="L43" s="3">
        <v>25.5</v>
      </c>
      <c r="M43" s="3">
        <v>15</v>
      </c>
      <c r="N43" s="3">
        <v>3</v>
      </c>
      <c r="O43" s="3"/>
      <c r="P43" s="3"/>
      <c r="Q43" s="3"/>
      <c r="R43" s="3" t="s">
        <v>72</v>
      </c>
      <c r="S43" s="3" t="s">
        <v>71</v>
      </c>
      <c r="T43" s="3">
        <v>0.5</v>
      </c>
      <c r="U43" s="3">
        <v>25</v>
      </c>
      <c r="V43" s="3">
        <v>30</v>
      </c>
      <c r="W43" s="3">
        <v>90</v>
      </c>
      <c r="X43" s="3" t="s">
        <v>2165</v>
      </c>
      <c r="Y43" s="6"/>
    </row>
    <row r="44" spans="1:25" ht="13.95" customHeight="1" x14ac:dyDescent="0.3">
      <c r="A44" s="5">
        <v>46028</v>
      </c>
      <c r="B44" s="25">
        <v>24</v>
      </c>
      <c r="C44" s="3" t="s">
        <v>2072</v>
      </c>
      <c r="D44" s="3" t="s">
        <v>2067</v>
      </c>
      <c r="E44" s="3">
        <v>2</v>
      </c>
      <c r="F44" s="3">
        <v>205</v>
      </c>
      <c r="G44" s="6" t="s">
        <v>2080</v>
      </c>
      <c r="I44" s="6"/>
      <c r="J44" s="3">
        <v>12</v>
      </c>
      <c r="K44" s="3">
        <v>12</v>
      </c>
      <c r="L44" s="3">
        <v>15.52</v>
      </c>
      <c r="M44" s="3">
        <v>10</v>
      </c>
      <c r="N44" s="3">
        <v>3</v>
      </c>
      <c r="O44" s="3"/>
      <c r="P44" s="3"/>
      <c r="Q44" s="3"/>
      <c r="R44" s="3" t="s">
        <v>133</v>
      </c>
      <c r="S44" s="3" t="s">
        <v>1133</v>
      </c>
      <c r="T44" s="3">
        <v>1</v>
      </c>
      <c r="U44" s="3">
        <v>20</v>
      </c>
      <c r="V44" s="3">
        <v>25</v>
      </c>
      <c r="W44" s="3">
        <v>120</v>
      </c>
      <c r="X44" s="3" t="s">
        <v>2099</v>
      </c>
      <c r="Y44" s="6"/>
    </row>
    <row r="45" spans="1:25" ht="13.95" customHeight="1" x14ac:dyDescent="0.3">
      <c r="A45" s="5">
        <v>46028</v>
      </c>
      <c r="B45" s="25">
        <v>24</v>
      </c>
      <c r="C45" s="3" t="s">
        <v>2072</v>
      </c>
      <c r="D45" s="3" t="s">
        <v>2067</v>
      </c>
      <c r="E45" s="3">
        <v>2</v>
      </c>
      <c r="F45" s="3">
        <v>207</v>
      </c>
      <c r="G45" s="6" t="s">
        <v>2069</v>
      </c>
      <c r="I45" s="6"/>
      <c r="J45" s="3">
        <v>12</v>
      </c>
      <c r="K45" s="3">
        <v>9</v>
      </c>
      <c r="L45" s="3">
        <v>28.95</v>
      </c>
      <c r="M45" s="3">
        <v>13</v>
      </c>
      <c r="N45" s="3">
        <v>5.85</v>
      </c>
      <c r="O45" s="3"/>
      <c r="P45" s="3"/>
      <c r="Q45" s="3"/>
      <c r="R45" s="3" t="s">
        <v>1053</v>
      </c>
      <c r="S45" s="3" t="s">
        <v>284</v>
      </c>
      <c r="T45" s="3">
        <v>1.25</v>
      </c>
      <c r="U45" s="3">
        <v>15</v>
      </c>
      <c r="V45" s="3">
        <v>20</v>
      </c>
      <c r="W45" s="3">
        <v>140</v>
      </c>
      <c r="X45" s="3" t="s">
        <v>2088</v>
      </c>
      <c r="Y45" s="6" t="s">
        <v>2166</v>
      </c>
    </row>
    <row r="46" spans="1:25" ht="13.95" customHeight="1" x14ac:dyDescent="0.3">
      <c r="A46" s="5">
        <v>46028</v>
      </c>
      <c r="B46" s="25">
        <v>24</v>
      </c>
      <c r="C46" s="3" t="s">
        <v>2072</v>
      </c>
      <c r="D46" s="3" t="s">
        <v>2067</v>
      </c>
      <c r="E46" s="3">
        <v>2</v>
      </c>
      <c r="F46" s="3">
        <v>209</v>
      </c>
      <c r="G46" s="6" t="s">
        <v>2158</v>
      </c>
      <c r="I46" s="6"/>
      <c r="J46" s="3">
        <v>12</v>
      </c>
      <c r="K46" s="3">
        <v>7</v>
      </c>
      <c r="L46" s="3">
        <v>26.9</v>
      </c>
      <c r="M46" s="3">
        <v>6</v>
      </c>
      <c r="N46" s="3">
        <v>5</v>
      </c>
      <c r="O46" s="3"/>
      <c r="P46" s="3"/>
      <c r="Q46" s="3"/>
      <c r="R46" s="3" t="s">
        <v>2167</v>
      </c>
      <c r="S46" s="3" t="s">
        <v>1553</v>
      </c>
      <c r="T46" s="3">
        <v>0.5</v>
      </c>
      <c r="U46" s="3">
        <v>30</v>
      </c>
      <c r="V46" s="3">
        <v>30</v>
      </c>
      <c r="W46" s="3">
        <v>148</v>
      </c>
      <c r="X46" s="3" t="s">
        <v>2168</v>
      </c>
      <c r="Y46" s="6"/>
    </row>
    <row r="47" spans="1:25" ht="13.95" customHeight="1" x14ac:dyDescent="0.3">
      <c r="A47" s="5">
        <v>46028</v>
      </c>
      <c r="B47" s="25">
        <v>24</v>
      </c>
      <c r="C47" s="3" t="s">
        <v>2072</v>
      </c>
      <c r="D47" s="3" t="s">
        <v>2067</v>
      </c>
      <c r="E47" s="3">
        <v>2</v>
      </c>
      <c r="F47" s="3">
        <v>210</v>
      </c>
      <c r="G47" s="6" t="s">
        <v>2086</v>
      </c>
      <c r="I47" s="6"/>
      <c r="J47" s="3">
        <v>4</v>
      </c>
      <c r="K47" s="3">
        <v>3</v>
      </c>
      <c r="L47" s="3">
        <v>19.8</v>
      </c>
      <c r="M47" s="3">
        <v>6</v>
      </c>
      <c r="N47" s="3">
        <v>4</v>
      </c>
      <c r="O47" s="3"/>
      <c r="P47" s="3"/>
      <c r="Q47" s="3"/>
      <c r="R47" s="3" t="s">
        <v>2127</v>
      </c>
      <c r="S47" s="3" t="s">
        <v>2128</v>
      </c>
      <c r="T47" s="3">
        <v>1</v>
      </c>
      <c r="U47" s="3">
        <v>25</v>
      </c>
      <c r="V47" s="3">
        <v>35</v>
      </c>
      <c r="W47" s="3">
        <v>101</v>
      </c>
      <c r="X47" s="3" t="s">
        <v>2082</v>
      </c>
      <c r="Y47" s="6" t="s">
        <v>2169</v>
      </c>
    </row>
    <row r="48" spans="1:25" ht="13.95" customHeight="1" x14ac:dyDescent="0.3">
      <c r="A48" s="5">
        <v>46028</v>
      </c>
      <c r="B48" s="25">
        <v>24</v>
      </c>
      <c r="C48" s="3" t="s">
        <v>2072</v>
      </c>
      <c r="D48" s="3" t="s">
        <v>2067</v>
      </c>
      <c r="E48" s="3">
        <v>2</v>
      </c>
      <c r="F48" s="3">
        <v>211</v>
      </c>
      <c r="G48" s="6" t="s">
        <v>2081</v>
      </c>
      <c r="I48" s="6"/>
      <c r="J48" s="3">
        <v>24</v>
      </c>
      <c r="K48" s="3">
        <v>24</v>
      </c>
      <c r="L48" s="3">
        <v>22.1</v>
      </c>
      <c r="M48" s="3">
        <v>10</v>
      </c>
      <c r="N48" s="3">
        <v>4.4000000000000004</v>
      </c>
      <c r="O48" s="3"/>
      <c r="P48" s="3"/>
      <c r="Q48" s="3"/>
      <c r="R48" s="3" t="s">
        <v>2170</v>
      </c>
      <c r="S48" s="3" t="s">
        <v>1517</v>
      </c>
      <c r="T48" s="3">
        <v>0.6</v>
      </c>
      <c r="U48" s="3">
        <v>15</v>
      </c>
      <c r="V48" s="3">
        <v>15</v>
      </c>
      <c r="W48" s="3">
        <v>110</v>
      </c>
      <c r="X48" s="3" t="s">
        <v>2132</v>
      </c>
      <c r="Y48" s="6"/>
    </row>
    <row r="49" spans="1:25" ht="13.95" customHeight="1" x14ac:dyDescent="0.3">
      <c r="A49" s="5">
        <v>46028</v>
      </c>
      <c r="B49" s="25">
        <v>24</v>
      </c>
      <c r="C49" s="3" t="s">
        <v>2072</v>
      </c>
      <c r="D49" s="3" t="s">
        <v>2067</v>
      </c>
      <c r="E49" s="3">
        <v>2</v>
      </c>
      <c r="F49" s="3">
        <v>212</v>
      </c>
      <c r="G49" s="6" t="s">
        <v>2159</v>
      </c>
      <c r="I49" s="6"/>
      <c r="J49" s="3">
        <v>12</v>
      </c>
      <c r="K49" s="3">
        <v>11</v>
      </c>
      <c r="L49" s="3">
        <v>21.4</v>
      </c>
      <c r="M49" s="3">
        <v>12</v>
      </c>
      <c r="N49" s="3">
        <v>2</v>
      </c>
      <c r="O49" s="3"/>
      <c r="P49" s="3"/>
      <c r="Q49" s="3"/>
      <c r="R49" s="3" t="s">
        <v>2171</v>
      </c>
      <c r="S49" s="3" t="s">
        <v>2172</v>
      </c>
      <c r="T49" s="3">
        <v>0.5</v>
      </c>
      <c r="U49" s="3">
        <v>10</v>
      </c>
      <c r="V49" s="3">
        <v>25</v>
      </c>
      <c r="W49" s="3">
        <v>150</v>
      </c>
      <c r="X49" s="3" t="s">
        <v>1593</v>
      </c>
      <c r="Y49" s="6" t="s">
        <v>2173</v>
      </c>
    </row>
    <row r="50" spans="1:25" ht="13.95" customHeight="1" x14ac:dyDescent="0.3">
      <c r="A50" s="5">
        <v>46028</v>
      </c>
      <c r="B50" s="25">
        <v>24</v>
      </c>
      <c r="C50" s="3" t="s">
        <v>2072</v>
      </c>
      <c r="D50" s="3" t="s">
        <v>2067</v>
      </c>
      <c r="E50" s="3">
        <v>2</v>
      </c>
      <c r="F50" s="3">
        <v>301</v>
      </c>
      <c r="G50" s="6" t="s">
        <v>2160</v>
      </c>
      <c r="I50" s="6"/>
      <c r="J50" s="3">
        <v>4</v>
      </c>
      <c r="K50" s="3">
        <v>4</v>
      </c>
      <c r="L50" s="3">
        <v>24.4</v>
      </c>
      <c r="M50" s="3">
        <v>8</v>
      </c>
      <c r="N50" s="3">
        <v>8.1999999999999993</v>
      </c>
      <c r="O50" s="3"/>
      <c r="P50" s="3"/>
      <c r="Q50" s="3"/>
      <c r="R50" s="3" t="s">
        <v>802</v>
      </c>
      <c r="S50" s="3" t="s">
        <v>71</v>
      </c>
      <c r="T50" s="3">
        <v>2</v>
      </c>
      <c r="U50" s="3">
        <v>15</v>
      </c>
      <c r="V50" s="3">
        <v>20</v>
      </c>
      <c r="W50" s="3">
        <v>110</v>
      </c>
      <c r="X50" s="3" t="s">
        <v>2174</v>
      </c>
      <c r="Y50" s="6"/>
    </row>
    <row r="51" spans="1:25" ht="13.95" customHeight="1" x14ac:dyDescent="0.3">
      <c r="A51" s="5">
        <v>46028</v>
      </c>
      <c r="B51" s="25">
        <v>24</v>
      </c>
      <c r="C51" s="3" t="s">
        <v>2072</v>
      </c>
      <c r="D51" s="3" t="s">
        <v>2067</v>
      </c>
      <c r="E51" s="3">
        <v>2</v>
      </c>
      <c r="F51" s="3">
        <v>303</v>
      </c>
      <c r="G51" s="6" t="s">
        <v>2070</v>
      </c>
      <c r="I51" s="6"/>
      <c r="J51" s="3">
        <v>4</v>
      </c>
      <c r="K51" s="3">
        <v>3</v>
      </c>
      <c r="L51" s="3">
        <v>28.7</v>
      </c>
      <c r="M51" s="3">
        <v>13</v>
      </c>
      <c r="N51" s="3">
        <v>6</v>
      </c>
      <c r="O51" s="3"/>
      <c r="P51" s="3"/>
      <c r="Q51" s="3"/>
      <c r="R51" s="3" t="s">
        <v>73</v>
      </c>
      <c r="S51" s="3" t="s">
        <v>68</v>
      </c>
      <c r="T51" s="3">
        <v>2</v>
      </c>
      <c r="U51" s="3">
        <v>35</v>
      </c>
      <c r="V51" s="3">
        <v>55</v>
      </c>
      <c r="W51" s="3">
        <v>135</v>
      </c>
      <c r="X51" s="3" t="s">
        <v>2175</v>
      </c>
      <c r="Y51" s="6" t="s">
        <v>2176</v>
      </c>
    </row>
    <row r="52" spans="1:25" ht="13.95" customHeight="1" x14ac:dyDescent="0.3">
      <c r="A52" s="5">
        <v>46028</v>
      </c>
      <c r="B52" s="25">
        <v>24</v>
      </c>
      <c r="C52" s="3" t="s">
        <v>2072</v>
      </c>
      <c r="D52" s="3" t="s">
        <v>2067</v>
      </c>
      <c r="E52" s="3">
        <v>2</v>
      </c>
      <c r="F52" s="3">
        <v>501</v>
      </c>
      <c r="G52" s="6" t="s">
        <v>2161</v>
      </c>
      <c r="I52" s="6"/>
      <c r="J52" s="3">
        <v>6</v>
      </c>
      <c r="K52" s="3"/>
      <c r="L52" s="3">
        <v>15.62</v>
      </c>
      <c r="M52" s="3"/>
      <c r="N52" s="3"/>
      <c r="O52" s="3">
        <v>9.3000000000000007</v>
      </c>
      <c r="P52" s="3"/>
      <c r="Q52" s="3"/>
      <c r="R52" s="3"/>
      <c r="S52" s="3"/>
      <c r="T52" s="3"/>
      <c r="U52" s="3"/>
      <c r="V52" s="3"/>
      <c r="W52" s="3"/>
      <c r="X52" s="3" t="s">
        <v>2177</v>
      </c>
      <c r="Y52" s="6"/>
    </row>
    <row r="53" spans="1:25" ht="13.95" customHeight="1" x14ac:dyDescent="0.3">
      <c r="A53" s="5">
        <v>46028</v>
      </c>
      <c r="B53" s="25">
        <v>24</v>
      </c>
      <c r="C53" s="3" t="s">
        <v>1839</v>
      </c>
      <c r="D53" s="3" t="s">
        <v>2067</v>
      </c>
      <c r="E53" s="3">
        <v>2</v>
      </c>
      <c r="F53" s="3">
        <v>102</v>
      </c>
      <c r="G53" s="6" t="s">
        <v>2178</v>
      </c>
      <c r="I53" s="6"/>
      <c r="J53" s="3">
        <v>5</v>
      </c>
      <c r="K53" s="3">
        <v>4</v>
      </c>
      <c r="L53" s="3">
        <v>18.73</v>
      </c>
      <c r="M53" s="3">
        <v>4.2</v>
      </c>
      <c r="N53" s="3">
        <v>9.5</v>
      </c>
      <c r="O53" s="3">
        <v>6.2</v>
      </c>
      <c r="P53" s="3">
        <v>55</v>
      </c>
      <c r="Q53" s="3">
        <v>170</v>
      </c>
      <c r="R53" s="3"/>
      <c r="S53" s="3"/>
      <c r="T53" s="3"/>
      <c r="U53" s="3"/>
      <c r="V53" s="3"/>
      <c r="W53" s="3"/>
      <c r="X53" s="3" t="s">
        <v>2184</v>
      </c>
      <c r="Y53" s="6" t="s">
        <v>580</v>
      </c>
    </row>
    <row r="54" spans="1:25" ht="13.95" customHeight="1" x14ac:dyDescent="0.3">
      <c r="A54" s="5">
        <v>46028</v>
      </c>
      <c r="B54" s="25">
        <v>24</v>
      </c>
      <c r="C54" s="3" t="s">
        <v>1839</v>
      </c>
      <c r="D54" s="3" t="s">
        <v>2067</v>
      </c>
      <c r="E54" s="3">
        <v>2</v>
      </c>
      <c r="F54" s="3">
        <v>103</v>
      </c>
      <c r="G54" s="6" t="s">
        <v>2179</v>
      </c>
      <c r="I54" s="6"/>
      <c r="J54" s="3">
        <v>5</v>
      </c>
      <c r="K54" s="3">
        <v>5</v>
      </c>
      <c r="L54" s="3">
        <v>15.87</v>
      </c>
      <c r="M54" s="3">
        <v>3.2</v>
      </c>
      <c r="N54" s="3">
        <v>7.2</v>
      </c>
      <c r="O54" s="3">
        <v>7</v>
      </c>
      <c r="P54" s="3">
        <v>45</v>
      </c>
      <c r="Q54" s="3">
        <v>130</v>
      </c>
      <c r="R54" s="3"/>
      <c r="S54" s="3"/>
      <c r="T54" s="3"/>
      <c r="U54" s="3"/>
      <c r="V54" s="3"/>
      <c r="W54" s="3"/>
      <c r="X54" s="3" t="s">
        <v>2145</v>
      </c>
      <c r="Y54" s="6" t="s">
        <v>254</v>
      </c>
    </row>
    <row r="55" spans="1:25" ht="13.95" customHeight="1" x14ac:dyDescent="0.3">
      <c r="A55" s="5">
        <v>46028</v>
      </c>
      <c r="B55" s="25">
        <v>24</v>
      </c>
      <c r="C55" s="3" t="s">
        <v>1839</v>
      </c>
      <c r="D55" s="3" t="s">
        <v>2067</v>
      </c>
      <c r="E55" s="3">
        <v>2</v>
      </c>
      <c r="F55" s="3">
        <v>104</v>
      </c>
      <c r="G55" s="6" t="s">
        <v>2180</v>
      </c>
      <c r="I55" s="6"/>
      <c r="J55" s="3">
        <v>6</v>
      </c>
      <c r="K55" s="3">
        <v>6</v>
      </c>
      <c r="L55" s="3">
        <v>12.63</v>
      </c>
      <c r="M55" s="3">
        <v>2.2000000000000002</v>
      </c>
      <c r="N55" s="3">
        <v>5.5</v>
      </c>
      <c r="O55" s="3">
        <v>4</v>
      </c>
      <c r="P55" s="3">
        <v>50</v>
      </c>
      <c r="Q55" s="3">
        <v>170</v>
      </c>
      <c r="R55" s="3"/>
      <c r="S55" s="3"/>
      <c r="T55" s="3"/>
      <c r="U55" s="3"/>
      <c r="V55" s="3"/>
      <c r="W55" s="3"/>
      <c r="X55" s="3" t="s">
        <v>2185</v>
      </c>
      <c r="Y55" s="6" t="s">
        <v>84</v>
      </c>
    </row>
    <row r="56" spans="1:25" ht="13.95" customHeight="1" x14ac:dyDescent="0.3">
      <c r="A56" s="5">
        <v>46028</v>
      </c>
      <c r="B56" s="25">
        <v>24</v>
      </c>
      <c r="C56" s="3" t="s">
        <v>1839</v>
      </c>
      <c r="D56" s="3" t="s">
        <v>2067</v>
      </c>
      <c r="E56" s="3">
        <v>2</v>
      </c>
      <c r="F56" s="3">
        <v>161</v>
      </c>
      <c r="G56" s="6" t="s">
        <v>2085</v>
      </c>
      <c r="I56" s="6"/>
      <c r="J56" s="3">
        <v>6</v>
      </c>
      <c r="K56" s="3">
        <v>6</v>
      </c>
      <c r="L56" s="3">
        <v>22.51</v>
      </c>
      <c r="M56" s="3">
        <v>8</v>
      </c>
      <c r="N56" s="3">
        <v>9</v>
      </c>
      <c r="O56" s="3">
        <v>3</v>
      </c>
      <c r="P56" s="3"/>
      <c r="Q56" s="3">
        <v>180</v>
      </c>
      <c r="R56" s="3"/>
      <c r="S56" s="3"/>
      <c r="T56" s="3"/>
      <c r="U56" s="3"/>
      <c r="V56" s="3"/>
      <c r="W56" s="3"/>
      <c r="X56" s="3" t="s">
        <v>2107</v>
      </c>
      <c r="Y56" s="6" t="s">
        <v>86</v>
      </c>
    </row>
    <row r="57" spans="1:25" ht="13.95" customHeight="1" x14ac:dyDescent="0.3">
      <c r="A57" s="5">
        <v>46028</v>
      </c>
      <c r="B57" s="25">
        <v>24</v>
      </c>
      <c r="C57" s="3" t="s">
        <v>1839</v>
      </c>
      <c r="D57" s="3" t="s">
        <v>2067</v>
      </c>
      <c r="E57" s="3">
        <v>2</v>
      </c>
      <c r="F57" s="3">
        <v>171</v>
      </c>
      <c r="G57" s="6" t="s">
        <v>2075</v>
      </c>
      <c r="I57" s="6"/>
      <c r="J57" s="3">
        <v>3</v>
      </c>
      <c r="K57" s="3">
        <v>3</v>
      </c>
      <c r="L57" s="3">
        <v>14.78</v>
      </c>
      <c r="M57" s="3">
        <v>5</v>
      </c>
      <c r="N57" s="3">
        <v>5.5</v>
      </c>
      <c r="O57" s="3">
        <v>4</v>
      </c>
      <c r="P57" s="3"/>
      <c r="Q57" s="3">
        <v>175</v>
      </c>
      <c r="R57" s="3"/>
      <c r="S57" s="3"/>
      <c r="T57" s="3"/>
      <c r="U57" s="3"/>
      <c r="V57" s="3"/>
      <c r="W57" s="3"/>
      <c r="X57" s="3" t="s">
        <v>1347</v>
      </c>
      <c r="Y57" s="6" t="s">
        <v>79</v>
      </c>
    </row>
    <row r="58" spans="1:25" ht="13.95" customHeight="1" x14ac:dyDescent="0.3">
      <c r="A58" s="5">
        <v>46028</v>
      </c>
      <c r="B58" s="25">
        <v>24</v>
      </c>
      <c r="C58" s="3" t="s">
        <v>1839</v>
      </c>
      <c r="D58" s="3" t="s">
        <v>2067</v>
      </c>
      <c r="E58" s="3">
        <v>2</v>
      </c>
      <c r="F58" s="3">
        <v>172</v>
      </c>
      <c r="G58" s="6" t="s">
        <v>2181</v>
      </c>
      <c r="I58" s="6"/>
      <c r="J58" s="3">
        <v>4</v>
      </c>
      <c r="K58" s="3">
        <v>4</v>
      </c>
      <c r="L58" s="3">
        <v>16.64</v>
      </c>
      <c r="M58" s="3">
        <v>0.75</v>
      </c>
      <c r="N58" s="3">
        <v>9.3000000000000007</v>
      </c>
      <c r="O58" s="3">
        <v>7</v>
      </c>
      <c r="P58" s="3" t="s">
        <v>2186</v>
      </c>
      <c r="Q58" s="3">
        <v>170</v>
      </c>
      <c r="R58" s="3"/>
      <c r="S58" s="3"/>
      <c r="T58" s="3"/>
      <c r="U58" s="3"/>
      <c r="V58" s="3"/>
      <c r="W58" s="3"/>
      <c r="X58" s="3" t="s">
        <v>1105</v>
      </c>
      <c r="Y58" s="6" t="s">
        <v>80</v>
      </c>
    </row>
    <row r="59" spans="1:25" ht="13.95" customHeight="1" x14ac:dyDescent="0.3">
      <c r="A59" s="5">
        <v>46028</v>
      </c>
      <c r="B59" s="25">
        <v>24</v>
      </c>
      <c r="C59" s="3" t="s">
        <v>1839</v>
      </c>
      <c r="D59" s="3" t="s">
        <v>2067</v>
      </c>
      <c r="E59" s="3">
        <v>2</v>
      </c>
      <c r="F59" s="3">
        <v>173</v>
      </c>
      <c r="G59" s="6" t="s">
        <v>2091</v>
      </c>
      <c r="I59" s="6"/>
      <c r="J59" s="3">
        <v>5</v>
      </c>
      <c r="K59" s="3">
        <v>5</v>
      </c>
      <c r="L59" s="3">
        <v>17.82</v>
      </c>
      <c r="M59" s="3">
        <v>1</v>
      </c>
      <c r="N59" s="3">
        <v>12.5</v>
      </c>
      <c r="O59" s="3">
        <v>6</v>
      </c>
      <c r="P59" s="3" t="s">
        <v>2187</v>
      </c>
      <c r="Q59" s="3">
        <v>175</v>
      </c>
      <c r="R59" s="3"/>
      <c r="S59" s="3"/>
      <c r="T59" s="3"/>
      <c r="U59" s="3"/>
      <c r="V59" s="3"/>
      <c r="W59" s="3"/>
      <c r="X59" s="3" t="s">
        <v>79</v>
      </c>
      <c r="Y59" s="6" t="s">
        <v>87</v>
      </c>
    </row>
    <row r="60" spans="1:25" ht="13.95" customHeight="1" x14ac:dyDescent="0.3">
      <c r="A60" s="5">
        <v>46028</v>
      </c>
      <c r="B60" s="25">
        <v>24</v>
      </c>
      <c r="C60" s="3" t="s">
        <v>1839</v>
      </c>
      <c r="D60" s="3" t="s">
        <v>2067</v>
      </c>
      <c r="E60" s="3">
        <v>2</v>
      </c>
      <c r="F60" s="3">
        <v>174</v>
      </c>
      <c r="G60" s="6" t="s">
        <v>2141</v>
      </c>
      <c r="I60" s="6"/>
      <c r="J60" s="3">
        <v>3</v>
      </c>
      <c r="K60" s="3">
        <v>3</v>
      </c>
      <c r="L60" s="3">
        <v>18.170000000000002</v>
      </c>
      <c r="M60" s="3">
        <v>4</v>
      </c>
      <c r="N60" s="3">
        <v>10</v>
      </c>
      <c r="O60" s="3">
        <v>8</v>
      </c>
      <c r="P60" s="3" t="s">
        <v>2149</v>
      </c>
      <c r="Q60" s="3">
        <v>170</v>
      </c>
      <c r="R60" s="3"/>
      <c r="S60" s="3"/>
      <c r="T60" s="3"/>
      <c r="U60" s="3"/>
      <c r="V60" s="3"/>
      <c r="W60" s="3"/>
      <c r="X60" s="3" t="s">
        <v>79</v>
      </c>
      <c r="Y60" s="6" t="s">
        <v>87</v>
      </c>
    </row>
    <row r="61" spans="1:25" ht="13.95" customHeight="1" x14ac:dyDescent="0.3">
      <c r="A61" s="5">
        <v>46028</v>
      </c>
      <c r="B61" s="25">
        <v>24</v>
      </c>
      <c r="C61" s="3" t="s">
        <v>1839</v>
      </c>
      <c r="D61" s="3" t="s">
        <v>2067</v>
      </c>
      <c r="E61" s="3">
        <v>2</v>
      </c>
      <c r="F61" s="3">
        <v>176</v>
      </c>
      <c r="G61" s="6" t="s">
        <v>2093</v>
      </c>
      <c r="I61" s="6"/>
      <c r="J61" s="3">
        <v>5</v>
      </c>
      <c r="K61" s="3">
        <v>5</v>
      </c>
      <c r="L61" s="3">
        <v>18.63</v>
      </c>
      <c r="M61" s="3">
        <v>2.2000000000000002</v>
      </c>
      <c r="N61" s="3">
        <v>12</v>
      </c>
      <c r="O61" s="3">
        <v>7</v>
      </c>
      <c r="P61" s="3" t="s">
        <v>2188</v>
      </c>
      <c r="Q61" s="3">
        <v>170</v>
      </c>
      <c r="R61" s="3"/>
      <c r="S61" s="3"/>
      <c r="T61" s="3"/>
      <c r="U61" s="3"/>
      <c r="V61" s="3"/>
      <c r="W61" s="3"/>
      <c r="X61" s="3" t="s">
        <v>2153</v>
      </c>
      <c r="Y61" s="6" t="s">
        <v>84</v>
      </c>
    </row>
    <row r="62" spans="1:25" ht="13.95" customHeight="1" x14ac:dyDescent="0.3">
      <c r="A62" s="5">
        <v>46028</v>
      </c>
      <c r="B62" s="25">
        <v>24</v>
      </c>
      <c r="C62" s="3" t="s">
        <v>1839</v>
      </c>
      <c r="D62" s="3" t="s">
        <v>2067</v>
      </c>
      <c r="E62" s="3">
        <v>2</v>
      </c>
      <c r="F62" s="3">
        <v>177</v>
      </c>
      <c r="G62" s="6" t="s">
        <v>2142</v>
      </c>
      <c r="I62" s="6"/>
      <c r="J62" s="3">
        <v>4</v>
      </c>
      <c r="K62" s="3">
        <v>4</v>
      </c>
      <c r="L62" s="3">
        <v>18.43</v>
      </c>
      <c r="M62" s="3">
        <v>2.7</v>
      </c>
      <c r="N62" s="3">
        <v>12</v>
      </c>
      <c r="O62" s="3">
        <v>8.3000000000000007</v>
      </c>
      <c r="P62" s="3" t="s">
        <v>2189</v>
      </c>
      <c r="Q62" s="3">
        <v>170</v>
      </c>
      <c r="R62" s="3"/>
      <c r="S62" s="3"/>
      <c r="T62" s="3"/>
      <c r="U62" s="3"/>
      <c r="V62" s="3"/>
      <c r="W62" s="3"/>
      <c r="X62" s="3" t="s">
        <v>2155</v>
      </c>
      <c r="Y62" s="6" t="s">
        <v>89</v>
      </c>
    </row>
    <row r="63" spans="1:25" ht="13.95" customHeight="1" x14ac:dyDescent="0.3">
      <c r="A63" s="5">
        <v>46028</v>
      </c>
      <c r="B63" s="25">
        <v>24</v>
      </c>
      <c r="C63" s="3" t="s">
        <v>1839</v>
      </c>
      <c r="D63" s="3" t="s">
        <v>2067</v>
      </c>
      <c r="E63" s="3">
        <v>2</v>
      </c>
      <c r="F63" s="3">
        <v>131</v>
      </c>
      <c r="G63" s="6" t="s">
        <v>2078</v>
      </c>
      <c r="I63" s="6"/>
      <c r="J63" s="3">
        <v>3</v>
      </c>
      <c r="K63" s="3">
        <v>3</v>
      </c>
      <c r="L63" s="3">
        <v>20.27</v>
      </c>
      <c r="M63" s="3">
        <v>3.5</v>
      </c>
      <c r="N63" s="3">
        <v>9.6</v>
      </c>
      <c r="O63" s="3">
        <v>6</v>
      </c>
      <c r="P63" s="3"/>
      <c r="Q63" s="3">
        <v>180</v>
      </c>
      <c r="R63" s="3"/>
      <c r="S63" s="3"/>
      <c r="T63" s="3"/>
      <c r="U63" s="3"/>
      <c r="V63" s="3"/>
      <c r="W63" s="3"/>
      <c r="X63" s="3" t="s">
        <v>87</v>
      </c>
      <c r="Y63" s="6" t="s">
        <v>2190</v>
      </c>
    </row>
    <row r="64" spans="1:25" ht="13.95" customHeight="1" x14ac:dyDescent="0.3">
      <c r="A64" s="5">
        <v>46028</v>
      </c>
      <c r="B64" s="25">
        <v>24</v>
      </c>
      <c r="C64" s="3" t="s">
        <v>1839</v>
      </c>
      <c r="D64" s="3" t="s">
        <v>2067</v>
      </c>
      <c r="E64" s="3">
        <v>2</v>
      </c>
      <c r="F64" s="3">
        <v>132</v>
      </c>
      <c r="G64" s="6" t="s">
        <v>2182</v>
      </c>
      <c r="I64" s="6"/>
      <c r="J64" s="3">
        <v>3</v>
      </c>
      <c r="K64" s="3">
        <v>3</v>
      </c>
      <c r="L64" s="3">
        <v>20.67</v>
      </c>
      <c r="M64" s="3">
        <v>4</v>
      </c>
      <c r="N64" s="3">
        <v>10.5</v>
      </c>
      <c r="O64" s="3">
        <v>5.5</v>
      </c>
      <c r="P64" s="3"/>
      <c r="Q64" s="3">
        <v>180</v>
      </c>
      <c r="R64" s="3"/>
      <c r="S64" s="3"/>
      <c r="T64" s="3"/>
      <c r="U64" s="3"/>
      <c r="V64" s="3"/>
      <c r="W64" s="3"/>
      <c r="X64" s="3" t="s">
        <v>579</v>
      </c>
      <c r="Y64" s="6" t="s">
        <v>1751</v>
      </c>
    </row>
    <row r="65" spans="1:25" ht="13.95" customHeight="1" x14ac:dyDescent="0.3">
      <c r="A65" s="5">
        <v>46028</v>
      </c>
      <c r="B65" s="25">
        <v>24</v>
      </c>
      <c r="C65" s="3" t="s">
        <v>1839</v>
      </c>
      <c r="D65" s="3" t="s">
        <v>2067</v>
      </c>
      <c r="E65" s="3">
        <v>2</v>
      </c>
      <c r="F65" s="3">
        <v>134</v>
      </c>
      <c r="G65" s="6" t="s">
        <v>2183</v>
      </c>
      <c r="I65" s="6"/>
      <c r="J65" s="3">
        <v>3</v>
      </c>
      <c r="K65" s="3">
        <v>3</v>
      </c>
      <c r="L65" s="3">
        <v>15.27</v>
      </c>
      <c r="M65" s="3">
        <v>4</v>
      </c>
      <c r="N65" s="3">
        <v>6</v>
      </c>
      <c r="O65" s="3">
        <v>5</v>
      </c>
      <c r="P65" s="3"/>
      <c r="Q65" s="3">
        <v>160</v>
      </c>
      <c r="R65" s="3"/>
      <c r="S65" s="3"/>
      <c r="T65" s="3"/>
      <c r="U65" s="3"/>
      <c r="V65" s="3"/>
      <c r="W65" s="3"/>
      <c r="X65" s="3" t="s">
        <v>2191</v>
      </c>
      <c r="Y65" s="6" t="s">
        <v>2192</v>
      </c>
    </row>
    <row r="66" spans="1:25" ht="13.95" customHeight="1" x14ac:dyDescent="0.3">
      <c r="A66" s="5">
        <v>46028</v>
      </c>
      <c r="B66" s="25">
        <v>24</v>
      </c>
      <c r="C66" s="3" t="s">
        <v>1839</v>
      </c>
      <c r="D66" s="3" t="s">
        <v>2067</v>
      </c>
      <c r="E66" s="3">
        <v>2</v>
      </c>
      <c r="F66" s="3">
        <v>135</v>
      </c>
      <c r="G66" s="6" t="s">
        <v>2104</v>
      </c>
      <c r="I66" s="6"/>
      <c r="J66" s="3">
        <v>2</v>
      </c>
      <c r="K66" s="3">
        <v>2</v>
      </c>
      <c r="L66" s="3">
        <v>19.89</v>
      </c>
      <c r="M66" s="3">
        <v>6.4</v>
      </c>
      <c r="N66" s="3">
        <v>8</v>
      </c>
      <c r="O66" s="3">
        <v>4</v>
      </c>
      <c r="P66" s="3"/>
      <c r="Q66" s="3">
        <v>165</v>
      </c>
      <c r="R66" s="3"/>
      <c r="S66" s="3"/>
      <c r="T66" s="3"/>
      <c r="U66" s="3"/>
      <c r="V66" s="3"/>
      <c r="W66" s="3"/>
      <c r="X66" s="3" t="s">
        <v>1805</v>
      </c>
      <c r="Y66" s="6" t="s">
        <v>2193</v>
      </c>
    </row>
    <row r="67" spans="1:25" ht="13.95" customHeight="1" x14ac:dyDescent="0.3">
      <c r="A67" s="5">
        <v>46028</v>
      </c>
      <c r="B67" s="25">
        <v>24</v>
      </c>
      <c r="C67" s="3" t="s">
        <v>1839</v>
      </c>
      <c r="D67" s="3" t="s">
        <v>2067</v>
      </c>
      <c r="E67" s="3">
        <v>2</v>
      </c>
      <c r="F67" s="3">
        <v>138</v>
      </c>
      <c r="G67" s="6" t="s">
        <v>2143</v>
      </c>
      <c r="I67" s="6"/>
      <c r="J67" s="3">
        <v>3</v>
      </c>
      <c r="K67" s="3">
        <v>3</v>
      </c>
      <c r="L67" s="3">
        <v>12.61</v>
      </c>
      <c r="M67" s="3">
        <v>2.5</v>
      </c>
      <c r="N67" s="3">
        <v>5</v>
      </c>
      <c r="O67" s="3">
        <v>4</v>
      </c>
      <c r="P67" s="3"/>
      <c r="Q67" s="3">
        <v>166</v>
      </c>
      <c r="R67" s="3"/>
      <c r="S67" s="3"/>
      <c r="T67" s="3"/>
      <c r="U67" s="3"/>
      <c r="V67" s="3"/>
      <c r="W67" s="3"/>
      <c r="X67" s="3" t="s">
        <v>2194</v>
      </c>
      <c r="Y67" s="6" t="s">
        <v>1018</v>
      </c>
    </row>
    <row r="68" spans="1:25" ht="13.95" customHeight="1" x14ac:dyDescent="0.3">
      <c r="A68" s="5">
        <v>46030</v>
      </c>
      <c r="B68" s="25">
        <v>24</v>
      </c>
      <c r="C68" s="3" t="s">
        <v>1839</v>
      </c>
      <c r="D68" s="3" t="s">
        <v>2067</v>
      </c>
      <c r="E68" s="3">
        <v>2</v>
      </c>
      <c r="F68" s="3">
        <v>102</v>
      </c>
      <c r="G68" s="6" t="s">
        <v>2178</v>
      </c>
      <c r="I68" s="6"/>
      <c r="J68" s="3">
        <v>5</v>
      </c>
      <c r="K68" s="3">
        <v>4</v>
      </c>
      <c r="L68" s="3">
        <v>18.73</v>
      </c>
      <c r="M68" s="3">
        <v>4.2</v>
      </c>
      <c r="N68" s="3">
        <v>9.5</v>
      </c>
      <c r="O68" s="3">
        <v>6.2</v>
      </c>
      <c r="P68" s="3">
        <v>55</v>
      </c>
      <c r="Q68" s="3">
        <v>170</v>
      </c>
      <c r="R68" s="3"/>
      <c r="S68" s="3"/>
      <c r="T68" s="3"/>
      <c r="U68" s="3"/>
      <c r="V68" s="3"/>
      <c r="W68" s="3"/>
      <c r="X68" s="3" t="s">
        <v>2184</v>
      </c>
      <c r="Y68" s="6" t="s">
        <v>580</v>
      </c>
    </row>
    <row r="69" spans="1:25" ht="13.95" customHeight="1" x14ac:dyDescent="0.3">
      <c r="A69" s="5">
        <v>46030</v>
      </c>
      <c r="B69" s="25">
        <v>24</v>
      </c>
      <c r="C69" s="3" t="s">
        <v>1839</v>
      </c>
      <c r="D69" s="3" t="s">
        <v>2067</v>
      </c>
      <c r="E69" s="3">
        <v>2</v>
      </c>
      <c r="F69" s="3">
        <v>103</v>
      </c>
      <c r="G69" s="6" t="s">
        <v>2179</v>
      </c>
      <c r="I69" s="6"/>
      <c r="J69" s="3">
        <v>5</v>
      </c>
      <c r="K69" s="3">
        <v>5</v>
      </c>
      <c r="L69" s="3">
        <v>15.87</v>
      </c>
      <c r="M69" s="3">
        <v>3.2</v>
      </c>
      <c r="N69" s="3">
        <v>7.2</v>
      </c>
      <c r="O69" s="3">
        <v>7</v>
      </c>
      <c r="P69" s="3">
        <v>45</v>
      </c>
      <c r="Q69" s="3">
        <v>130</v>
      </c>
      <c r="R69" s="3"/>
      <c r="S69" s="3"/>
      <c r="T69" s="3"/>
      <c r="U69" s="3"/>
      <c r="V69" s="3"/>
      <c r="W69" s="3"/>
      <c r="X69" s="3" t="s">
        <v>2145</v>
      </c>
      <c r="Y69" s="6" t="s">
        <v>254</v>
      </c>
    </row>
    <row r="70" spans="1:25" ht="13.95" customHeight="1" x14ac:dyDescent="0.3">
      <c r="A70" s="5">
        <v>46030</v>
      </c>
      <c r="B70" s="25">
        <v>24</v>
      </c>
      <c r="C70" s="3" t="s">
        <v>1839</v>
      </c>
      <c r="D70" s="3" t="s">
        <v>2067</v>
      </c>
      <c r="E70" s="3">
        <v>2</v>
      </c>
      <c r="F70" s="3">
        <v>104</v>
      </c>
      <c r="G70" s="6" t="s">
        <v>2180</v>
      </c>
      <c r="I70" s="6"/>
      <c r="J70" s="3">
        <v>6</v>
      </c>
      <c r="K70" s="3">
        <v>6</v>
      </c>
      <c r="L70" s="3">
        <v>12.63</v>
      </c>
      <c r="M70" s="3">
        <v>2.2000000000000002</v>
      </c>
      <c r="N70" s="3">
        <v>5.5</v>
      </c>
      <c r="O70" s="3">
        <v>4</v>
      </c>
      <c r="P70" s="3">
        <v>50</v>
      </c>
      <c r="Q70" s="3">
        <v>170</v>
      </c>
      <c r="R70" s="3"/>
      <c r="S70" s="3"/>
      <c r="T70" s="3"/>
      <c r="U70" s="3"/>
      <c r="V70" s="3"/>
      <c r="W70" s="3"/>
      <c r="X70" s="3" t="s">
        <v>2185</v>
      </c>
      <c r="Y70" s="6" t="s">
        <v>84</v>
      </c>
    </row>
    <row r="71" spans="1:25" ht="13.95" customHeight="1" x14ac:dyDescent="0.3">
      <c r="A71" s="5">
        <v>46030</v>
      </c>
      <c r="B71" s="25">
        <v>24</v>
      </c>
      <c r="C71" s="3" t="s">
        <v>1839</v>
      </c>
      <c r="D71" s="3" t="s">
        <v>2067</v>
      </c>
      <c r="E71" s="3">
        <v>2</v>
      </c>
      <c r="F71" s="3">
        <v>161</v>
      </c>
      <c r="G71" s="6" t="s">
        <v>2085</v>
      </c>
      <c r="I71" s="6"/>
      <c r="J71" s="3">
        <v>6</v>
      </c>
      <c r="K71" s="3">
        <v>6</v>
      </c>
      <c r="L71" s="3">
        <v>22.51</v>
      </c>
      <c r="M71" s="3">
        <v>8</v>
      </c>
      <c r="N71" s="3">
        <v>9</v>
      </c>
      <c r="O71" s="3">
        <v>3</v>
      </c>
      <c r="P71" s="3"/>
      <c r="Q71" s="3">
        <v>180</v>
      </c>
      <c r="R71" s="3"/>
      <c r="S71" s="3"/>
      <c r="T71" s="3"/>
      <c r="U71" s="3"/>
      <c r="V71" s="3"/>
      <c r="W71" s="3"/>
      <c r="X71" s="3" t="s">
        <v>2107</v>
      </c>
      <c r="Y71" s="6" t="s">
        <v>86</v>
      </c>
    </row>
    <row r="72" spans="1:25" ht="13.95" customHeight="1" x14ac:dyDescent="0.3">
      <c r="A72" s="5">
        <v>46030</v>
      </c>
      <c r="B72" s="25">
        <v>24</v>
      </c>
      <c r="C72" s="3" t="s">
        <v>1839</v>
      </c>
      <c r="D72" s="3" t="s">
        <v>2067</v>
      </c>
      <c r="E72" s="3">
        <v>2</v>
      </c>
      <c r="F72" s="3">
        <v>171</v>
      </c>
      <c r="G72" s="6" t="s">
        <v>2075</v>
      </c>
      <c r="I72" s="6"/>
      <c r="J72" s="3">
        <v>3</v>
      </c>
      <c r="K72" s="3">
        <v>3</v>
      </c>
      <c r="L72" s="3">
        <v>14.78</v>
      </c>
      <c r="M72" s="3">
        <v>5</v>
      </c>
      <c r="N72" s="3">
        <v>5.5</v>
      </c>
      <c r="O72" s="3">
        <v>4</v>
      </c>
      <c r="P72" s="3"/>
      <c r="Q72" s="3">
        <v>175</v>
      </c>
      <c r="R72" s="3"/>
      <c r="S72" s="3"/>
      <c r="T72" s="3"/>
      <c r="U72" s="3"/>
      <c r="V72" s="3"/>
      <c r="W72" s="3"/>
      <c r="X72" s="3" t="s">
        <v>1347</v>
      </c>
      <c r="Y72" s="6" t="s">
        <v>79</v>
      </c>
    </row>
    <row r="73" spans="1:25" ht="13.95" customHeight="1" x14ac:dyDescent="0.3">
      <c r="A73" s="5">
        <v>46030</v>
      </c>
      <c r="B73" s="25">
        <v>24</v>
      </c>
      <c r="C73" s="3" t="s">
        <v>1839</v>
      </c>
      <c r="D73" s="3" t="s">
        <v>2067</v>
      </c>
      <c r="E73" s="3">
        <v>2</v>
      </c>
      <c r="F73" s="3">
        <v>172</v>
      </c>
      <c r="G73" s="6" t="s">
        <v>2181</v>
      </c>
      <c r="I73" s="6"/>
      <c r="J73" s="3">
        <v>4</v>
      </c>
      <c r="K73" s="3">
        <v>4</v>
      </c>
      <c r="L73" s="3">
        <v>16.64</v>
      </c>
      <c r="M73" s="3">
        <v>0.75</v>
      </c>
      <c r="N73" s="3">
        <v>9.3000000000000007</v>
      </c>
      <c r="O73" s="3">
        <v>7</v>
      </c>
      <c r="P73" s="3" t="s">
        <v>2186</v>
      </c>
      <c r="Q73" s="3">
        <v>170</v>
      </c>
      <c r="R73" s="3"/>
      <c r="S73" s="3"/>
      <c r="T73" s="3"/>
      <c r="U73" s="3"/>
      <c r="V73" s="3"/>
      <c r="W73" s="3"/>
      <c r="X73" s="3" t="s">
        <v>1105</v>
      </c>
      <c r="Y73" s="6" t="s">
        <v>80</v>
      </c>
    </row>
    <row r="74" spans="1:25" ht="13.95" customHeight="1" x14ac:dyDescent="0.3">
      <c r="A74" s="5">
        <v>46030</v>
      </c>
      <c r="B74" s="25">
        <v>24</v>
      </c>
      <c r="C74" s="3" t="s">
        <v>1839</v>
      </c>
      <c r="D74" s="3" t="s">
        <v>2067</v>
      </c>
      <c r="E74" s="3">
        <v>2</v>
      </c>
      <c r="F74" s="3">
        <v>173</v>
      </c>
      <c r="G74" s="6" t="s">
        <v>2091</v>
      </c>
      <c r="I74" s="6"/>
      <c r="J74" s="3">
        <v>5</v>
      </c>
      <c r="K74" s="3">
        <v>5</v>
      </c>
      <c r="L74" s="3">
        <v>17.82</v>
      </c>
      <c r="M74" s="3">
        <v>1</v>
      </c>
      <c r="N74" s="3">
        <v>12.5</v>
      </c>
      <c r="O74" s="3">
        <v>6</v>
      </c>
      <c r="P74" s="3" t="s">
        <v>2187</v>
      </c>
      <c r="Q74" s="3">
        <v>175</v>
      </c>
      <c r="R74" s="3"/>
      <c r="S74" s="3"/>
      <c r="T74" s="3"/>
      <c r="U74" s="3"/>
      <c r="V74" s="3"/>
      <c r="W74" s="3"/>
      <c r="X74" s="3" t="s">
        <v>79</v>
      </c>
      <c r="Y74" s="6" t="s">
        <v>87</v>
      </c>
    </row>
    <row r="75" spans="1:25" ht="13.95" customHeight="1" x14ac:dyDescent="0.3">
      <c r="A75" s="5">
        <v>46030</v>
      </c>
      <c r="B75" s="25">
        <v>24</v>
      </c>
      <c r="C75" s="3" t="s">
        <v>1839</v>
      </c>
      <c r="D75" s="3" t="s">
        <v>2067</v>
      </c>
      <c r="E75" s="3">
        <v>2</v>
      </c>
      <c r="F75" s="3">
        <v>174</v>
      </c>
      <c r="G75" s="6" t="s">
        <v>2141</v>
      </c>
      <c r="I75" s="6"/>
      <c r="J75" s="3">
        <v>3</v>
      </c>
      <c r="K75" s="3">
        <v>3</v>
      </c>
      <c r="L75" s="3">
        <v>18.170000000000002</v>
      </c>
      <c r="M75" s="3">
        <v>4</v>
      </c>
      <c r="N75" s="3">
        <v>10</v>
      </c>
      <c r="O75" s="3">
        <v>8</v>
      </c>
      <c r="P75" s="3" t="s">
        <v>2149</v>
      </c>
      <c r="Q75" s="3">
        <v>170</v>
      </c>
      <c r="R75" s="3"/>
      <c r="S75" s="3"/>
      <c r="T75" s="3"/>
      <c r="U75" s="3"/>
      <c r="V75" s="3"/>
      <c r="W75" s="3"/>
      <c r="X75" s="3" t="s">
        <v>79</v>
      </c>
      <c r="Y75" s="6" t="s">
        <v>87</v>
      </c>
    </row>
    <row r="76" spans="1:25" ht="13.95" customHeight="1" x14ac:dyDescent="0.3">
      <c r="A76" s="5">
        <v>46030</v>
      </c>
      <c r="B76" s="25">
        <v>24</v>
      </c>
      <c r="C76" s="3" t="s">
        <v>1839</v>
      </c>
      <c r="D76" s="3" t="s">
        <v>2067</v>
      </c>
      <c r="E76" s="3">
        <v>2</v>
      </c>
      <c r="F76" s="3">
        <v>176</v>
      </c>
      <c r="G76" s="6" t="s">
        <v>2093</v>
      </c>
      <c r="I76" s="6"/>
      <c r="J76" s="3">
        <v>5</v>
      </c>
      <c r="K76" s="3">
        <v>5</v>
      </c>
      <c r="L76" s="3">
        <v>18.63</v>
      </c>
      <c r="M76" s="3">
        <v>2.2000000000000002</v>
      </c>
      <c r="N76" s="3">
        <v>12</v>
      </c>
      <c r="O76" s="3">
        <v>7</v>
      </c>
      <c r="P76" s="3" t="s">
        <v>2188</v>
      </c>
      <c r="Q76" s="3">
        <v>170</v>
      </c>
      <c r="R76" s="3"/>
      <c r="S76" s="3"/>
      <c r="T76" s="3"/>
      <c r="U76" s="3"/>
      <c r="V76" s="3"/>
      <c r="W76" s="3"/>
      <c r="X76" s="3" t="s">
        <v>2153</v>
      </c>
      <c r="Y76" s="6" t="s">
        <v>84</v>
      </c>
    </row>
    <row r="77" spans="1:25" ht="13.95" customHeight="1" x14ac:dyDescent="0.3">
      <c r="A77" s="5">
        <v>46030</v>
      </c>
      <c r="B77" s="25">
        <v>24</v>
      </c>
      <c r="C77" s="3" t="s">
        <v>1839</v>
      </c>
      <c r="D77" s="3" t="s">
        <v>2067</v>
      </c>
      <c r="E77" s="3">
        <v>2</v>
      </c>
      <c r="F77" s="3">
        <v>177</v>
      </c>
      <c r="G77" s="6" t="s">
        <v>2142</v>
      </c>
      <c r="I77" s="6"/>
      <c r="J77" s="3">
        <v>4</v>
      </c>
      <c r="K77" s="3">
        <v>4</v>
      </c>
      <c r="L77" s="3">
        <v>18.43</v>
      </c>
      <c r="M77" s="3">
        <v>2.7</v>
      </c>
      <c r="N77" s="3">
        <v>12</v>
      </c>
      <c r="O77" s="3">
        <v>8.3000000000000007</v>
      </c>
      <c r="P77" s="3" t="s">
        <v>2189</v>
      </c>
      <c r="Q77" s="3">
        <v>170</v>
      </c>
      <c r="R77" s="3"/>
      <c r="S77" s="3"/>
      <c r="T77" s="3"/>
      <c r="U77" s="3"/>
      <c r="V77" s="3"/>
      <c r="W77" s="3"/>
      <c r="X77" s="3" t="s">
        <v>2155</v>
      </c>
      <c r="Y77" s="6" t="s">
        <v>89</v>
      </c>
    </row>
    <row r="78" spans="1:25" ht="13.95" customHeight="1" x14ac:dyDescent="0.3">
      <c r="A78" s="5">
        <v>46030</v>
      </c>
      <c r="B78" s="25">
        <v>24</v>
      </c>
      <c r="C78" s="3" t="s">
        <v>1839</v>
      </c>
      <c r="D78" s="3" t="s">
        <v>2067</v>
      </c>
      <c r="E78" s="3">
        <v>2</v>
      </c>
      <c r="F78" s="3">
        <v>131</v>
      </c>
      <c r="G78" s="6" t="s">
        <v>2078</v>
      </c>
      <c r="I78" s="6"/>
      <c r="J78" s="3">
        <v>3</v>
      </c>
      <c r="K78" s="3">
        <v>3</v>
      </c>
      <c r="L78" s="3">
        <v>20.27</v>
      </c>
      <c r="M78" s="3">
        <v>3.5</v>
      </c>
      <c r="N78" s="3">
        <v>9.6</v>
      </c>
      <c r="O78" s="3">
        <v>6</v>
      </c>
      <c r="P78" s="3"/>
      <c r="Q78" s="3">
        <v>180</v>
      </c>
      <c r="R78" s="3"/>
      <c r="S78" s="3"/>
      <c r="T78" s="3"/>
      <c r="U78" s="3"/>
      <c r="V78" s="3"/>
      <c r="W78" s="3"/>
      <c r="X78" s="3" t="s">
        <v>87</v>
      </c>
      <c r="Y78" s="6" t="s">
        <v>2190</v>
      </c>
    </row>
    <row r="79" spans="1:25" ht="13.95" customHeight="1" x14ac:dyDescent="0.3">
      <c r="A79" s="5">
        <v>46030</v>
      </c>
      <c r="B79" s="25">
        <v>24</v>
      </c>
      <c r="C79" s="3" t="s">
        <v>1839</v>
      </c>
      <c r="D79" s="3" t="s">
        <v>2067</v>
      </c>
      <c r="E79" s="3">
        <v>2</v>
      </c>
      <c r="F79" s="3">
        <v>132</v>
      </c>
      <c r="G79" s="6" t="s">
        <v>2182</v>
      </c>
      <c r="I79" s="6"/>
      <c r="J79" s="3">
        <v>3</v>
      </c>
      <c r="K79" s="3">
        <v>3</v>
      </c>
      <c r="L79" s="3">
        <v>20.67</v>
      </c>
      <c r="M79" s="3">
        <v>4</v>
      </c>
      <c r="N79" s="3">
        <v>10.5</v>
      </c>
      <c r="O79" s="3">
        <v>5.5</v>
      </c>
      <c r="P79" s="3"/>
      <c r="Q79" s="3">
        <v>180</v>
      </c>
      <c r="R79" s="3"/>
      <c r="S79" s="3"/>
      <c r="T79" s="3"/>
      <c r="U79" s="3"/>
      <c r="V79" s="3"/>
      <c r="W79" s="3"/>
      <c r="X79" s="3" t="s">
        <v>579</v>
      </c>
      <c r="Y79" s="6" t="s">
        <v>1751</v>
      </c>
    </row>
    <row r="80" spans="1:25" ht="13.95" customHeight="1" x14ac:dyDescent="0.3">
      <c r="A80" s="5">
        <v>46030</v>
      </c>
      <c r="B80" s="25">
        <v>24</v>
      </c>
      <c r="C80" s="3" t="s">
        <v>1839</v>
      </c>
      <c r="D80" s="3" t="s">
        <v>2067</v>
      </c>
      <c r="E80" s="3">
        <v>2</v>
      </c>
      <c r="F80" s="3">
        <v>134</v>
      </c>
      <c r="G80" s="6" t="s">
        <v>2183</v>
      </c>
      <c r="I80" s="6"/>
      <c r="J80" s="3">
        <v>3</v>
      </c>
      <c r="K80" s="3">
        <v>3</v>
      </c>
      <c r="L80" s="3">
        <v>15.27</v>
      </c>
      <c r="M80" s="3">
        <v>4</v>
      </c>
      <c r="N80" s="3">
        <v>6</v>
      </c>
      <c r="O80" s="3">
        <v>5</v>
      </c>
      <c r="P80" s="3"/>
      <c r="Q80" s="3">
        <v>160</v>
      </c>
      <c r="R80" s="3"/>
      <c r="S80" s="3"/>
      <c r="T80" s="3"/>
      <c r="U80" s="3"/>
      <c r="V80" s="3"/>
      <c r="W80" s="3"/>
      <c r="X80" s="3" t="s">
        <v>2191</v>
      </c>
      <c r="Y80" s="6" t="s">
        <v>2192</v>
      </c>
    </row>
    <row r="81" spans="1:25" ht="13.95" customHeight="1" x14ac:dyDescent="0.3">
      <c r="A81" s="5">
        <v>46030</v>
      </c>
      <c r="B81" s="25">
        <v>24</v>
      </c>
      <c r="C81" s="3" t="s">
        <v>1839</v>
      </c>
      <c r="D81" s="3" t="s">
        <v>2067</v>
      </c>
      <c r="E81" s="3">
        <v>2</v>
      </c>
      <c r="F81" s="3">
        <v>135</v>
      </c>
      <c r="G81" s="6" t="s">
        <v>2104</v>
      </c>
      <c r="I81" s="6"/>
      <c r="J81" s="3">
        <v>2</v>
      </c>
      <c r="K81" s="3">
        <v>2</v>
      </c>
      <c r="L81" s="3">
        <v>19.89</v>
      </c>
      <c r="M81" s="3">
        <v>6.4</v>
      </c>
      <c r="N81" s="3">
        <v>8</v>
      </c>
      <c r="O81" s="3">
        <v>4</v>
      </c>
      <c r="P81" s="3"/>
      <c r="Q81" s="3">
        <v>165</v>
      </c>
      <c r="R81" s="3"/>
      <c r="S81" s="3"/>
      <c r="T81" s="3"/>
      <c r="U81" s="3"/>
      <c r="V81" s="3"/>
      <c r="W81" s="3"/>
      <c r="X81" s="3" t="s">
        <v>1805</v>
      </c>
      <c r="Y81" s="6" t="s">
        <v>2193</v>
      </c>
    </row>
    <row r="82" spans="1:25" ht="13.95" customHeight="1" x14ac:dyDescent="0.3">
      <c r="A82" s="5">
        <v>46030</v>
      </c>
      <c r="B82" s="25">
        <v>24</v>
      </c>
      <c r="C82" s="3" t="s">
        <v>1839</v>
      </c>
      <c r="D82" s="3" t="s">
        <v>2067</v>
      </c>
      <c r="E82" s="3">
        <v>2</v>
      </c>
      <c r="F82" s="3">
        <v>138</v>
      </c>
      <c r="G82" s="6" t="s">
        <v>2143</v>
      </c>
      <c r="I82" s="6"/>
      <c r="J82" s="3">
        <v>3</v>
      </c>
      <c r="K82" s="3">
        <v>3</v>
      </c>
      <c r="L82" s="3">
        <v>12.61</v>
      </c>
      <c r="M82" s="3">
        <v>2.5</v>
      </c>
      <c r="N82" s="3">
        <v>5</v>
      </c>
      <c r="O82" s="3">
        <v>4</v>
      </c>
      <c r="P82" s="3"/>
      <c r="Q82" s="3">
        <v>166</v>
      </c>
      <c r="R82" s="3"/>
      <c r="S82" s="3"/>
      <c r="T82" s="3"/>
      <c r="U82" s="3"/>
      <c r="V82" s="3"/>
      <c r="W82" s="3"/>
      <c r="X82" s="3" t="s">
        <v>2194</v>
      </c>
      <c r="Y82" s="6" t="s">
        <v>1018</v>
      </c>
    </row>
    <row r="83" spans="1:25" ht="13.95" customHeight="1" x14ac:dyDescent="0.3">
      <c r="A83" s="5">
        <v>46030</v>
      </c>
      <c r="B83" s="25">
        <v>24</v>
      </c>
      <c r="C83" s="3" t="s">
        <v>1839</v>
      </c>
      <c r="D83" s="3" t="s">
        <v>2067</v>
      </c>
      <c r="E83" s="3">
        <v>2</v>
      </c>
      <c r="F83" s="3"/>
      <c r="G83" s="6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6"/>
    </row>
  </sheetData>
  <autoFilter ref="A1:Z27" xr:uid="{E2199E90-F948-4E2E-A5B9-D0AD83A25753}"/>
  <pageMargins left="0.19685039370078741" right="0.31496062992125984" top="0.55118110236220474" bottom="0.55118110236220474" header="0.15748031496062992" footer="0.35433070866141736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C5C3-CFDD-4646-9B1F-0EBB17FE62BE}">
  <dimension ref="A1:S47"/>
  <sheetViews>
    <sheetView zoomScale="58" zoomScaleNormal="58" workbookViewId="0">
      <selection activeCell="O16" sqref="O16"/>
    </sheetView>
  </sheetViews>
  <sheetFormatPr defaultRowHeight="14.4" x14ac:dyDescent="0.3"/>
  <cols>
    <col min="2" max="2" width="8.88671875" style="31" hidden="1" customWidth="1"/>
    <col min="3" max="3" width="10.109375" style="31" hidden="1" customWidth="1"/>
    <col min="4" max="5" width="8.88671875" style="31" hidden="1" customWidth="1"/>
    <col min="6" max="7" width="10.109375" style="31" hidden="1" customWidth="1"/>
    <col min="8" max="8" width="26.5546875" style="32" customWidth="1"/>
    <col min="9" max="17" width="26.5546875" style="31" customWidth="1"/>
    <col min="18" max="19" width="26.5546875" customWidth="1"/>
  </cols>
  <sheetData>
    <row r="1" spans="1:19" ht="30" customHeight="1" thickBot="1" x14ac:dyDescent="0.35">
      <c r="H1" s="111" t="s">
        <v>1914</v>
      </c>
      <c r="I1" s="111"/>
      <c r="J1" s="111" t="s">
        <v>1915</v>
      </c>
      <c r="K1" s="111"/>
      <c r="L1" s="111" t="s">
        <v>1916</v>
      </c>
      <c r="M1" s="111"/>
      <c r="N1" s="111" t="s">
        <v>1917</v>
      </c>
      <c r="O1" s="111"/>
      <c r="P1" s="111" t="s">
        <v>1918</v>
      </c>
      <c r="Q1" s="111"/>
      <c r="R1" s="111" t="s">
        <v>1961</v>
      </c>
      <c r="S1" s="111"/>
    </row>
    <row r="2" spans="1:19" ht="27" customHeight="1" x14ac:dyDescent="0.3">
      <c r="A2" s="30" t="s">
        <v>3</v>
      </c>
      <c r="B2" s="5">
        <v>45936</v>
      </c>
      <c r="C2" s="5">
        <v>45937</v>
      </c>
      <c r="D2" s="5">
        <v>45938</v>
      </c>
      <c r="E2" s="5">
        <v>45939</v>
      </c>
      <c r="F2" s="5">
        <v>45940</v>
      </c>
      <c r="G2" s="33">
        <v>45941</v>
      </c>
      <c r="H2" s="40">
        <v>45950</v>
      </c>
      <c r="I2" s="40">
        <v>45950</v>
      </c>
      <c r="J2" s="40">
        <v>45951</v>
      </c>
      <c r="K2" s="40">
        <v>45951</v>
      </c>
      <c r="L2" s="40">
        <v>45952</v>
      </c>
      <c r="M2" s="40">
        <v>45952</v>
      </c>
      <c r="N2" s="40">
        <v>45953</v>
      </c>
      <c r="O2" s="40">
        <v>45953</v>
      </c>
      <c r="P2" s="40">
        <v>45954</v>
      </c>
      <c r="Q2" s="40">
        <v>45954</v>
      </c>
      <c r="R2" s="40">
        <v>45955</v>
      </c>
      <c r="S2" s="41">
        <v>45955</v>
      </c>
    </row>
    <row r="3" spans="1:19" hidden="1" x14ac:dyDescent="0.3">
      <c r="A3" s="3">
        <v>101</v>
      </c>
      <c r="B3" s="31" t="str" cm="1">
        <f t="array" ref="B3">IFERROR(INDEX('PROSES ENJEKSİYON'!$L:$L, MATCH(1,('PROSES ENJEKSİYON'!$A:$A=$B$2)*('PROSES ENJEKSİYON'!$F:$F=A3),0)), "")</f>
        <v/>
      </c>
      <c r="C3" s="31" t="str" cm="1">
        <f t="array" ref="C3">IFERROR(INDEX('PROSES ENJEKSİYON'!$L:$L,MATCH(1,('PROSES ENJEKSİYON'!$A:$A=$C$2)*('PROSES ENJEKSİYON'!$F:$F=A3),0)),"")</f>
        <v/>
      </c>
      <c r="D3" s="31" t="str" cm="1">
        <f t="array" ref="D3">IFERROR(INDEX('PROSES ENJEKSİYON'!$L:$L,MATCH(1,('PROSES ENJEKSİYON'!$A:$A=$D$2)*('PROSES ENJEKSİYON'!$F:$F=A3),0)),"")</f>
        <v/>
      </c>
      <c r="E3" s="31" t="str" cm="1">
        <f t="array" ref="E3">IFERROR(INDEX('PROSES ENJEKSİYON'!$L:$L,MATCH(1,('PROSES ENJEKSİYON'!$A:$A=$E$2)*('PROSES ENJEKSİYON'!$F:$F=A3),0)),"")</f>
        <v/>
      </c>
      <c r="F3" s="31" t="str" cm="1">
        <f t="array" ref="F3">IFERROR(INDEX('PROSES ENJEKSİYON'!$L:$L,MATCH(1,('PROSES ENJEKSİYON'!$A:$A=$F$2)*('PROSES ENJEKSİYON'!$F:$F=A3),0)),"")</f>
        <v/>
      </c>
      <c r="G3" s="31" t="str" cm="1">
        <f t="array" ref="G3">IFERROR(INDEX('PROSES ENJEKSİYON'!$L:$L,MATCH(1,('PROSES ENJEKSİYON'!$A:$A=$G$2)*('PROSES ENJEKSİYON'!$F:$F=A3),0)),"")</f>
        <v/>
      </c>
      <c r="H3" s="34"/>
      <c r="I3" s="35" t="str" cm="1">
        <f t="array" ref="I3">IFERROR(INDEX('PROSES ENJEKSİYON'!$L:$L,MATCH(1,('PROSES ENJEKSİYON'!$A:$A=$I$2)*('PROSES ENJEKSİYON'!$F:$F=A3),0)),"")</f>
        <v/>
      </c>
      <c r="J3" s="38"/>
      <c r="K3" s="35" t="str" cm="1">
        <f t="array" ref="K3">IFERROR(INDEX('PROSES ENJEKSİYON'!$L:$L,MATCH(1,('PROSES ENJEKSİYON'!$A:$A=$K$2)*('PROSES ENJEKSİYON'!$F:$F=A3),0)),"")</f>
        <v/>
      </c>
      <c r="L3" s="38"/>
      <c r="M3" s="35" t="str" cm="1">
        <f t="array" ref="M3">IFERROR(INDEX('PROSES ENJEKSİYON'!$L:$L,MATCH(1,('PROSES ENJEKSİYON'!$A:$A=$M$2)*('PROSES ENJEKSİYON'!$F:$F=A3),0)),"")</f>
        <v/>
      </c>
      <c r="N3" s="38"/>
      <c r="O3" s="35" t="str" cm="1">
        <f t="array" ref="O3">IFERROR(INDEX('PROSES ENJEKSİYON'!$L:$L,MATCH(1,('PROSES ENJEKSİYON'!$A:$A=$O$2)*('PROSES ENJEKSİYON'!$F:$F=A3),0)),"")</f>
        <v/>
      </c>
      <c r="P3" s="38"/>
      <c r="Q3" s="35" t="str" cm="1">
        <f t="array" ref="Q3">IFERROR(INDEX('PROSES ENJEKSİYON'!$L:$L,MATCH(1,('PROSES ENJEKSİYON'!$A:$A=$Q$2)*('PROSES ENJEKSİYON'!$F:$F=A3),0)),"")</f>
        <v/>
      </c>
      <c r="R3" s="38"/>
      <c r="S3" s="35" t="str" cm="1">
        <f t="array" ref="S3">IFERROR(INDEX('PROSES ENJEKSİYON'!$L:$L,MATCH(1,('PROSES ENJEKSİYON'!$A:$A=$Q$2)*('PROSES ENJEKSİYON'!$F:$F=C3),0)),"")</f>
        <v/>
      </c>
    </row>
    <row r="4" spans="1:19" hidden="1" x14ac:dyDescent="0.3">
      <c r="A4" s="3">
        <v>102</v>
      </c>
      <c r="B4" s="31" t="str" cm="1">
        <f t="array" ref="B4">IFERROR(INDEX('PROSES ENJEKSİYON'!$L:$L, MATCH(1,('PROSES ENJEKSİYON'!$A:$A=$B$2)*('PROSES ENJEKSİYON'!$F:$F=A4),0)), "")</f>
        <v/>
      </c>
      <c r="C4" s="31" t="str" cm="1">
        <f t="array" ref="C4">IFERROR(INDEX('PROSES ENJEKSİYON'!$L:$L,MATCH(1,('PROSES ENJEKSİYON'!$A:$A=$C$2)*('PROSES ENJEKSİYON'!$F:$F=A4),0)),"")</f>
        <v/>
      </c>
      <c r="D4" s="31" t="str" cm="1">
        <f t="array" ref="D4">IFERROR(INDEX('PROSES ENJEKSİYON'!$L:$L,MATCH(1,('PROSES ENJEKSİYON'!$A:$A=$D$2)*('PROSES ENJEKSİYON'!$F:$F=A4),0)),"")</f>
        <v/>
      </c>
      <c r="E4" s="31" t="str" cm="1">
        <f t="array" ref="E4">IFERROR(INDEX('PROSES ENJEKSİYON'!$L:$L,MATCH(1,('PROSES ENJEKSİYON'!$A:$A=$E$2)*('PROSES ENJEKSİYON'!$F:$F=A4),0)),"")</f>
        <v/>
      </c>
      <c r="F4" s="31" t="str" cm="1">
        <f t="array" ref="F4">IFERROR(INDEX('PROSES ENJEKSİYON'!$L:$L,MATCH(1,('PROSES ENJEKSİYON'!$A:$A=$F$2)*('PROSES ENJEKSİYON'!$F:$F=A4),0)),"")</f>
        <v/>
      </c>
      <c r="G4" s="31" t="str" cm="1">
        <f t="array" ref="G4">IFERROR(INDEX('PROSES ENJEKSİYON'!$L:$L,MATCH(1,('PROSES ENJEKSİYON'!$A:$A=$G$2)*('PROSES ENJEKSİYON'!$F:$F=A4),0)),"")</f>
        <v/>
      </c>
      <c r="H4" s="34"/>
      <c r="I4" s="35" t="str" cm="1">
        <f t="array" ref="I4">IFERROR(INDEX('PROSES ENJEKSİYON'!$L:$L,MATCH(1,('PROSES ENJEKSİYON'!$A:$A=$I$2)*('PROSES ENJEKSİYON'!$F:$F=A4),0)),"")</f>
        <v/>
      </c>
      <c r="J4" s="38"/>
      <c r="K4" s="35" t="str" cm="1">
        <f t="array" ref="K4">IFERROR(INDEX('PROSES ENJEKSİYON'!$L:$L,MATCH(1,('PROSES ENJEKSİYON'!$A:$A=$K$2)*('PROSES ENJEKSİYON'!$F:$F=A4),0)),"")</f>
        <v/>
      </c>
      <c r="L4" s="38"/>
      <c r="M4" s="35" t="str" cm="1">
        <f t="array" ref="M4">IFERROR(INDEX('PROSES ENJEKSİYON'!$L:$L,MATCH(1,('PROSES ENJEKSİYON'!$A:$A=$M$2)*('PROSES ENJEKSİYON'!$F:$F=A4),0)),"")</f>
        <v/>
      </c>
      <c r="N4" s="38"/>
      <c r="O4" s="35" t="str" cm="1">
        <f t="array" ref="O4">IFERROR(INDEX('PROSES ENJEKSİYON'!$L:$L,MATCH(1,('PROSES ENJEKSİYON'!$A:$A=$O$2)*('PROSES ENJEKSİYON'!$F:$F=A4),0)),"")</f>
        <v/>
      </c>
      <c r="P4" s="38"/>
      <c r="Q4" s="35" t="str" cm="1">
        <f t="array" ref="Q4">IFERROR(INDEX('PROSES ENJEKSİYON'!$L:$L,MATCH(1,('PROSES ENJEKSİYON'!$A:$A=$Q$2)*('PROSES ENJEKSİYON'!$F:$F=A4),0)),"")</f>
        <v/>
      </c>
      <c r="R4" s="38"/>
      <c r="S4" s="35" t="str" cm="1">
        <f t="array" ref="S4">IFERROR(INDEX('PROSES ENJEKSİYON'!$L:$L,MATCH(1,('PROSES ENJEKSİYON'!$A:$A=$Q$2)*('PROSES ENJEKSİYON'!$F:$F=C4),0)),"")</f>
        <v/>
      </c>
    </row>
    <row r="5" spans="1:19" hidden="1" x14ac:dyDescent="0.3">
      <c r="A5" s="3">
        <v>103</v>
      </c>
      <c r="B5" s="31" t="str" cm="1">
        <f t="array" ref="B5">IFERROR(INDEX('PROSES ENJEKSİYON'!$L:$L, MATCH(1,('PROSES ENJEKSİYON'!$A:$A=$B$2)*('PROSES ENJEKSİYON'!$F:$F=A5),0)), "")</f>
        <v/>
      </c>
      <c r="C5" s="31" t="str" cm="1">
        <f t="array" ref="C5">IFERROR(INDEX('PROSES ENJEKSİYON'!$L:$L,MATCH(1,('PROSES ENJEKSİYON'!$A:$A=$C$2)*('PROSES ENJEKSİYON'!$F:$F=A5),0)),"")</f>
        <v/>
      </c>
      <c r="D5" s="31" t="str" cm="1">
        <f t="array" ref="D5">IFERROR(INDEX('PROSES ENJEKSİYON'!$L:$L,MATCH(1,('PROSES ENJEKSİYON'!$A:$A=$D$2)*('PROSES ENJEKSİYON'!$F:$F=A5),0)),"")</f>
        <v/>
      </c>
      <c r="E5" s="31" t="str" cm="1">
        <f t="array" ref="E5">IFERROR(INDEX('PROSES ENJEKSİYON'!$L:$L,MATCH(1,('PROSES ENJEKSİYON'!$A:$A=$E$2)*('PROSES ENJEKSİYON'!$F:$F=A5),0)),"")</f>
        <v/>
      </c>
      <c r="F5" s="31" t="str" cm="1">
        <f t="array" ref="F5">IFERROR(INDEX('PROSES ENJEKSİYON'!$L:$L,MATCH(1,('PROSES ENJEKSİYON'!$A:$A=$F$2)*('PROSES ENJEKSİYON'!$F:$F=A5),0)),"")</f>
        <v/>
      </c>
      <c r="G5" s="31" t="str" cm="1">
        <f t="array" ref="G5">IFERROR(INDEX('PROSES ENJEKSİYON'!$L:$L,MATCH(1,('PROSES ENJEKSİYON'!$A:$A=$G$2)*('PROSES ENJEKSİYON'!$F:$F=A5),0)),"")</f>
        <v/>
      </c>
      <c r="H5" s="34"/>
      <c r="I5" s="35" t="str" cm="1">
        <f t="array" ref="I5">IFERROR(INDEX('PROSES ENJEKSİYON'!$L:$L,MATCH(1,('PROSES ENJEKSİYON'!$A:$A=$I$2)*('PROSES ENJEKSİYON'!$F:$F=A5),0)),"")</f>
        <v/>
      </c>
      <c r="J5" s="38"/>
      <c r="K5" s="35" t="str" cm="1">
        <f t="array" ref="K5">IFERROR(INDEX('PROSES ENJEKSİYON'!$L:$L,MATCH(1,('PROSES ENJEKSİYON'!$A:$A=$K$2)*('PROSES ENJEKSİYON'!$F:$F=A5),0)),"")</f>
        <v/>
      </c>
      <c r="L5" s="38"/>
      <c r="M5" s="35" t="str" cm="1">
        <f t="array" ref="M5">IFERROR(INDEX('PROSES ENJEKSİYON'!$L:$L,MATCH(1,('PROSES ENJEKSİYON'!$A:$A=$M$2)*('PROSES ENJEKSİYON'!$F:$F=A5),0)),"")</f>
        <v/>
      </c>
      <c r="N5" s="38"/>
      <c r="O5" s="35" t="str" cm="1">
        <f t="array" ref="O5">IFERROR(INDEX('PROSES ENJEKSİYON'!$L:$L,MATCH(1,('PROSES ENJEKSİYON'!$A:$A=$O$2)*('PROSES ENJEKSİYON'!$F:$F=A5),0)),"")</f>
        <v/>
      </c>
      <c r="P5" s="38"/>
      <c r="Q5" s="35" t="str" cm="1">
        <f t="array" ref="Q5">IFERROR(INDEX('PROSES ENJEKSİYON'!$L:$L,MATCH(1,('PROSES ENJEKSİYON'!$A:$A=$Q$2)*('PROSES ENJEKSİYON'!$F:$F=A5),0)),"")</f>
        <v/>
      </c>
      <c r="R5" s="38"/>
      <c r="S5" s="35" t="str" cm="1">
        <f t="array" ref="S5">IFERROR(INDEX('PROSES ENJEKSİYON'!$L:$L,MATCH(1,('PROSES ENJEKSİYON'!$A:$A=$Q$2)*('PROSES ENJEKSİYON'!$F:$F=C5),0)),"")</f>
        <v/>
      </c>
    </row>
    <row r="6" spans="1:19" hidden="1" x14ac:dyDescent="0.3">
      <c r="A6" s="3">
        <v>104</v>
      </c>
      <c r="B6" s="31" t="str" cm="1">
        <f t="array" ref="B6">IFERROR(INDEX('PROSES ENJEKSİYON'!$L:$L, MATCH(1,('PROSES ENJEKSİYON'!$A:$A=$B$2)*('PROSES ENJEKSİYON'!$F:$F=A6),0)), "")</f>
        <v/>
      </c>
      <c r="C6" s="31" t="str" cm="1">
        <f t="array" ref="C6">IFERROR(INDEX('PROSES ENJEKSİYON'!$L:$L,MATCH(1,('PROSES ENJEKSİYON'!$A:$A=$C$2)*('PROSES ENJEKSİYON'!$F:$F=A6),0)),"")</f>
        <v/>
      </c>
      <c r="D6" s="31" t="str" cm="1">
        <f t="array" ref="D6">IFERROR(INDEX('PROSES ENJEKSİYON'!$L:$L,MATCH(1,('PROSES ENJEKSİYON'!$A:$A=$D$2)*('PROSES ENJEKSİYON'!$F:$F=A6),0)),"")</f>
        <v/>
      </c>
      <c r="E6" s="31" t="str" cm="1">
        <f t="array" ref="E6">IFERROR(INDEX('PROSES ENJEKSİYON'!$L:$L,MATCH(1,('PROSES ENJEKSİYON'!$A:$A=$E$2)*('PROSES ENJEKSİYON'!$F:$F=A6),0)),"")</f>
        <v/>
      </c>
      <c r="F6" s="31" t="str" cm="1">
        <f t="array" ref="F6">IFERROR(INDEX('PROSES ENJEKSİYON'!$L:$L,MATCH(1,('PROSES ENJEKSİYON'!$A:$A=$F$2)*('PROSES ENJEKSİYON'!$F:$F=A6),0)),"")</f>
        <v/>
      </c>
      <c r="G6" s="31" t="str" cm="1">
        <f t="array" ref="G6">IFERROR(INDEX('PROSES ENJEKSİYON'!$L:$L,MATCH(1,('PROSES ENJEKSİYON'!$A:$A=$G$2)*('PROSES ENJEKSİYON'!$F:$F=A6),0)),"")</f>
        <v/>
      </c>
      <c r="H6" s="34"/>
      <c r="I6" s="35" t="str" cm="1">
        <f t="array" ref="I6">IFERROR(INDEX('PROSES ENJEKSİYON'!$L:$L,MATCH(1,('PROSES ENJEKSİYON'!$A:$A=$I$2)*('PROSES ENJEKSİYON'!$F:$F=A6),0)),"")</f>
        <v/>
      </c>
      <c r="J6" s="38"/>
      <c r="K6" s="35" t="str" cm="1">
        <f t="array" ref="K6">IFERROR(INDEX('PROSES ENJEKSİYON'!$L:$L,MATCH(1,('PROSES ENJEKSİYON'!$A:$A=$K$2)*('PROSES ENJEKSİYON'!$F:$F=A6),0)),"")</f>
        <v/>
      </c>
      <c r="L6" s="38"/>
      <c r="M6" s="35" t="str" cm="1">
        <f t="array" ref="M6">IFERROR(INDEX('PROSES ENJEKSİYON'!$L:$L,MATCH(1,('PROSES ENJEKSİYON'!$A:$A=$M$2)*('PROSES ENJEKSİYON'!$F:$F=A6),0)),"")</f>
        <v/>
      </c>
      <c r="N6" s="38"/>
      <c r="O6" s="35" t="str" cm="1">
        <f t="array" ref="O6">IFERROR(INDEX('PROSES ENJEKSİYON'!$L:$L,MATCH(1,('PROSES ENJEKSİYON'!$A:$A=$O$2)*('PROSES ENJEKSİYON'!$F:$F=A6),0)),"")</f>
        <v/>
      </c>
      <c r="P6" s="38"/>
      <c r="Q6" s="35" t="str" cm="1">
        <f t="array" ref="Q6">IFERROR(INDEX('PROSES ENJEKSİYON'!$L:$L,MATCH(1,('PROSES ENJEKSİYON'!$A:$A=$Q$2)*('PROSES ENJEKSİYON'!$F:$F=A6),0)),"")</f>
        <v/>
      </c>
      <c r="R6" s="38"/>
      <c r="S6" s="35" t="str" cm="1">
        <f t="array" ref="S6">IFERROR(INDEX('PROSES ENJEKSİYON'!$L:$L,MATCH(1,('PROSES ENJEKSİYON'!$A:$A=$Q$2)*('PROSES ENJEKSİYON'!$F:$F=C6),0)),"")</f>
        <v/>
      </c>
    </row>
    <row r="7" spans="1:19" hidden="1" x14ac:dyDescent="0.3">
      <c r="A7" s="3">
        <v>161</v>
      </c>
      <c r="B7" s="31" t="str" cm="1">
        <f t="array" ref="B7">IFERROR(INDEX('PROSES ENJEKSİYON'!$L:$L, MATCH(1,('PROSES ENJEKSİYON'!$A:$A=$B$2)*('PROSES ENJEKSİYON'!$F:$F=A7),0)), "")</f>
        <v/>
      </c>
      <c r="C7" s="31" t="str" cm="1">
        <f t="array" ref="C7">IFERROR(INDEX('PROSES ENJEKSİYON'!$L:$L,MATCH(1,('PROSES ENJEKSİYON'!$A:$A=$C$2)*('PROSES ENJEKSİYON'!$F:$F=A7),0)),"")</f>
        <v/>
      </c>
      <c r="D7" s="31" t="str" cm="1">
        <f t="array" ref="D7">IFERROR(INDEX('PROSES ENJEKSİYON'!$L:$L,MATCH(1,('PROSES ENJEKSİYON'!$A:$A=$D$2)*('PROSES ENJEKSİYON'!$F:$F=A7),0)),"")</f>
        <v/>
      </c>
      <c r="E7" s="31" t="str" cm="1">
        <f t="array" ref="E7">IFERROR(INDEX('PROSES ENJEKSİYON'!$L:$L,MATCH(1,('PROSES ENJEKSİYON'!$A:$A=$E$2)*('PROSES ENJEKSİYON'!$F:$F=A7),0)),"")</f>
        <v/>
      </c>
      <c r="F7" s="31" t="str" cm="1">
        <f t="array" ref="F7">IFERROR(INDEX('PROSES ENJEKSİYON'!$L:$L,MATCH(1,('PROSES ENJEKSİYON'!$A:$A=$F$2)*('PROSES ENJEKSİYON'!$F:$F=A7),0)),"")</f>
        <v/>
      </c>
      <c r="G7" s="31" t="str" cm="1">
        <f t="array" ref="G7">IFERROR(INDEX('PROSES ENJEKSİYON'!$L:$L,MATCH(1,('PROSES ENJEKSİYON'!$A:$A=$G$2)*('PROSES ENJEKSİYON'!$F:$F=A7),0)),"")</f>
        <v/>
      </c>
      <c r="H7" s="34"/>
      <c r="I7" s="35" t="str" cm="1">
        <f t="array" ref="I7">IFERROR(INDEX('PROSES ENJEKSİYON'!$L:$L,MATCH(1,('PROSES ENJEKSİYON'!$A:$A=$I$2)*('PROSES ENJEKSİYON'!$F:$F=A7),0)),"")</f>
        <v/>
      </c>
      <c r="J7" s="38"/>
      <c r="K7" s="35" t="str" cm="1">
        <f t="array" ref="K7">IFERROR(INDEX('PROSES ENJEKSİYON'!$L:$L,MATCH(1,('PROSES ENJEKSİYON'!$A:$A=$K$2)*('PROSES ENJEKSİYON'!$F:$F=A7),0)),"")</f>
        <v/>
      </c>
      <c r="L7" s="38"/>
      <c r="M7" s="35" t="str" cm="1">
        <f t="array" ref="M7">IFERROR(INDEX('PROSES ENJEKSİYON'!$L:$L,MATCH(1,('PROSES ENJEKSİYON'!$A:$A=$M$2)*('PROSES ENJEKSİYON'!$F:$F=A7),0)),"")</f>
        <v/>
      </c>
      <c r="N7" s="38"/>
      <c r="O7" s="35" t="str" cm="1">
        <f t="array" ref="O7">IFERROR(INDEX('PROSES ENJEKSİYON'!$L:$L,MATCH(1,('PROSES ENJEKSİYON'!$A:$A=$O$2)*('PROSES ENJEKSİYON'!$F:$F=A7),0)),"")</f>
        <v/>
      </c>
      <c r="P7" s="38"/>
      <c r="Q7" s="35" t="str" cm="1">
        <f t="array" ref="Q7">IFERROR(INDEX('PROSES ENJEKSİYON'!$L:$L,MATCH(1,('PROSES ENJEKSİYON'!$A:$A=$Q$2)*('PROSES ENJEKSİYON'!$F:$F=A7),0)),"")</f>
        <v/>
      </c>
      <c r="R7" s="38"/>
      <c r="S7" s="35" t="str" cm="1">
        <f t="array" ref="S7">IFERROR(INDEX('PROSES ENJEKSİYON'!$L:$L,MATCH(1,('PROSES ENJEKSİYON'!$A:$A=$Q$2)*('PROSES ENJEKSİYON'!$F:$F=C7),0)),"")</f>
        <v/>
      </c>
    </row>
    <row r="8" spans="1:19" hidden="1" x14ac:dyDescent="0.3">
      <c r="A8" s="3">
        <v>162</v>
      </c>
      <c r="B8" s="31" t="str" cm="1">
        <f t="array" ref="B8">IFERROR(INDEX('PROSES ENJEKSİYON'!$L:$L, MATCH(1,('PROSES ENJEKSİYON'!$A:$A=$B$2)*('PROSES ENJEKSİYON'!$F:$F=A8),0)), "")</f>
        <v/>
      </c>
      <c r="C8" s="31" t="str" cm="1">
        <f t="array" ref="C8">IFERROR(INDEX('PROSES ENJEKSİYON'!$L:$L,MATCH(1,('PROSES ENJEKSİYON'!$A:$A=$C$2)*('PROSES ENJEKSİYON'!$F:$F=A8),0)),"")</f>
        <v/>
      </c>
      <c r="D8" s="31" t="str" cm="1">
        <f t="array" ref="D8">IFERROR(INDEX('PROSES ENJEKSİYON'!$L:$L,MATCH(1,('PROSES ENJEKSİYON'!$A:$A=$D$2)*('PROSES ENJEKSİYON'!$F:$F=A8),0)),"")</f>
        <v/>
      </c>
      <c r="E8" s="31" t="str" cm="1">
        <f t="array" ref="E8">IFERROR(INDEX('PROSES ENJEKSİYON'!$L:$L,MATCH(1,('PROSES ENJEKSİYON'!$A:$A=$E$2)*('PROSES ENJEKSİYON'!$F:$F=A8),0)),"")</f>
        <v/>
      </c>
      <c r="F8" s="31" t="str" cm="1">
        <f t="array" ref="F8">IFERROR(INDEX('PROSES ENJEKSİYON'!$L:$L,MATCH(1,('PROSES ENJEKSİYON'!$A:$A=$F$2)*('PROSES ENJEKSİYON'!$F:$F=A8),0)),"")</f>
        <v/>
      </c>
      <c r="G8" s="31" t="str" cm="1">
        <f t="array" ref="G8">IFERROR(INDEX('PROSES ENJEKSİYON'!$L:$L,MATCH(1,('PROSES ENJEKSİYON'!$A:$A=$G$2)*('PROSES ENJEKSİYON'!$F:$F=A8),0)),"")</f>
        <v/>
      </c>
      <c r="H8" s="34"/>
      <c r="I8" s="35" t="str" cm="1">
        <f t="array" ref="I8">IFERROR(INDEX('PROSES ENJEKSİYON'!$L:$L,MATCH(1,('PROSES ENJEKSİYON'!$A:$A=$I$2)*('PROSES ENJEKSİYON'!$F:$F=A8),0)),"")</f>
        <v/>
      </c>
      <c r="J8" s="38"/>
      <c r="K8" s="35" t="str" cm="1">
        <f t="array" ref="K8">IFERROR(INDEX('PROSES ENJEKSİYON'!$L:$L,MATCH(1,('PROSES ENJEKSİYON'!$A:$A=$K$2)*('PROSES ENJEKSİYON'!$F:$F=A8),0)),"")</f>
        <v/>
      </c>
      <c r="L8" s="38"/>
      <c r="M8" s="35" t="str" cm="1">
        <f t="array" ref="M8">IFERROR(INDEX('PROSES ENJEKSİYON'!$L:$L,MATCH(1,('PROSES ENJEKSİYON'!$A:$A=$M$2)*('PROSES ENJEKSİYON'!$F:$F=A8),0)),"")</f>
        <v/>
      </c>
      <c r="N8" s="38"/>
      <c r="O8" s="35" t="str" cm="1">
        <f t="array" ref="O8">IFERROR(INDEX('PROSES ENJEKSİYON'!$L:$L,MATCH(1,('PROSES ENJEKSİYON'!$A:$A=$O$2)*('PROSES ENJEKSİYON'!$F:$F=A8),0)),"")</f>
        <v/>
      </c>
      <c r="P8" s="38"/>
      <c r="Q8" s="35" t="str" cm="1">
        <f t="array" ref="Q8">IFERROR(INDEX('PROSES ENJEKSİYON'!$L:$L,MATCH(1,('PROSES ENJEKSİYON'!$A:$A=$Q$2)*('PROSES ENJEKSİYON'!$F:$F=A8),0)),"")</f>
        <v/>
      </c>
      <c r="R8" s="38"/>
      <c r="S8" s="35" t="str" cm="1">
        <f t="array" ref="S8">IFERROR(INDEX('PROSES ENJEKSİYON'!$L:$L,MATCH(1,('PROSES ENJEKSİYON'!$A:$A=$Q$2)*('PROSES ENJEKSİYON'!$F:$F=C8),0)),"")</f>
        <v/>
      </c>
    </row>
    <row r="9" spans="1:19" hidden="1" x14ac:dyDescent="0.3">
      <c r="A9" s="3">
        <v>163</v>
      </c>
      <c r="B9" s="31" t="str" cm="1">
        <f t="array" ref="B9">IFERROR(INDEX('PROSES ENJEKSİYON'!$L:$L, MATCH(1,('PROSES ENJEKSİYON'!$A:$A=$B$2)*('PROSES ENJEKSİYON'!$F:$F=A9),0)), "")</f>
        <v/>
      </c>
      <c r="C9" s="31" t="str" cm="1">
        <f t="array" ref="C9">IFERROR(INDEX('PROSES ENJEKSİYON'!$L:$L,MATCH(1,('PROSES ENJEKSİYON'!$A:$A=$C$2)*('PROSES ENJEKSİYON'!$F:$F=A9),0)),"")</f>
        <v/>
      </c>
      <c r="D9" s="31" t="str" cm="1">
        <f t="array" ref="D9">IFERROR(INDEX('PROSES ENJEKSİYON'!$L:$L,MATCH(1,('PROSES ENJEKSİYON'!$A:$A=$D$2)*('PROSES ENJEKSİYON'!$F:$F=A9),0)),"")</f>
        <v/>
      </c>
      <c r="E9" s="31" t="str" cm="1">
        <f t="array" ref="E9">IFERROR(INDEX('PROSES ENJEKSİYON'!$L:$L,MATCH(1,('PROSES ENJEKSİYON'!$A:$A=$E$2)*('PROSES ENJEKSİYON'!$F:$F=A9),0)),"")</f>
        <v/>
      </c>
      <c r="F9" s="31" t="str" cm="1">
        <f t="array" ref="F9">IFERROR(INDEX('PROSES ENJEKSİYON'!$L:$L,MATCH(1,('PROSES ENJEKSİYON'!$A:$A=$F$2)*('PROSES ENJEKSİYON'!$F:$F=A9),0)),"")</f>
        <v/>
      </c>
      <c r="G9" s="31" t="str" cm="1">
        <f t="array" ref="G9">IFERROR(INDEX('PROSES ENJEKSİYON'!$L:$L,MATCH(1,('PROSES ENJEKSİYON'!$A:$A=$G$2)*('PROSES ENJEKSİYON'!$F:$F=A9),0)),"")</f>
        <v/>
      </c>
      <c r="H9" s="34"/>
      <c r="I9" s="35" t="str" cm="1">
        <f t="array" ref="I9">IFERROR(INDEX('PROSES ENJEKSİYON'!$L:$L,MATCH(1,('PROSES ENJEKSİYON'!$A:$A=$I$2)*('PROSES ENJEKSİYON'!$F:$F=A9),0)),"")</f>
        <v/>
      </c>
      <c r="J9" s="38"/>
      <c r="K9" s="35" t="str" cm="1">
        <f t="array" ref="K9">IFERROR(INDEX('PROSES ENJEKSİYON'!$L:$L,MATCH(1,('PROSES ENJEKSİYON'!$A:$A=$K$2)*('PROSES ENJEKSİYON'!$F:$F=A9),0)),"")</f>
        <v/>
      </c>
      <c r="L9" s="38"/>
      <c r="M9" s="35" t="str" cm="1">
        <f t="array" ref="M9">IFERROR(INDEX('PROSES ENJEKSİYON'!$L:$L,MATCH(1,('PROSES ENJEKSİYON'!$A:$A=$M$2)*('PROSES ENJEKSİYON'!$F:$F=A9),0)),"")</f>
        <v/>
      </c>
      <c r="N9" s="38"/>
      <c r="O9" s="35" t="str" cm="1">
        <f t="array" ref="O9">IFERROR(INDEX('PROSES ENJEKSİYON'!$L:$L,MATCH(1,('PROSES ENJEKSİYON'!$A:$A=$O$2)*('PROSES ENJEKSİYON'!$F:$F=A9),0)),"")</f>
        <v/>
      </c>
      <c r="P9" s="38"/>
      <c r="Q9" s="35" t="str" cm="1">
        <f t="array" ref="Q9">IFERROR(INDEX('PROSES ENJEKSİYON'!$L:$L,MATCH(1,('PROSES ENJEKSİYON'!$A:$A=$Q$2)*('PROSES ENJEKSİYON'!$F:$F=A9),0)),"")</f>
        <v/>
      </c>
      <c r="R9" s="38"/>
      <c r="S9" s="35" t="str" cm="1">
        <f t="array" ref="S9">IFERROR(INDEX('PROSES ENJEKSİYON'!$L:$L,MATCH(1,('PROSES ENJEKSİYON'!$A:$A=$Q$2)*('PROSES ENJEKSİYON'!$F:$F=C9),0)),"")</f>
        <v/>
      </c>
    </row>
    <row r="10" spans="1:19" hidden="1" x14ac:dyDescent="0.3">
      <c r="A10" s="3">
        <v>164</v>
      </c>
      <c r="B10" s="31" t="str" cm="1">
        <f t="array" ref="B10">IFERROR(INDEX('PROSES ENJEKSİYON'!$L:$L, MATCH(1,('PROSES ENJEKSİYON'!$A:$A=$B$2)*('PROSES ENJEKSİYON'!$F:$F=A10),0)), "")</f>
        <v/>
      </c>
      <c r="C10" s="31" t="str" cm="1">
        <f t="array" ref="C10">IFERROR(INDEX('PROSES ENJEKSİYON'!$L:$L,MATCH(1,('PROSES ENJEKSİYON'!$A:$A=$C$2)*('PROSES ENJEKSİYON'!$F:$F=A10),0)),"")</f>
        <v/>
      </c>
      <c r="D10" s="31" t="str" cm="1">
        <f t="array" ref="D10">IFERROR(INDEX('PROSES ENJEKSİYON'!$L:$L,MATCH(1,('PROSES ENJEKSİYON'!$A:$A=$D$2)*('PROSES ENJEKSİYON'!$F:$F=A10),0)),"")</f>
        <v/>
      </c>
      <c r="E10" s="31" t="str" cm="1">
        <f t="array" ref="E10">IFERROR(INDEX('PROSES ENJEKSİYON'!$L:$L,MATCH(1,('PROSES ENJEKSİYON'!$A:$A=$E$2)*('PROSES ENJEKSİYON'!$F:$F=A10),0)),"")</f>
        <v/>
      </c>
      <c r="F10" s="31" t="str" cm="1">
        <f t="array" ref="F10">IFERROR(INDEX('PROSES ENJEKSİYON'!$L:$L,MATCH(1,('PROSES ENJEKSİYON'!$A:$A=$F$2)*('PROSES ENJEKSİYON'!$F:$F=A10),0)),"")</f>
        <v/>
      </c>
      <c r="G10" s="31" t="str" cm="1">
        <f t="array" ref="G10">IFERROR(INDEX('PROSES ENJEKSİYON'!$L:$L,MATCH(1,('PROSES ENJEKSİYON'!$A:$A=$G$2)*('PROSES ENJEKSİYON'!$F:$F=A10),0)),"")</f>
        <v/>
      </c>
      <c r="H10" s="34"/>
      <c r="I10" s="35" t="str" cm="1">
        <f t="array" ref="I10">IFERROR(INDEX('PROSES ENJEKSİYON'!$L:$L,MATCH(1,('PROSES ENJEKSİYON'!$A:$A=$I$2)*('PROSES ENJEKSİYON'!$F:$F=A10),0)),"")</f>
        <v/>
      </c>
      <c r="J10" s="38"/>
      <c r="K10" s="35" t="str" cm="1">
        <f t="array" ref="K10">IFERROR(INDEX('PROSES ENJEKSİYON'!$L:$L,MATCH(1,('PROSES ENJEKSİYON'!$A:$A=$K$2)*('PROSES ENJEKSİYON'!$F:$F=A10),0)),"")</f>
        <v/>
      </c>
      <c r="L10" s="38"/>
      <c r="M10" s="35" t="str" cm="1">
        <f t="array" ref="M10">IFERROR(INDEX('PROSES ENJEKSİYON'!$L:$L,MATCH(1,('PROSES ENJEKSİYON'!$A:$A=$M$2)*('PROSES ENJEKSİYON'!$F:$F=A10),0)),"")</f>
        <v/>
      </c>
      <c r="N10" s="38"/>
      <c r="O10" s="35" t="str" cm="1">
        <f t="array" ref="O10">IFERROR(INDEX('PROSES ENJEKSİYON'!$L:$L,MATCH(1,('PROSES ENJEKSİYON'!$A:$A=$O$2)*('PROSES ENJEKSİYON'!$F:$F=A10),0)),"")</f>
        <v/>
      </c>
      <c r="P10" s="38"/>
      <c r="Q10" s="35" t="str" cm="1">
        <f t="array" ref="Q10">IFERROR(INDEX('PROSES ENJEKSİYON'!$L:$L,MATCH(1,('PROSES ENJEKSİYON'!$A:$A=$Q$2)*('PROSES ENJEKSİYON'!$F:$F=A10),0)),"")</f>
        <v/>
      </c>
      <c r="R10" s="38"/>
      <c r="S10" s="35" t="str" cm="1">
        <f t="array" ref="S10">IFERROR(INDEX('PROSES ENJEKSİYON'!$L:$L,MATCH(1,('PROSES ENJEKSİYON'!$A:$A=$Q$2)*('PROSES ENJEKSİYON'!$F:$F=C10),0)),"")</f>
        <v/>
      </c>
    </row>
    <row r="11" spans="1:19" hidden="1" x14ac:dyDescent="0.3">
      <c r="A11" s="3">
        <v>181</v>
      </c>
      <c r="B11" s="31" t="str" cm="1">
        <f t="array" ref="B11">IFERROR(INDEX('PROSES ENJEKSİYON'!$L:$L, MATCH(1,('PROSES ENJEKSİYON'!$A:$A=$B$2)*('PROSES ENJEKSİYON'!$F:$F=A11),0)), "")</f>
        <v/>
      </c>
      <c r="C11" s="31" t="str" cm="1">
        <f t="array" ref="C11">IFERROR(INDEX('PROSES ENJEKSİYON'!$L:$L,MATCH(1,('PROSES ENJEKSİYON'!$A:$A=$C$2)*('PROSES ENJEKSİYON'!$F:$F=A11),0)),"")</f>
        <v/>
      </c>
      <c r="D11" s="31" t="str" cm="1">
        <f t="array" ref="D11">IFERROR(INDEX('PROSES ENJEKSİYON'!$L:$L,MATCH(1,('PROSES ENJEKSİYON'!$A:$A=$D$2)*('PROSES ENJEKSİYON'!$F:$F=A11),0)),"")</f>
        <v/>
      </c>
      <c r="E11" s="31" t="str" cm="1">
        <f t="array" ref="E11">IFERROR(INDEX('PROSES ENJEKSİYON'!$L:$L,MATCH(1,('PROSES ENJEKSİYON'!$A:$A=$E$2)*('PROSES ENJEKSİYON'!$F:$F=A11),0)),"")</f>
        <v/>
      </c>
      <c r="F11" s="31" t="str" cm="1">
        <f t="array" ref="F11">IFERROR(INDEX('PROSES ENJEKSİYON'!$L:$L,MATCH(1,('PROSES ENJEKSİYON'!$A:$A=$F$2)*('PROSES ENJEKSİYON'!$F:$F=A11),0)),"")</f>
        <v/>
      </c>
      <c r="G11" s="31" t="str" cm="1">
        <f t="array" ref="G11">IFERROR(INDEX('PROSES ENJEKSİYON'!$L:$L,MATCH(1,('PROSES ENJEKSİYON'!$A:$A=$G$2)*('PROSES ENJEKSİYON'!$F:$F=A11),0)),"")</f>
        <v/>
      </c>
      <c r="H11" s="34"/>
      <c r="I11" s="35" t="str" cm="1">
        <f t="array" ref="I11">IFERROR(INDEX('PROSES ENJEKSİYON'!$L:$L,MATCH(1,('PROSES ENJEKSİYON'!$A:$A=$I$2)*('PROSES ENJEKSİYON'!$F:$F=A11),0)),"")</f>
        <v/>
      </c>
      <c r="J11" s="38"/>
      <c r="K11" s="35" t="str" cm="1">
        <f t="array" ref="K11">IFERROR(INDEX('PROSES ENJEKSİYON'!$L:$L,MATCH(1,('PROSES ENJEKSİYON'!$A:$A=$K$2)*('PROSES ENJEKSİYON'!$F:$F=A11),0)),"")</f>
        <v/>
      </c>
      <c r="L11" s="38"/>
      <c r="M11" s="35" t="str" cm="1">
        <f t="array" ref="M11">IFERROR(INDEX('PROSES ENJEKSİYON'!$L:$L,MATCH(1,('PROSES ENJEKSİYON'!$A:$A=$M$2)*('PROSES ENJEKSİYON'!$F:$F=A11),0)),"")</f>
        <v/>
      </c>
      <c r="N11" s="38"/>
      <c r="O11" s="35" t="str" cm="1">
        <f t="array" ref="O11">IFERROR(INDEX('PROSES ENJEKSİYON'!$L:$L,MATCH(1,('PROSES ENJEKSİYON'!$A:$A=$O$2)*('PROSES ENJEKSİYON'!$F:$F=A11),0)),"")</f>
        <v/>
      </c>
      <c r="P11" s="38"/>
      <c r="Q11" s="35" t="str" cm="1">
        <f t="array" ref="Q11">IFERROR(INDEX('PROSES ENJEKSİYON'!$L:$L,MATCH(1,('PROSES ENJEKSİYON'!$A:$A=$Q$2)*('PROSES ENJEKSİYON'!$F:$F=A11),0)),"")</f>
        <v/>
      </c>
      <c r="R11" s="38"/>
      <c r="S11" s="35" t="str" cm="1">
        <f t="array" ref="S11">IFERROR(INDEX('PROSES ENJEKSİYON'!$L:$L,MATCH(1,('PROSES ENJEKSİYON'!$A:$A=$Q$2)*('PROSES ENJEKSİYON'!$F:$F=C11),0)),"")</f>
        <v/>
      </c>
    </row>
    <row r="12" spans="1:19" hidden="1" x14ac:dyDescent="0.3">
      <c r="A12" s="3">
        <v>182</v>
      </c>
      <c r="B12" s="31" t="str" cm="1">
        <f t="array" ref="B12">IFERROR(INDEX('PROSES ENJEKSİYON'!$L:$L, MATCH(1,('PROSES ENJEKSİYON'!$A:$A=$B$2)*('PROSES ENJEKSİYON'!$F:$F=A12),0)), "")</f>
        <v/>
      </c>
      <c r="C12" s="31" t="str" cm="1">
        <f t="array" ref="C12">IFERROR(INDEX('PROSES ENJEKSİYON'!$L:$L,MATCH(1,('PROSES ENJEKSİYON'!$A:$A=$C$2)*('PROSES ENJEKSİYON'!$F:$F=A12),0)),"")</f>
        <v/>
      </c>
      <c r="D12" s="31" t="str" cm="1">
        <f t="array" ref="D12">IFERROR(INDEX('PROSES ENJEKSİYON'!$L:$L,MATCH(1,('PROSES ENJEKSİYON'!$A:$A=$D$2)*('PROSES ENJEKSİYON'!$F:$F=A12),0)),"")</f>
        <v/>
      </c>
      <c r="E12" s="31" t="str" cm="1">
        <f t="array" ref="E12">IFERROR(INDEX('PROSES ENJEKSİYON'!$L:$L,MATCH(1,('PROSES ENJEKSİYON'!$A:$A=$E$2)*('PROSES ENJEKSİYON'!$F:$F=A12),0)),"")</f>
        <v/>
      </c>
      <c r="F12" s="31" t="str" cm="1">
        <f t="array" ref="F12">IFERROR(INDEX('PROSES ENJEKSİYON'!$L:$L,MATCH(1,('PROSES ENJEKSİYON'!$A:$A=$F$2)*('PROSES ENJEKSİYON'!$F:$F=A12),0)),"")</f>
        <v/>
      </c>
      <c r="G12" s="31" t="str" cm="1">
        <f t="array" ref="G12">IFERROR(INDEX('PROSES ENJEKSİYON'!$L:$L,MATCH(1,('PROSES ENJEKSİYON'!$A:$A=$G$2)*('PROSES ENJEKSİYON'!$F:$F=A12),0)),"")</f>
        <v/>
      </c>
      <c r="H12" s="34"/>
      <c r="I12" s="35" t="str" cm="1">
        <f t="array" ref="I12">IFERROR(INDEX('PROSES ENJEKSİYON'!$L:$L,MATCH(1,('PROSES ENJEKSİYON'!$A:$A=$I$2)*('PROSES ENJEKSİYON'!$F:$F=A12),0)),"")</f>
        <v/>
      </c>
      <c r="J12" s="38"/>
      <c r="K12" s="35" t="str" cm="1">
        <f t="array" ref="K12">IFERROR(INDEX('PROSES ENJEKSİYON'!$L:$L,MATCH(1,('PROSES ENJEKSİYON'!$A:$A=$K$2)*('PROSES ENJEKSİYON'!$F:$F=A12),0)),"")</f>
        <v/>
      </c>
      <c r="L12" s="38"/>
      <c r="M12" s="35" t="str" cm="1">
        <f t="array" ref="M12">IFERROR(INDEX('PROSES ENJEKSİYON'!$L:$L,MATCH(1,('PROSES ENJEKSİYON'!$A:$A=$M$2)*('PROSES ENJEKSİYON'!$F:$F=A12),0)),"")</f>
        <v/>
      </c>
      <c r="N12" s="38"/>
      <c r="O12" s="35" t="str" cm="1">
        <f t="array" ref="O12">IFERROR(INDEX('PROSES ENJEKSİYON'!$L:$L,MATCH(1,('PROSES ENJEKSİYON'!$A:$A=$O$2)*('PROSES ENJEKSİYON'!$F:$F=A12),0)),"")</f>
        <v/>
      </c>
      <c r="P12" s="38"/>
      <c r="Q12" s="35" t="str" cm="1">
        <f t="array" ref="Q12">IFERROR(INDEX('PROSES ENJEKSİYON'!$L:$L,MATCH(1,('PROSES ENJEKSİYON'!$A:$A=$Q$2)*('PROSES ENJEKSİYON'!$F:$F=A12),0)),"")</f>
        <v/>
      </c>
      <c r="R12" s="38"/>
      <c r="S12" s="35" t="str" cm="1">
        <f t="array" ref="S12">IFERROR(INDEX('PROSES ENJEKSİYON'!$L:$L,MATCH(1,('PROSES ENJEKSİYON'!$A:$A=$Q$2)*('PROSES ENJEKSİYON'!$F:$F=C12),0)),"")</f>
        <v/>
      </c>
    </row>
    <row r="13" spans="1:19" ht="27.6" customHeight="1" x14ac:dyDescent="0.3">
      <c r="A13" s="3">
        <v>401</v>
      </c>
      <c r="B13" s="31" t="str" cm="1">
        <f t="array" ref="B13">IFERROR(INDEX('PROSES ENJEKSİYON'!$L:$L, MATCH(1,('PROSES ENJEKSİYON'!$A:$A=$B$2)*('PROSES ENJEKSİYON'!$F:$F=A13),0)), "")</f>
        <v/>
      </c>
      <c r="C13" s="31" t="str" cm="1">
        <f t="array" ref="C13">IFERROR(INDEX('PROSES ENJEKSİYON'!$L:$L,MATCH(1,('PROSES ENJEKSİYON'!$A:$A=$C$2)*('PROSES ENJEKSİYON'!$F:$F=A13),0)),"")</f>
        <v/>
      </c>
      <c r="D13" s="31" t="str" cm="1">
        <f t="array" ref="D13">IFERROR(INDEX('PROSES ENJEKSİYON'!$L:$L,MATCH(1,('PROSES ENJEKSİYON'!$A:$A=$D$2)*('PROSES ENJEKSİYON'!$F:$F=A13),0)),"")</f>
        <v/>
      </c>
      <c r="E13" s="31" t="str" cm="1">
        <f t="array" ref="E13">IFERROR(INDEX('PROSES ENJEKSİYON'!$L:$L,MATCH(1,('PROSES ENJEKSİYON'!$A:$A=$E$2)*('PROSES ENJEKSİYON'!$F:$F=A13),0)),"")</f>
        <v/>
      </c>
      <c r="F13" s="31" t="str" cm="1">
        <f t="array" ref="F13">IFERROR(INDEX('PROSES ENJEKSİYON'!$L:$L,MATCH(1,('PROSES ENJEKSİYON'!$A:$A=$F$2)*('PROSES ENJEKSİYON'!$F:$F=A13),0)),"")</f>
        <v/>
      </c>
      <c r="G13" s="31" t="str" cm="1">
        <f t="array" ref="G13">IFERROR(INDEX('PROSES ENJEKSİYON'!$L:$L,MATCH(1,('PROSES ENJEKSİYON'!$A:$A=$G$2)*('PROSES ENJEKSİYON'!$F:$F=A13),0)),"")</f>
        <v/>
      </c>
      <c r="H13" s="34" t="str" cm="1">
        <f t="array" ref="H13">IFERROR(INDEX('PROSES ENJEKSİYON'!$G:$G,MATCH(1,('PROSES ENJEKSİYON'!$A:$A=$H$2)*('PROSES ENJEKSİYON'!$F:$F=A13),0)),"")</f>
        <v/>
      </c>
      <c r="I13" s="35" t="str" cm="1">
        <f t="array" ref="I13">IFERROR(INDEX('PROSES ENJEKSİYON'!$L:$L,MATCH(1,('PROSES ENJEKSİYON'!$A:$A=$I$2)*('PROSES ENJEKSİYON'!$F:$F=A13),0)),"")</f>
        <v/>
      </c>
      <c r="J13" s="34" t="str" cm="1">
        <f t="array" ref="J13">IFERROR(INDEX('PROSES ENJEKSİYON'!$G:$G,MATCH(1,('PROSES ENJEKSİYON'!$A:$A=$J$2)*('PROSES ENJEKSİYON'!$F:$F=A13),0)),"")</f>
        <v/>
      </c>
      <c r="K13" s="35" t="str" cm="1">
        <f t="array" ref="K13">IFERROR(INDEX('PROSES ENJEKSİYON'!$L:$L,MATCH(1,('PROSES ENJEKSİYON'!$A:$A=$K$2)*('PROSES ENJEKSİYON'!$F:$F=A13),0)),"")</f>
        <v/>
      </c>
      <c r="L13" s="34" t="str" cm="1">
        <f t="array" ref="L13">IFERROR(INDEX('PROSES ENJEKSİYON'!$G:$G,MATCH(1,('PROSES ENJEKSİYON'!$A:$A=$L$2)*('PROSES ENJEKSİYON'!$F:$F=A13),0)),"")</f>
        <v/>
      </c>
      <c r="M13" s="35" t="str" cm="1">
        <f t="array" ref="M13">IFERROR(INDEX('PROSES ENJEKSİYON'!$L:$L,MATCH(1,('PROSES ENJEKSİYON'!$A:$A=$M$2)*('PROSES ENJEKSİYON'!$F:$F=A13),0)),"")</f>
        <v/>
      </c>
      <c r="N13" s="34" t="str" cm="1">
        <f t="array" ref="N13">IFERROR(INDEX('PROSES ENJEKSİYON'!$G:$G,MATCH(1,('PROSES ENJEKSİYON'!$A:$A=$N$2)*('PROSES ENJEKSİYON'!$F:$F=A13),0)),"")</f>
        <v/>
      </c>
      <c r="O13" s="35" t="str" cm="1">
        <f t="array" ref="O13">IFERROR(INDEX('PROSES ENJEKSİYON'!$L:$L,MATCH(1,('PROSES ENJEKSİYON'!$A:$A=$O$2)*('PROSES ENJEKSİYON'!$F:$F=A13),0)),"")</f>
        <v/>
      </c>
      <c r="P13" s="34" t="str" cm="1">
        <f t="array" ref="P13">IFERROR(INDEX('PROSES ENJEKSİYON'!$G:$G,MATCH(1,('PROSES ENJEKSİYON'!$A:$A=$P$2)*('PROSES ENJEKSİYON'!$F:$F=A13),0)),"")</f>
        <v/>
      </c>
      <c r="Q13" s="35" t="str" cm="1">
        <f t="array" ref="Q13">IFERROR(INDEX('PROSES ENJEKSİYON'!$L:$L,MATCH(1,('PROSES ENJEKSİYON'!$A:$A=$Q$2)*('PROSES ENJEKSİYON'!$F:$F=A13),0)),"")</f>
        <v/>
      </c>
      <c r="R13" s="34" t="str" cm="1">
        <f t="array" ref="R13">IFERROR(INDEX('PROSES ENJEKSİYON'!$G:$G,MATCH(1,('PROSES ENJEKSİYON'!$A:$A=$R$2)*('PROSES ENJEKSİYON'!$F:$F=C13),0)),"")</f>
        <v/>
      </c>
      <c r="S13" s="35" t="str" cm="1">
        <f t="array" ref="S13">IFERROR(INDEX('PROSES ENJEKSİYON'!$L:$L,MATCH(1,('PROSES ENJEKSİYON'!$A:$A=$S$2)*('PROSES ENJEKSİYON'!$F:$F=C13),0)),"")</f>
        <v/>
      </c>
    </row>
    <row r="14" spans="1:19" ht="27.6" customHeight="1" x14ac:dyDescent="0.3">
      <c r="A14" s="3">
        <v>402</v>
      </c>
      <c r="B14" s="31" t="str" cm="1">
        <f t="array" ref="B14">IFERROR(INDEX('PROSES ENJEKSİYON'!$L:$L, MATCH(1,('PROSES ENJEKSİYON'!$A:$A=$B$2)*('PROSES ENJEKSİYON'!$F:$F=A14),0)), "")</f>
        <v/>
      </c>
      <c r="C14" s="31" t="str" cm="1">
        <f t="array" ref="C14">IFERROR(INDEX('PROSES ENJEKSİYON'!$L:$L,MATCH(1,('PROSES ENJEKSİYON'!$A:$A=$C$2)*('PROSES ENJEKSİYON'!$F:$F=A14),0)),"")</f>
        <v/>
      </c>
      <c r="D14" s="31" t="str" cm="1">
        <f t="array" ref="D14">IFERROR(INDEX('PROSES ENJEKSİYON'!$L:$L,MATCH(1,('PROSES ENJEKSİYON'!$A:$A=$D$2)*('PROSES ENJEKSİYON'!$F:$F=A14),0)),"")</f>
        <v/>
      </c>
      <c r="E14" s="31" t="str" cm="1">
        <f t="array" ref="E14">IFERROR(INDEX('PROSES ENJEKSİYON'!$L:$L,MATCH(1,('PROSES ENJEKSİYON'!$A:$A=$E$2)*('PROSES ENJEKSİYON'!$F:$F=A14),0)),"")</f>
        <v/>
      </c>
      <c r="F14" s="31" t="str" cm="1">
        <f t="array" ref="F14">IFERROR(INDEX('PROSES ENJEKSİYON'!$L:$L,MATCH(1,('PROSES ENJEKSİYON'!$A:$A=$F$2)*('PROSES ENJEKSİYON'!$F:$F=A14),0)),"")</f>
        <v/>
      </c>
      <c r="G14" s="31" t="str" cm="1">
        <f t="array" ref="G14">IFERROR(INDEX('PROSES ENJEKSİYON'!$L:$L,MATCH(1,('PROSES ENJEKSİYON'!$A:$A=$G$2)*('PROSES ENJEKSİYON'!$F:$F=A14),0)),"")</f>
        <v/>
      </c>
      <c r="H14" s="34" t="str" cm="1">
        <f t="array" ref="H14">IFERROR(INDEX('PROSES ENJEKSİYON'!$G:$G,MATCH(1,('PROSES ENJEKSİYON'!$A:$A=$H$2)*('PROSES ENJEKSİYON'!$F:$F=A14),0)),"")</f>
        <v/>
      </c>
      <c r="I14" s="35" t="str" cm="1">
        <f t="array" ref="I14">IFERROR(INDEX('PROSES ENJEKSİYON'!$L:$L,MATCH(1,('PROSES ENJEKSİYON'!$A:$A=$I$2)*('PROSES ENJEKSİYON'!$F:$F=A14),0)),"")</f>
        <v/>
      </c>
      <c r="J14" s="34" t="str" cm="1">
        <f t="array" ref="J14">IFERROR(INDEX('PROSES ENJEKSİYON'!$G:$G,MATCH(1,('PROSES ENJEKSİYON'!$A:$A=$J$2)*('PROSES ENJEKSİYON'!$F:$F=A14),0)),"")</f>
        <v/>
      </c>
      <c r="K14" s="35" t="str" cm="1">
        <f t="array" ref="K14">IFERROR(INDEX('PROSES ENJEKSİYON'!$L:$L,MATCH(1,('PROSES ENJEKSİYON'!$A:$A=$K$2)*('PROSES ENJEKSİYON'!$F:$F=A14),0)),"")</f>
        <v/>
      </c>
      <c r="L14" s="34" t="str" cm="1">
        <f t="array" ref="L14">IFERROR(INDEX('PROSES ENJEKSİYON'!$G:$G,MATCH(1,('PROSES ENJEKSİYON'!$A:$A=$L$2)*('PROSES ENJEKSİYON'!$F:$F=A14),0)),"")</f>
        <v/>
      </c>
      <c r="M14" s="35" t="str" cm="1">
        <f t="array" ref="M14">IFERROR(INDEX('PROSES ENJEKSİYON'!$L:$L,MATCH(1,('PROSES ENJEKSİYON'!$A:$A=$M$2)*('PROSES ENJEKSİYON'!$F:$F=A14),0)),"")</f>
        <v/>
      </c>
      <c r="N14" s="34" t="str" cm="1">
        <f t="array" ref="N14">IFERROR(INDEX('PROSES ENJEKSİYON'!$G:$G,MATCH(1,('PROSES ENJEKSİYON'!$A:$A=$N$2)*('PROSES ENJEKSİYON'!$F:$F=A14),0)),"")</f>
        <v/>
      </c>
      <c r="O14" s="35" t="str" cm="1">
        <f t="array" ref="O14">IFERROR(INDEX('PROSES ENJEKSİYON'!$L:$L,MATCH(1,('PROSES ENJEKSİYON'!$A:$A=$O$2)*('PROSES ENJEKSİYON'!$F:$F=A14),0)),"")</f>
        <v/>
      </c>
      <c r="P14" s="34" t="str" cm="1">
        <f t="array" ref="P14">IFERROR(INDEX('PROSES ENJEKSİYON'!$G:$G,MATCH(1,('PROSES ENJEKSİYON'!$A:$A=$P$2)*('PROSES ENJEKSİYON'!$F:$F=A14),0)),"")</f>
        <v/>
      </c>
      <c r="Q14" s="35" t="str" cm="1">
        <f t="array" ref="Q14">IFERROR(INDEX('PROSES ENJEKSİYON'!$L:$L,MATCH(1,('PROSES ENJEKSİYON'!$A:$A=$Q$2)*('PROSES ENJEKSİYON'!$F:$F=A14),0)),"")</f>
        <v/>
      </c>
      <c r="R14" s="34" t="str" cm="1">
        <f t="array" ref="R14">IFERROR(INDEX('PROSES ENJEKSİYON'!$G:$G,MATCH(1,('PROSES ENJEKSİYON'!$A:$A=$R$2)*('PROSES ENJEKSİYON'!$F:$F=C14),0)),"")</f>
        <v/>
      </c>
      <c r="S14" s="35" t="str" cm="1">
        <f t="array" ref="S14">IFERROR(INDEX('PROSES ENJEKSİYON'!$L:$L,MATCH(1,('PROSES ENJEKSİYON'!$A:$A=$S$2)*('PROSES ENJEKSİYON'!$F:$F=C14),0)),"")</f>
        <v/>
      </c>
    </row>
    <row r="15" spans="1:19" ht="27.6" customHeight="1" x14ac:dyDescent="0.3">
      <c r="A15" s="3">
        <v>403</v>
      </c>
      <c r="B15" s="31" t="str" cm="1">
        <f t="array" ref="B15">IFERROR(INDEX('PROSES ENJEKSİYON'!$L:$L, MATCH(1,('PROSES ENJEKSİYON'!$A:$A=$B$2)*('PROSES ENJEKSİYON'!$F:$F=A15),0)), "")</f>
        <v/>
      </c>
      <c r="C15" s="31" t="str" cm="1">
        <f t="array" ref="C15">IFERROR(INDEX('PROSES ENJEKSİYON'!$L:$L,MATCH(1,('PROSES ENJEKSİYON'!$A:$A=$C$2)*('PROSES ENJEKSİYON'!$F:$F=A15),0)),"")</f>
        <v/>
      </c>
      <c r="D15" s="31" t="str" cm="1">
        <f t="array" ref="D15">IFERROR(INDEX('PROSES ENJEKSİYON'!$L:$L,MATCH(1,('PROSES ENJEKSİYON'!$A:$A=$D$2)*('PROSES ENJEKSİYON'!$F:$F=A15),0)),"")</f>
        <v/>
      </c>
      <c r="E15" s="31" t="str" cm="1">
        <f t="array" ref="E15">IFERROR(INDEX('PROSES ENJEKSİYON'!$L:$L,MATCH(1,('PROSES ENJEKSİYON'!$A:$A=$E$2)*('PROSES ENJEKSİYON'!$F:$F=A15),0)),"")</f>
        <v/>
      </c>
      <c r="F15" s="31" t="str" cm="1">
        <f t="array" ref="F15">IFERROR(INDEX('PROSES ENJEKSİYON'!$L:$L,MATCH(1,('PROSES ENJEKSİYON'!$A:$A=$F$2)*('PROSES ENJEKSİYON'!$F:$F=A15),0)),"")</f>
        <v/>
      </c>
      <c r="G15" s="31" t="str" cm="1">
        <f t="array" ref="G15">IFERROR(INDEX('PROSES ENJEKSİYON'!$L:$L,MATCH(1,('PROSES ENJEKSİYON'!$A:$A=$G$2)*('PROSES ENJEKSİYON'!$F:$F=A15),0)),"")</f>
        <v/>
      </c>
      <c r="H15" s="34" t="str" cm="1">
        <f t="array" ref="H15">IFERROR(INDEX('PROSES ENJEKSİYON'!$G:$G,MATCH(1,('PROSES ENJEKSİYON'!$A:$A=$H$2)*('PROSES ENJEKSİYON'!$F:$F=A15),0)),"")</f>
        <v/>
      </c>
      <c r="I15" s="35" t="str" cm="1">
        <f t="array" ref="I15">IFERROR(INDEX('PROSES ENJEKSİYON'!$L:$L,MATCH(1,('PROSES ENJEKSİYON'!$A:$A=$I$2)*('PROSES ENJEKSİYON'!$F:$F=A15),0)),"")</f>
        <v/>
      </c>
      <c r="J15" s="34" t="str" cm="1">
        <f t="array" ref="J15">IFERROR(INDEX('PROSES ENJEKSİYON'!$G:$G,MATCH(1,('PROSES ENJEKSİYON'!$A:$A=$J$2)*('PROSES ENJEKSİYON'!$F:$F=A15),0)),"")</f>
        <v/>
      </c>
      <c r="K15" s="35" t="str" cm="1">
        <f t="array" ref="K15">IFERROR(INDEX('PROSES ENJEKSİYON'!$L:$L,MATCH(1,('PROSES ENJEKSİYON'!$A:$A=$K$2)*('PROSES ENJEKSİYON'!$F:$F=A15),0)),"")</f>
        <v/>
      </c>
      <c r="L15" s="34" t="str" cm="1">
        <f t="array" ref="L15">IFERROR(INDEX('PROSES ENJEKSİYON'!$G:$G,MATCH(1,('PROSES ENJEKSİYON'!$A:$A=$L$2)*('PROSES ENJEKSİYON'!$F:$F=A15),0)),"")</f>
        <v/>
      </c>
      <c r="M15" s="35" t="str" cm="1">
        <f t="array" ref="M15">IFERROR(INDEX('PROSES ENJEKSİYON'!$L:$L,MATCH(1,('PROSES ENJEKSİYON'!$A:$A=$M$2)*('PROSES ENJEKSİYON'!$F:$F=A15),0)),"")</f>
        <v/>
      </c>
      <c r="N15" s="34" t="str" cm="1">
        <f t="array" ref="N15">IFERROR(INDEX('PROSES ENJEKSİYON'!$G:$G,MATCH(1,('PROSES ENJEKSİYON'!$A:$A=$N$2)*('PROSES ENJEKSİYON'!$F:$F=A15),0)),"")</f>
        <v/>
      </c>
      <c r="O15" s="35" t="str" cm="1">
        <f t="array" ref="O15">IFERROR(INDEX('PROSES ENJEKSİYON'!$L:$L,MATCH(1,('PROSES ENJEKSİYON'!$A:$A=$O$2)*('PROSES ENJEKSİYON'!$F:$F=A15),0)),"")</f>
        <v/>
      </c>
      <c r="P15" s="34" t="str" cm="1">
        <f t="array" ref="P15">IFERROR(INDEX('PROSES ENJEKSİYON'!$G:$G,MATCH(1,('PROSES ENJEKSİYON'!$A:$A=$P$2)*('PROSES ENJEKSİYON'!$F:$F=A15),0)),"")</f>
        <v/>
      </c>
      <c r="Q15" s="35" t="str" cm="1">
        <f t="array" ref="Q15">IFERROR(INDEX('PROSES ENJEKSİYON'!$L:$L,MATCH(1,('PROSES ENJEKSİYON'!$A:$A=$Q$2)*('PROSES ENJEKSİYON'!$F:$F=A15),0)),"")</f>
        <v/>
      </c>
      <c r="R15" s="34" t="str" cm="1">
        <f t="array" ref="R15">IFERROR(INDEX('PROSES ENJEKSİYON'!$G:$G,MATCH(1,('PROSES ENJEKSİYON'!$A:$A=$R$2)*('PROSES ENJEKSİYON'!$F:$F=C15),0)),"")</f>
        <v/>
      </c>
      <c r="S15" s="35" t="str" cm="1">
        <f t="array" ref="S15">IFERROR(INDEX('PROSES ENJEKSİYON'!$L:$L,MATCH(1,('PROSES ENJEKSİYON'!$A:$A=$S$2)*('PROSES ENJEKSİYON'!$F:$F=C15),0)),"")</f>
        <v/>
      </c>
    </row>
    <row r="16" spans="1:19" ht="27.6" customHeight="1" x14ac:dyDescent="0.3">
      <c r="A16" s="3">
        <v>404</v>
      </c>
      <c r="B16" s="31" t="str" cm="1">
        <f t="array" ref="B16">IFERROR(INDEX('PROSES ENJEKSİYON'!$L:$L, MATCH(1,('PROSES ENJEKSİYON'!$A:$A=$B$2)*('PROSES ENJEKSİYON'!$F:$F=A16),0)), "")</f>
        <v/>
      </c>
      <c r="C16" s="31" t="str" cm="1">
        <f t="array" ref="C16">IFERROR(INDEX('PROSES ENJEKSİYON'!$L:$L,MATCH(1,('PROSES ENJEKSİYON'!$A:$A=$C$2)*('PROSES ENJEKSİYON'!$F:$F=A16),0)),"")</f>
        <v/>
      </c>
      <c r="D16" s="31" t="str" cm="1">
        <f t="array" ref="D16">IFERROR(INDEX('PROSES ENJEKSİYON'!$L:$L,MATCH(1,('PROSES ENJEKSİYON'!$A:$A=$D$2)*('PROSES ENJEKSİYON'!$F:$F=A16),0)),"")</f>
        <v/>
      </c>
      <c r="E16" s="31" t="str" cm="1">
        <f t="array" ref="E16">IFERROR(INDEX('PROSES ENJEKSİYON'!$L:$L,MATCH(1,('PROSES ENJEKSİYON'!$A:$A=$E$2)*('PROSES ENJEKSİYON'!$F:$F=A16),0)),"")</f>
        <v/>
      </c>
      <c r="F16" s="31" t="str" cm="1">
        <f t="array" ref="F16">IFERROR(INDEX('PROSES ENJEKSİYON'!$L:$L,MATCH(1,('PROSES ENJEKSİYON'!$A:$A=$F$2)*('PROSES ENJEKSİYON'!$F:$F=A16),0)),"")</f>
        <v/>
      </c>
      <c r="G16" s="31" t="str" cm="1">
        <f t="array" ref="G16">IFERROR(INDEX('PROSES ENJEKSİYON'!$L:$L,MATCH(1,('PROSES ENJEKSİYON'!$A:$A=$G$2)*('PROSES ENJEKSİYON'!$F:$F=A16),0)),"")</f>
        <v/>
      </c>
      <c r="H16" s="34" t="str" cm="1">
        <f t="array" ref="H16">IFERROR(INDEX('PROSES ENJEKSİYON'!$G:$G,MATCH(1,('PROSES ENJEKSİYON'!$A:$A=$H$2)*('PROSES ENJEKSİYON'!$F:$F=A16),0)),"")</f>
        <v/>
      </c>
      <c r="I16" s="35" t="str" cm="1">
        <f t="array" ref="I16">IFERROR(INDEX('PROSES ENJEKSİYON'!$L:$L,MATCH(1,('PROSES ENJEKSİYON'!$A:$A=$I$2)*('PROSES ENJEKSİYON'!$F:$F=A16),0)),"")</f>
        <v/>
      </c>
      <c r="J16" s="34" t="str" cm="1">
        <f t="array" ref="J16">IFERROR(INDEX('PROSES ENJEKSİYON'!$G:$G,MATCH(1,('PROSES ENJEKSİYON'!$A:$A=$J$2)*('PROSES ENJEKSİYON'!$F:$F=A16),0)),"")</f>
        <v/>
      </c>
      <c r="K16" s="35" t="str" cm="1">
        <f t="array" ref="K16">IFERROR(INDEX('PROSES ENJEKSİYON'!$L:$L,MATCH(1,('PROSES ENJEKSİYON'!$A:$A=$K$2)*('PROSES ENJEKSİYON'!$F:$F=A16),0)),"")</f>
        <v/>
      </c>
      <c r="L16" s="34" t="str" cm="1">
        <f t="array" ref="L16">IFERROR(INDEX('PROSES ENJEKSİYON'!$G:$G,MATCH(1,('PROSES ENJEKSİYON'!$A:$A=$L$2)*('PROSES ENJEKSİYON'!$F:$F=A16),0)),"")</f>
        <v/>
      </c>
      <c r="M16" s="35" t="str" cm="1">
        <f t="array" ref="M16">IFERROR(INDEX('PROSES ENJEKSİYON'!$L:$L,MATCH(1,('PROSES ENJEKSİYON'!$A:$A=$M$2)*('PROSES ENJEKSİYON'!$F:$F=A16),0)),"")</f>
        <v/>
      </c>
      <c r="N16" s="34" t="str" cm="1">
        <f t="array" ref="N16">IFERROR(INDEX('PROSES ENJEKSİYON'!$G:$G,MATCH(1,('PROSES ENJEKSİYON'!$A:$A=$N$2)*('PROSES ENJEKSİYON'!$F:$F=A16),0)),"")</f>
        <v/>
      </c>
      <c r="O16" s="35" t="str" cm="1">
        <f t="array" ref="O16">IFERROR(INDEX('PROSES ENJEKSİYON'!$L:$L,MATCH(1,('PROSES ENJEKSİYON'!$A:$A=$O$2)*('PROSES ENJEKSİYON'!$F:$F=A16),0)),"")</f>
        <v/>
      </c>
      <c r="P16" s="34" t="str" cm="1">
        <f t="array" ref="P16">IFERROR(INDEX('PROSES ENJEKSİYON'!$G:$G,MATCH(1,('PROSES ENJEKSİYON'!$A:$A=$P$2)*('PROSES ENJEKSİYON'!$F:$F=A16),0)),"")</f>
        <v/>
      </c>
      <c r="Q16" s="35" t="str" cm="1">
        <f t="array" ref="Q16">IFERROR(INDEX('PROSES ENJEKSİYON'!$L:$L,MATCH(1,('PROSES ENJEKSİYON'!$A:$A=$Q$2)*('PROSES ENJEKSİYON'!$F:$F=A16),0)),"")</f>
        <v/>
      </c>
      <c r="R16" s="34" t="str" cm="1">
        <f t="array" ref="R16">IFERROR(INDEX('PROSES ENJEKSİYON'!$G:$G,MATCH(1,('PROSES ENJEKSİYON'!$A:$A=$R$2)*('PROSES ENJEKSİYON'!$F:$F=C16),0)),"")</f>
        <v/>
      </c>
      <c r="S16" s="35" t="str" cm="1">
        <f t="array" ref="S16">IFERROR(INDEX('PROSES ENJEKSİYON'!$L:$L,MATCH(1,('PROSES ENJEKSİYON'!$A:$A=$S$2)*('PROSES ENJEKSİYON'!$F:$F=C16),0)),"")</f>
        <v/>
      </c>
    </row>
    <row r="17" spans="1:19" ht="27.6" customHeight="1" x14ac:dyDescent="0.3">
      <c r="A17" s="3">
        <v>405</v>
      </c>
      <c r="B17" s="31" t="str" cm="1">
        <f t="array" ref="B17">IFERROR(INDEX('PROSES ENJEKSİYON'!$L:$L, MATCH(1,('PROSES ENJEKSİYON'!$A:$A=$B$2)*('PROSES ENJEKSİYON'!$F:$F=A17),0)), "")</f>
        <v/>
      </c>
      <c r="C17" s="31" t="str" cm="1">
        <f t="array" ref="C17">IFERROR(INDEX('PROSES ENJEKSİYON'!$L:$L,MATCH(1,('PROSES ENJEKSİYON'!$A:$A=$C$2)*('PROSES ENJEKSİYON'!$F:$F=A17),0)),"")</f>
        <v/>
      </c>
      <c r="D17" s="31" t="str" cm="1">
        <f t="array" ref="D17">IFERROR(INDEX('PROSES ENJEKSİYON'!$L:$L,MATCH(1,('PROSES ENJEKSİYON'!$A:$A=$D$2)*('PROSES ENJEKSİYON'!$F:$F=A17),0)),"")</f>
        <v/>
      </c>
      <c r="E17" s="31" t="str" cm="1">
        <f t="array" ref="E17">IFERROR(INDEX('PROSES ENJEKSİYON'!$L:$L,MATCH(1,('PROSES ENJEKSİYON'!$A:$A=$E$2)*('PROSES ENJEKSİYON'!$F:$F=A17),0)),"")</f>
        <v/>
      </c>
      <c r="F17" s="31" t="str" cm="1">
        <f t="array" ref="F17">IFERROR(INDEX('PROSES ENJEKSİYON'!$L:$L,MATCH(1,('PROSES ENJEKSİYON'!$A:$A=$F$2)*('PROSES ENJEKSİYON'!$F:$F=A17),0)),"")</f>
        <v/>
      </c>
      <c r="G17" s="31" t="str" cm="1">
        <f t="array" ref="G17">IFERROR(INDEX('PROSES ENJEKSİYON'!$L:$L,MATCH(1,('PROSES ENJEKSİYON'!$A:$A=$G$2)*('PROSES ENJEKSİYON'!$F:$F=A17),0)),"")</f>
        <v/>
      </c>
      <c r="H17" s="34" t="str" cm="1">
        <f t="array" ref="H17">IFERROR(INDEX('PROSES ENJEKSİYON'!$G:$G,MATCH(1,('PROSES ENJEKSİYON'!$A:$A=$H$2)*('PROSES ENJEKSİYON'!$F:$F=A17),0)),"")</f>
        <v/>
      </c>
      <c r="I17" s="35" t="str" cm="1">
        <f t="array" ref="I17">IFERROR(INDEX('PROSES ENJEKSİYON'!$L:$L,MATCH(1,('PROSES ENJEKSİYON'!$A:$A=$I$2)*('PROSES ENJEKSİYON'!$F:$F=A17),0)),"")</f>
        <v/>
      </c>
      <c r="J17" s="34" t="str" cm="1">
        <f t="array" ref="J17">IFERROR(INDEX('PROSES ENJEKSİYON'!$G:$G,MATCH(1,('PROSES ENJEKSİYON'!$A:$A=$J$2)*('PROSES ENJEKSİYON'!$F:$F=A17),0)),"")</f>
        <v/>
      </c>
      <c r="K17" s="35" t="str" cm="1">
        <f t="array" ref="K17">IFERROR(INDEX('PROSES ENJEKSİYON'!$L:$L,MATCH(1,('PROSES ENJEKSİYON'!$A:$A=$K$2)*('PROSES ENJEKSİYON'!$F:$F=A17),0)),"")</f>
        <v/>
      </c>
      <c r="L17" s="34" t="str" cm="1">
        <f t="array" ref="L17">IFERROR(INDEX('PROSES ENJEKSİYON'!$G:$G,MATCH(1,('PROSES ENJEKSİYON'!$A:$A=$L$2)*('PROSES ENJEKSİYON'!$F:$F=A17),0)),"")</f>
        <v/>
      </c>
      <c r="M17" s="35" t="str" cm="1">
        <f t="array" ref="M17">IFERROR(INDEX('PROSES ENJEKSİYON'!$L:$L,MATCH(1,('PROSES ENJEKSİYON'!$A:$A=$M$2)*('PROSES ENJEKSİYON'!$F:$F=A17),0)),"")</f>
        <v/>
      </c>
      <c r="N17" s="34" t="str" cm="1">
        <f t="array" ref="N17">IFERROR(INDEX('PROSES ENJEKSİYON'!$G:$G,MATCH(1,('PROSES ENJEKSİYON'!$A:$A=$N$2)*('PROSES ENJEKSİYON'!$F:$F=A17),0)),"")</f>
        <v/>
      </c>
      <c r="O17" s="35" t="str" cm="1">
        <f t="array" ref="O17">IFERROR(INDEX('PROSES ENJEKSİYON'!$L:$L,MATCH(1,('PROSES ENJEKSİYON'!$A:$A=$O$2)*('PROSES ENJEKSİYON'!$F:$F=A17),0)),"")</f>
        <v/>
      </c>
      <c r="P17" s="34" t="str" cm="1">
        <f t="array" ref="P17">IFERROR(INDEX('PROSES ENJEKSİYON'!$G:$G,MATCH(1,('PROSES ENJEKSİYON'!$A:$A=$P$2)*('PROSES ENJEKSİYON'!$F:$F=A17),0)),"")</f>
        <v/>
      </c>
      <c r="Q17" s="35" t="str" cm="1">
        <f t="array" ref="Q17">IFERROR(INDEX('PROSES ENJEKSİYON'!$L:$L,MATCH(1,('PROSES ENJEKSİYON'!$A:$A=$Q$2)*('PROSES ENJEKSİYON'!$F:$F=A17),0)),"")</f>
        <v/>
      </c>
      <c r="R17" s="34" t="str" cm="1">
        <f t="array" ref="R17">IFERROR(INDEX('PROSES ENJEKSİYON'!$G:$G,MATCH(1,('PROSES ENJEKSİYON'!$A:$A=$R$2)*('PROSES ENJEKSİYON'!$F:$F=C17),0)),"")</f>
        <v/>
      </c>
      <c r="S17" s="35" t="str" cm="1">
        <f t="array" ref="S17">IFERROR(INDEX('PROSES ENJEKSİYON'!$L:$L,MATCH(1,('PROSES ENJEKSİYON'!$A:$A=$S$2)*('PROSES ENJEKSİYON'!$F:$F=C17),0)),"")</f>
        <v/>
      </c>
    </row>
    <row r="18" spans="1:19" ht="27.6" hidden="1" customHeight="1" x14ac:dyDescent="0.3">
      <c r="A18" s="3">
        <v>171</v>
      </c>
      <c r="B18" s="31" t="str" cm="1">
        <f t="array" ref="B18">IFERROR(INDEX('PROSES ENJEKSİYON'!$L:$L, MATCH(1,('PROSES ENJEKSİYON'!$A:$A=$B$2)*('PROSES ENJEKSİYON'!$F:$F=A18),0)), "")</f>
        <v/>
      </c>
      <c r="C18" s="31" t="str" cm="1">
        <f t="array" ref="C18">IFERROR(INDEX('PROSES ENJEKSİYON'!$L:$L,MATCH(1,('PROSES ENJEKSİYON'!$A:$A=$C$2)*('PROSES ENJEKSİYON'!$F:$F=A18),0)),"")</f>
        <v/>
      </c>
      <c r="D18" s="31" t="str" cm="1">
        <f t="array" ref="D18">IFERROR(INDEX('PROSES ENJEKSİYON'!$L:$L,MATCH(1,('PROSES ENJEKSİYON'!$A:$A=$D$2)*('PROSES ENJEKSİYON'!$F:$F=A18),0)),"")</f>
        <v/>
      </c>
      <c r="E18" s="31" t="str" cm="1">
        <f t="array" ref="E18">IFERROR(INDEX('PROSES ENJEKSİYON'!$L:$L,MATCH(1,('PROSES ENJEKSİYON'!$A:$A=$E$2)*('PROSES ENJEKSİYON'!$F:$F=A18),0)),"")</f>
        <v/>
      </c>
      <c r="F18" s="31" t="str" cm="1">
        <f t="array" ref="F18">IFERROR(INDEX('PROSES ENJEKSİYON'!$L:$L,MATCH(1,('PROSES ENJEKSİYON'!$A:$A=$F$2)*('PROSES ENJEKSİYON'!$F:$F=A18),0)),"")</f>
        <v/>
      </c>
      <c r="G18" s="31" t="str" cm="1">
        <f t="array" ref="G18">IFERROR(INDEX('PROSES ENJEKSİYON'!$L:$L,MATCH(1,('PROSES ENJEKSİYON'!$A:$A=$G$2)*('PROSES ENJEKSİYON'!$F:$F=A18),0)),"")</f>
        <v/>
      </c>
      <c r="H18" s="34" t="str" cm="1">
        <f t="array" ref="H18">IFERROR(INDEX('PROSES ENJEKSİYON'!$G:$G,MATCH(1,('PROSES ENJEKSİYON'!$A:$A=$H$2)*('PROSES ENJEKSİYON'!$F:$F=A18),0)),"")</f>
        <v/>
      </c>
      <c r="I18" s="35" t="str" cm="1">
        <f t="array" ref="I18">IFERROR(INDEX('PROSES ENJEKSİYON'!$L:$L,MATCH(1,('PROSES ENJEKSİYON'!$A:$A=$I$2)*('PROSES ENJEKSİYON'!$F:$F=A18),0)),"")</f>
        <v/>
      </c>
      <c r="J18" s="34" t="str" cm="1">
        <f t="array" ref="J18">IFERROR(INDEX('PROSES ENJEKSİYON'!$G:$G,MATCH(1,('PROSES ENJEKSİYON'!$A:$A=$J$2)*('PROSES ENJEKSİYON'!$F:$F=A18),0)),"")</f>
        <v/>
      </c>
      <c r="K18" s="35" t="str" cm="1">
        <f t="array" ref="K18">IFERROR(INDEX('PROSES ENJEKSİYON'!$L:$L,MATCH(1,('PROSES ENJEKSİYON'!$A:$A=$K$2)*('PROSES ENJEKSİYON'!$F:$F=A18),0)),"")</f>
        <v/>
      </c>
      <c r="L18" s="34" t="str" cm="1">
        <f t="array" ref="L18">IFERROR(INDEX('PROSES ENJEKSİYON'!$G:$G,MATCH(1,('PROSES ENJEKSİYON'!$A:$A=$L$2)*('PROSES ENJEKSİYON'!$F:$F=A18),0)),"")</f>
        <v/>
      </c>
      <c r="M18" s="35" t="str" cm="1">
        <f t="array" ref="M18">IFERROR(INDEX('PROSES ENJEKSİYON'!$L:$L,MATCH(1,('PROSES ENJEKSİYON'!$A:$A=$M$2)*('PROSES ENJEKSİYON'!$F:$F=A18),0)),"")</f>
        <v/>
      </c>
      <c r="N18" s="34" t="str" cm="1">
        <f t="array" ref="N18">IFERROR(INDEX('PROSES ENJEKSİYON'!$G:$G,MATCH(1,('PROSES ENJEKSİYON'!$A:$A=$N$2)*('PROSES ENJEKSİYON'!$F:$F=A18),0)),"")</f>
        <v/>
      </c>
      <c r="O18" s="35" t="str" cm="1">
        <f t="array" ref="O18">IFERROR(INDEX('PROSES ENJEKSİYON'!$L:$L,MATCH(1,('PROSES ENJEKSİYON'!$A:$A=$O$2)*('PROSES ENJEKSİYON'!$F:$F=A18),0)),"")</f>
        <v/>
      </c>
      <c r="P18" s="34" t="str" cm="1">
        <f t="array" ref="P18">IFERROR(INDEX('PROSES ENJEKSİYON'!$G:$G,MATCH(1,('PROSES ENJEKSİYON'!$A:$A=$P$2)*('PROSES ENJEKSİYON'!$F:$F=A18),0)),"")</f>
        <v/>
      </c>
      <c r="Q18" s="35" t="str" cm="1">
        <f t="array" ref="Q18">IFERROR(INDEX('PROSES ENJEKSİYON'!$L:$L,MATCH(1,('PROSES ENJEKSİYON'!$A:$A=$Q$2)*('PROSES ENJEKSİYON'!$F:$F=A18),0)),"")</f>
        <v/>
      </c>
      <c r="R18" s="34" t="str" cm="1">
        <f t="array" ref="R18">IFERROR(INDEX('PROSES ENJEKSİYON'!$G:$G,MATCH(1,('PROSES ENJEKSİYON'!$A:$A=$R$2)*('PROSES ENJEKSİYON'!$F:$F=C18),0)),"")</f>
        <v/>
      </c>
      <c r="S18" s="35" t="str" cm="1">
        <f t="array" ref="S18">IFERROR(INDEX('PROSES ENJEKSİYON'!$L:$L,MATCH(1,('PROSES ENJEKSİYON'!$A:$A=$S$2)*('PROSES ENJEKSİYON'!$F:$F=C18),0)),"")</f>
        <v/>
      </c>
    </row>
    <row r="19" spans="1:19" ht="27.6" hidden="1" customHeight="1" x14ac:dyDescent="0.3">
      <c r="A19" s="3">
        <v>172</v>
      </c>
      <c r="B19" s="31" t="str" cm="1">
        <f t="array" ref="B19">IFERROR(INDEX('PROSES ENJEKSİYON'!$L:$L, MATCH(1,('PROSES ENJEKSİYON'!$A:$A=$B$2)*('PROSES ENJEKSİYON'!$F:$F=A19),0)), "")</f>
        <v/>
      </c>
      <c r="C19" s="31" t="str" cm="1">
        <f t="array" ref="C19">IFERROR(INDEX('PROSES ENJEKSİYON'!$L:$L,MATCH(1,('PROSES ENJEKSİYON'!$A:$A=$C$2)*('PROSES ENJEKSİYON'!$F:$F=A19),0)),"")</f>
        <v/>
      </c>
      <c r="D19" s="31" t="str" cm="1">
        <f t="array" ref="D19">IFERROR(INDEX('PROSES ENJEKSİYON'!$L:$L,MATCH(1,('PROSES ENJEKSİYON'!$A:$A=$D$2)*('PROSES ENJEKSİYON'!$F:$F=A19),0)),"")</f>
        <v/>
      </c>
      <c r="E19" s="31" t="str" cm="1">
        <f t="array" ref="E19">IFERROR(INDEX('PROSES ENJEKSİYON'!$L:$L,MATCH(1,('PROSES ENJEKSİYON'!$A:$A=$E$2)*('PROSES ENJEKSİYON'!$F:$F=A19),0)),"")</f>
        <v/>
      </c>
      <c r="F19" s="31" t="str" cm="1">
        <f t="array" ref="F19">IFERROR(INDEX('PROSES ENJEKSİYON'!$L:$L,MATCH(1,('PROSES ENJEKSİYON'!$A:$A=$F$2)*('PROSES ENJEKSİYON'!$F:$F=A19),0)),"")</f>
        <v/>
      </c>
      <c r="G19" s="31" t="str" cm="1">
        <f t="array" ref="G19">IFERROR(INDEX('PROSES ENJEKSİYON'!$L:$L,MATCH(1,('PROSES ENJEKSİYON'!$A:$A=$G$2)*('PROSES ENJEKSİYON'!$F:$F=A19),0)),"")</f>
        <v/>
      </c>
      <c r="H19" s="34" t="str" cm="1">
        <f t="array" ref="H19">IFERROR(INDEX('PROSES ENJEKSİYON'!$G:$G,MATCH(1,('PROSES ENJEKSİYON'!$A:$A=$H$2)*('PROSES ENJEKSİYON'!$F:$F=A19),0)),"")</f>
        <v/>
      </c>
      <c r="I19" s="35" t="str" cm="1">
        <f t="array" ref="I19">IFERROR(INDEX('PROSES ENJEKSİYON'!$L:$L,MATCH(1,('PROSES ENJEKSİYON'!$A:$A=$I$2)*('PROSES ENJEKSİYON'!$F:$F=A19),0)),"")</f>
        <v/>
      </c>
      <c r="J19" s="34" t="str" cm="1">
        <f t="array" ref="J19">IFERROR(INDEX('PROSES ENJEKSİYON'!$G:$G,MATCH(1,('PROSES ENJEKSİYON'!$A:$A=$J$2)*('PROSES ENJEKSİYON'!$F:$F=A19),0)),"")</f>
        <v/>
      </c>
      <c r="K19" s="35" t="str" cm="1">
        <f t="array" ref="K19">IFERROR(INDEX('PROSES ENJEKSİYON'!$L:$L,MATCH(1,('PROSES ENJEKSİYON'!$A:$A=$K$2)*('PROSES ENJEKSİYON'!$F:$F=A19),0)),"")</f>
        <v/>
      </c>
      <c r="L19" s="34" t="str" cm="1">
        <f t="array" ref="L19">IFERROR(INDEX('PROSES ENJEKSİYON'!$G:$G,MATCH(1,('PROSES ENJEKSİYON'!$A:$A=$L$2)*('PROSES ENJEKSİYON'!$F:$F=A19),0)),"")</f>
        <v/>
      </c>
      <c r="M19" s="35" t="str" cm="1">
        <f t="array" ref="M19">IFERROR(INDEX('PROSES ENJEKSİYON'!$L:$L,MATCH(1,('PROSES ENJEKSİYON'!$A:$A=$M$2)*('PROSES ENJEKSİYON'!$F:$F=A19),0)),"")</f>
        <v/>
      </c>
      <c r="N19" s="34" t="str" cm="1">
        <f t="array" ref="N19">IFERROR(INDEX('PROSES ENJEKSİYON'!$G:$G,MATCH(1,('PROSES ENJEKSİYON'!$A:$A=$N$2)*('PROSES ENJEKSİYON'!$F:$F=A19),0)),"")</f>
        <v/>
      </c>
      <c r="O19" s="35" t="str" cm="1">
        <f t="array" ref="O19">IFERROR(INDEX('PROSES ENJEKSİYON'!$L:$L,MATCH(1,('PROSES ENJEKSİYON'!$A:$A=$O$2)*('PROSES ENJEKSİYON'!$F:$F=A19),0)),"")</f>
        <v/>
      </c>
      <c r="P19" s="34" t="str" cm="1">
        <f t="array" ref="P19">IFERROR(INDEX('PROSES ENJEKSİYON'!$G:$G,MATCH(1,('PROSES ENJEKSİYON'!$A:$A=$P$2)*('PROSES ENJEKSİYON'!$F:$F=A19),0)),"")</f>
        <v/>
      </c>
      <c r="Q19" s="35" t="str" cm="1">
        <f t="array" ref="Q19">IFERROR(INDEX('PROSES ENJEKSİYON'!$L:$L,MATCH(1,('PROSES ENJEKSİYON'!$A:$A=$Q$2)*('PROSES ENJEKSİYON'!$F:$F=A19),0)),"")</f>
        <v/>
      </c>
      <c r="R19" s="34" t="str" cm="1">
        <f t="array" ref="R19">IFERROR(INDEX('PROSES ENJEKSİYON'!$G:$G,MATCH(1,('PROSES ENJEKSİYON'!$A:$A=$R$2)*('PROSES ENJEKSİYON'!$F:$F=C19),0)),"")</f>
        <v/>
      </c>
      <c r="S19" s="35" t="str" cm="1">
        <f t="array" ref="S19">IFERROR(INDEX('PROSES ENJEKSİYON'!$L:$L,MATCH(1,('PROSES ENJEKSİYON'!$A:$A=$S$2)*('PROSES ENJEKSİYON'!$F:$F=C19),0)),"")</f>
        <v/>
      </c>
    </row>
    <row r="20" spans="1:19" ht="27.6" hidden="1" customHeight="1" x14ac:dyDescent="0.3">
      <c r="A20" s="3">
        <v>173</v>
      </c>
      <c r="B20" s="31" t="str" cm="1">
        <f t="array" ref="B20">IFERROR(INDEX('PROSES ENJEKSİYON'!$L:$L, MATCH(1,('PROSES ENJEKSİYON'!$A:$A=$B$2)*('PROSES ENJEKSİYON'!$F:$F=A20),0)), "")</f>
        <v/>
      </c>
      <c r="C20" s="31" t="str" cm="1">
        <f t="array" ref="C20">IFERROR(INDEX('PROSES ENJEKSİYON'!$L:$L,MATCH(1,('PROSES ENJEKSİYON'!$A:$A=$C$2)*('PROSES ENJEKSİYON'!$F:$F=A20),0)),"")</f>
        <v/>
      </c>
      <c r="D20" s="31" t="str" cm="1">
        <f t="array" ref="D20">IFERROR(INDEX('PROSES ENJEKSİYON'!$L:$L,MATCH(1,('PROSES ENJEKSİYON'!$A:$A=$D$2)*('PROSES ENJEKSİYON'!$F:$F=A20),0)),"")</f>
        <v/>
      </c>
      <c r="E20" s="31" t="str" cm="1">
        <f t="array" ref="E20">IFERROR(INDEX('PROSES ENJEKSİYON'!$L:$L,MATCH(1,('PROSES ENJEKSİYON'!$A:$A=$E$2)*('PROSES ENJEKSİYON'!$F:$F=A20),0)),"")</f>
        <v/>
      </c>
      <c r="F20" s="31" t="str" cm="1">
        <f t="array" ref="F20">IFERROR(INDEX('PROSES ENJEKSİYON'!$L:$L,MATCH(1,('PROSES ENJEKSİYON'!$A:$A=$F$2)*('PROSES ENJEKSİYON'!$F:$F=A20),0)),"")</f>
        <v/>
      </c>
      <c r="G20" s="31" t="str" cm="1">
        <f t="array" ref="G20">IFERROR(INDEX('PROSES ENJEKSİYON'!$L:$L,MATCH(1,('PROSES ENJEKSİYON'!$A:$A=$G$2)*('PROSES ENJEKSİYON'!$F:$F=A20),0)),"")</f>
        <v/>
      </c>
      <c r="H20" s="34" t="str" cm="1">
        <f t="array" ref="H20">IFERROR(INDEX('PROSES ENJEKSİYON'!$G:$G,MATCH(1,('PROSES ENJEKSİYON'!$A:$A=$H$2)*('PROSES ENJEKSİYON'!$F:$F=A20),0)),"")</f>
        <v/>
      </c>
      <c r="I20" s="35" t="str" cm="1">
        <f t="array" ref="I20">IFERROR(INDEX('PROSES ENJEKSİYON'!$L:$L,MATCH(1,('PROSES ENJEKSİYON'!$A:$A=$I$2)*('PROSES ENJEKSİYON'!$F:$F=A20),0)),"")</f>
        <v/>
      </c>
      <c r="J20" s="34" t="str" cm="1">
        <f t="array" ref="J20">IFERROR(INDEX('PROSES ENJEKSİYON'!$G:$G,MATCH(1,('PROSES ENJEKSİYON'!$A:$A=$J$2)*('PROSES ENJEKSİYON'!$F:$F=A20),0)),"")</f>
        <v/>
      </c>
      <c r="K20" s="35" t="str" cm="1">
        <f t="array" ref="K20">IFERROR(INDEX('PROSES ENJEKSİYON'!$L:$L,MATCH(1,('PROSES ENJEKSİYON'!$A:$A=$K$2)*('PROSES ENJEKSİYON'!$F:$F=A20),0)),"")</f>
        <v/>
      </c>
      <c r="L20" s="34" t="str" cm="1">
        <f t="array" ref="L20">IFERROR(INDEX('PROSES ENJEKSİYON'!$G:$G,MATCH(1,('PROSES ENJEKSİYON'!$A:$A=$L$2)*('PROSES ENJEKSİYON'!$F:$F=A20),0)),"")</f>
        <v/>
      </c>
      <c r="M20" s="35" t="str" cm="1">
        <f t="array" ref="M20">IFERROR(INDEX('PROSES ENJEKSİYON'!$L:$L,MATCH(1,('PROSES ENJEKSİYON'!$A:$A=$M$2)*('PROSES ENJEKSİYON'!$F:$F=A20),0)),"")</f>
        <v/>
      </c>
      <c r="N20" s="34" t="str" cm="1">
        <f t="array" ref="N20">IFERROR(INDEX('PROSES ENJEKSİYON'!$G:$G,MATCH(1,('PROSES ENJEKSİYON'!$A:$A=$N$2)*('PROSES ENJEKSİYON'!$F:$F=A20),0)),"")</f>
        <v/>
      </c>
      <c r="O20" s="35" t="str" cm="1">
        <f t="array" ref="O20">IFERROR(INDEX('PROSES ENJEKSİYON'!$L:$L,MATCH(1,('PROSES ENJEKSİYON'!$A:$A=$O$2)*('PROSES ENJEKSİYON'!$F:$F=A20),0)),"")</f>
        <v/>
      </c>
      <c r="P20" s="34" t="str" cm="1">
        <f t="array" ref="P20">IFERROR(INDEX('PROSES ENJEKSİYON'!$G:$G,MATCH(1,('PROSES ENJEKSİYON'!$A:$A=$P$2)*('PROSES ENJEKSİYON'!$F:$F=A20),0)),"")</f>
        <v/>
      </c>
      <c r="Q20" s="35" t="str" cm="1">
        <f t="array" ref="Q20">IFERROR(INDEX('PROSES ENJEKSİYON'!$L:$L,MATCH(1,('PROSES ENJEKSİYON'!$A:$A=$Q$2)*('PROSES ENJEKSİYON'!$F:$F=A20),0)),"")</f>
        <v/>
      </c>
      <c r="R20" s="34" t="str" cm="1">
        <f t="array" ref="R20">IFERROR(INDEX('PROSES ENJEKSİYON'!$G:$G,MATCH(1,('PROSES ENJEKSİYON'!$A:$A=$R$2)*('PROSES ENJEKSİYON'!$F:$F=C20),0)),"")</f>
        <v/>
      </c>
      <c r="S20" s="35" t="str" cm="1">
        <f t="array" ref="S20">IFERROR(INDEX('PROSES ENJEKSİYON'!$L:$L,MATCH(1,('PROSES ENJEKSİYON'!$A:$A=$S$2)*('PROSES ENJEKSİYON'!$F:$F=C20),0)),"")</f>
        <v/>
      </c>
    </row>
    <row r="21" spans="1:19" ht="27.6" hidden="1" customHeight="1" x14ac:dyDescent="0.3">
      <c r="A21" s="3">
        <v>174</v>
      </c>
      <c r="B21" s="31" t="str" cm="1">
        <f t="array" ref="B21">IFERROR(INDEX('PROSES ENJEKSİYON'!$L:$L, MATCH(1,('PROSES ENJEKSİYON'!$A:$A=$B$2)*('PROSES ENJEKSİYON'!$F:$F=A21),0)), "")</f>
        <v/>
      </c>
      <c r="C21" s="31" t="str" cm="1">
        <f t="array" ref="C21">IFERROR(INDEX('PROSES ENJEKSİYON'!$L:$L,MATCH(1,('PROSES ENJEKSİYON'!$A:$A=$C$2)*('PROSES ENJEKSİYON'!$F:$F=A21),0)),"")</f>
        <v/>
      </c>
      <c r="D21" s="31" t="str" cm="1">
        <f t="array" ref="D21">IFERROR(INDEX('PROSES ENJEKSİYON'!$L:$L,MATCH(1,('PROSES ENJEKSİYON'!$A:$A=$D$2)*('PROSES ENJEKSİYON'!$F:$F=A21),0)),"")</f>
        <v/>
      </c>
      <c r="E21" s="31" t="str" cm="1">
        <f t="array" ref="E21">IFERROR(INDEX('PROSES ENJEKSİYON'!$L:$L,MATCH(1,('PROSES ENJEKSİYON'!$A:$A=$E$2)*('PROSES ENJEKSİYON'!$F:$F=A21),0)),"")</f>
        <v/>
      </c>
      <c r="F21" s="31" t="str" cm="1">
        <f t="array" ref="F21">IFERROR(INDEX('PROSES ENJEKSİYON'!$L:$L,MATCH(1,('PROSES ENJEKSİYON'!$A:$A=$F$2)*('PROSES ENJEKSİYON'!$F:$F=A21),0)),"")</f>
        <v/>
      </c>
      <c r="G21" s="31" t="str" cm="1">
        <f t="array" ref="G21">IFERROR(INDEX('PROSES ENJEKSİYON'!$L:$L,MATCH(1,('PROSES ENJEKSİYON'!$A:$A=$G$2)*('PROSES ENJEKSİYON'!$F:$F=A21),0)),"")</f>
        <v/>
      </c>
      <c r="H21" s="34" t="str" cm="1">
        <f t="array" ref="H21">IFERROR(INDEX('PROSES ENJEKSİYON'!$G:$G,MATCH(1,('PROSES ENJEKSİYON'!$A:$A=$H$2)*('PROSES ENJEKSİYON'!$F:$F=A21),0)),"")</f>
        <v/>
      </c>
      <c r="I21" s="35" t="str" cm="1">
        <f t="array" ref="I21">IFERROR(INDEX('PROSES ENJEKSİYON'!$L:$L,MATCH(1,('PROSES ENJEKSİYON'!$A:$A=$I$2)*('PROSES ENJEKSİYON'!$F:$F=A21),0)),"")</f>
        <v/>
      </c>
      <c r="J21" s="34" t="str" cm="1">
        <f t="array" ref="J21">IFERROR(INDEX('PROSES ENJEKSİYON'!$G:$G,MATCH(1,('PROSES ENJEKSİYON'!$A:$A=$J$2)*('PROSES ENJEKSİYON'!$F:$F=A21),0)),"")</f>
        <v/>
      </c>
      <c r="K21" s="35" t="str" cm="1">
        <f t="array" ref="K21">IFERROR(INDEX('PROSES ENJEKSİYON'!$L:$L,MATCH(1,('PROSES ENJEKSİYON'!$A:$A=$K$2)*('PROSES ENJEKSİYON'!$F:$F=A21),0)),"")</f>
        <v/>
      </c>
      <c r="L21" s="34" t="str" cm="1">
        <f t="array" ref="L21">IFERROR(INDEX('PROSES ENJEKSİYON'!$G:$G,MATCH(1,('PROSES ENJEKSİYON'!$A:$A=$L$2)*('PROSES ENJEKSİYON'!$F:$F=A21),0)),"")</f>
        <v/>
      </c>
      <c r="M21" s="35" t="str" cm="1">
        <f t="array" ref="M21">IFERROR(INDEX('PROSES ENJEKSİYON'!$L:$L,MATCH(1,('PROSES ENJEKSİYON'!$A:$A=$M$2)*('PROSES ENJEKSİYON'!$F:$F=A21),0)),"")</f>
        <v/>
      </c>
      <c r="N21" s="34" t="str" cm="1">
        <f t="array" ref="N21">IFERROR(INDEX('PROSES ENJEKSİYON'!$G:$G,MATCH(1,('PROSES ENJEKSİYON'!$A:$A=$N$2)*('PROSES ENJEKSİYON'!$F:$F=A21),0)),"")</f>
        <v/>
      </c>
      <c r="O21" s="35" t="str" cm="1">
        <f t="array" ref="O21">IFERROR(INDEX('PROSES ENJEKSİYON'!$L:$L,MATCH(1,('PROSES ENJEKSİYON'!$A:$A=$O$2)*('PROSES ENJEKSİYON'!$F:$F=A21),0)),"")</f>
        <v/>
      </c>
      <c r="P21" s="34" t="str" cm="1">
        <f t="array" ref="P21">IFERROR(INDEX('PROSES ENJEKSİYON'!$G:$G,MATCH(1,('PROSES ENJEKSİYON'!$A:$A=$P$2)*('PROSES ENJEKSİYON'!$F:$F=A21),0)),"")</f>
        <v/>
      </c>
      <c r="Q21" s="35" t="str" cm="1">
        <f t="array" ref="Q21">IFERROR(INDEX('PROSES ENJEKSİYON'!$L:$L,MATCH(1,('PROSES ENJEKSİYON'!$A:$A=$Q$2)*('PROSES ENJEKSİYON'!$F:$F=A21),0)),"")</f>
        <v/>
      </c>
      <c r="R21" s="34" t="str" cm="1">
        <f t="array" ref="R21">IFERROR(INDEX('PROSES ENJEKSİYON'!$G:$G,MATCH(1,('PROSES ENJEKSİYON'!$A:$A=$R$2)*('PROSES ENJEKSİYON'!$F:$F=C21),0)),"")</f>
        <v/>
      </c>
      <c r="S21" s="35" t="str" cm="1">
        <f t="array" ref="S21">IFERROR(INDEX('PROSES ENJEKSİYON'!$L:$L,MATCH(1,('PROSES ENJEKSİYON'!$A:$A=$S$2)*('PROSES ENJEKSİYON'!$F:$F=C21),0)),"")</f>
        <v/>
      </c>
    </row>
    <row r="22" spans="1:19" ht="27.6" hidden="1" customHeight="1" x14ac:dyDescent="0.3">
      <c r="A22" s="3">
        <v>175</v>
      </c>
      <c r="B22" s="31" t="str" cm="1">
        <f t="array" ref="B22">IFERROR(INDEX('PROSES ENJEKSİYON'!$L:$L, MATCH(1,('PROSES ENJEKSİYON'!$A:$A=$B$2)*('PROSES ENJEKSİYON'!$F:$F=A22),0)), "")</f>
        <v/>
      </c>
      <c r="C22" s="31" t="str" cm="1">
        <f t="array" ref="C22">IFERROR(INDEX('PROSES ENJEKSİYON'!$L:$L,MATCH(1,('PROSES ENJEKSİYON'!$A:$A=$C$2)*('PROSES ENJEKSİYON'!$F:$F=A22),0)),"")</f>
        <v/>
      </c>
      <c r="D22" s="31" t="str" cm="1">
        <f t="array" ref="D22">IFERROR(INDEX('PROSES ENJEKSİYON'!$L:$L,MATCH(1,('PROSES ENJEKSİYON'!$A:$A=$D$2)*('PROSES ENJEKSİYON'!$F:$F=A22),0)),"")</f>
        <v/>
      </c>
      <c r="E22" s="31" t="str" cm="1">
        <f t="array" ref="E22">IFERROR(INDEX('PROSES ENJEKSİYON'!$L:$L,MATCH(1,('PROSES ENJEKSİYON'!$A:$A=$E$2)*('PROSES ENJEKSİYON'!$F:$F=A22),0)),"")</f>
        <v/>
      </c>
      <c r="F22" s="31" t="str" cm="1">
        <f t="array" ref="F22">IFERROR(INDEX('PROSES ENJEKSİYON'!$L:$L,MATCH(1,('PROSES ENJEKSİYON'!$A:$A=$F$2)*('PROSES ENJEKSİYON'!$F:$F=A22),0)),"")</f>
        <v/>
      </c>
      <c r="G22" s="31" t="str" cm="1">
        <f t="array" ref="G22">IFERROR(INDEX('PROSES ENJEKSİYON'!$L:$L,MATCH(1,('PROSES ENJEKSİYON'!$A:$A=$G$2)*('PROSES ENJEKSİYON'!$F:$F=A22),0)),"")</f>
        <v/>
      </c>
      <c r="H22" s="34" t="str" cm="1">
        <f t="array" ref="H22">IFERROR(INDEX('PROSES ENJEKSİYON'!$G:$G,MATCH(1,('PROSES ENJEKSİYON'!$A:$A=$H$2)*('PROSES ENJEKSİYON'!$F:$F=A22),0)),"")</f>
        <v/>
      </c>
      <c r="I22" s="35" t="str" cm="1">
        <f t="array" ref="I22">IFERROR(INDEX('PROSES ENJEKSİYON'!$L:$L,MATCH(1,('PROSES ENJEKSİYON'!$A:$A=$I$2)*('PROSES ENJEKSİYON'!$F:$F=A22),0)),"")</f>
        <v/>
      </c>
      <c r="J22" s="34" t="str" cm="1">
        <f t="array" ref="J22">IFERROR(INDEX('PROSES ENJEKSİYON'!$G:$G,MATCH(1,('PROSES ENJEKSİYON'!$A:$A=$J$2)*('PROSES ENJEKSİYON'!$F:$F=A22),0)),"")</f>
        <v/>
      </c>
      <c r="K22" s="35" t="str" cm="1">
        <f t="array" ref="K22">IFERROR(INDEX('PROSES ENJEKSİYON'!$L:$L,MATCH(1,('PROSES ENJEKSİYON'!$A:$A=$K$2)*('PROSES ENJEKSİYON'!$F:$F=A22),0)),"")</f>
        <v/>
      </c>
      <c r="L22" s="34" t="str" cm="1">
        <f t="array" ref="L22">IFERROR(INDEX('PROSES ENJEKSİYON'!$G:$G,MATCH(1,('PROSES ENJEKSİYON'!$A:$A=$L$2)*('PROSES ENJEKSİYON'!$F:$F=A22),0)),"")</f>
        <v/>
      </c>
      <c r="M22" s="35" t="str" cm="1">
        <f t="array" ref="M22">IFERROR(INDEX('PROSES ENJEKSİYON'!$L:$L,MATCH(1,('PROSES ENJEKSİYON'!$A:$A=$M$2)*('PROSES ENJEKSİYON'!$F:$F=A22),0)),"")</f>
        <v/>
      </c>
      <c r="N22" s="34" t="str" cm="1">
        <f t="array" ref="N22">IFERROR(INDEX('PROSES ENJEKSİYON'!$G:$G,MATCH(1,('PROSES ENJEKSİYON'!$A:$A=$N$2)*('PROSES ENJEKSİYON'!$F:$F=A22),0)),"")</f>
        <v/>
      </c>
      <c r="O22" s="35" t="str" cm="1">
        <f t="array" ref="O22">IFERROR(INDEX('PROSES ENJEKSİYON'!$L:$L,MATCH(1,('PROSES ENJEKSİYON'!$A:$A=$O$2)*('PROSES ENJEKSİYON'!$F:$F=A22),0)),"")</f>
        <v/>
      </c>
      <c r="P22" s="34" t="str" cm="1">
        <f t="array" ref="P22">IFERROR(INDEX('PROSES ENJEKSİYON'!$G:$G,MATCH(1,('PROSES ENJEKSİYON'!$A:$A=$P$2)*('PROSES ENJEKSİYON'!$F:$F=A22),0)),"")</f>
        <v/>
      </c>
      <c r="Q22" s="35" t="str" cm="1">
        <f t="array" ref="Q22">IFERROR(INDEX('PROSES ENJEKSİYON'!$L:$L,MATCH(1,('PROSES ENJEKSİYON'!$A:$A=$Q$2)*('PROSES ENJEKSİYON'!$F:$F=A22),0)),"")</f>
        <v/>
      </c>
      <c r="R22" s="34" t="str" cm="1">
        <f t="array" ref="R22">IFERROR(INDEX('PROSES ENJEKSİYON'!$G:$G,MATCH(1,('PROSES ENJEKSİYON'!$A:$A=$R$2)*('PROSES ENJEKSİYON'!$F:$F=C22),0)),"")</f>
        <v/>
      </c>
      <c r="S22" s="35" t="str" cm="1">
        <f t="array" ref="S22">IFERROR(INDEX('PROSES ENJEKSİYON'!$L:$L,MATCH(1,('PROSES ENJEKSİYON'!$A:$A=$S$2)*('PROSES ENJEKSİYON'!$F:$F=C22),0)),"")</f>
        <v/>
      </c>
    </row>
    <row r="23" spans="1:19" ht="27.6" hidden="1" customHeight="1" x14ac:dyDescent="0.3">
      <c r="A23" s="3">
        <v>176</v>
      </c>
      <c r="B23" s="31" t="str" cm="1">
        <f t="array" ref="B23">IFERROR(INDEX('PROSES ENJEKSİYON'!$L:$L, MATCH(1,('PROSES ENJEKSİYON'!$A:$A=$B$2)*('PROSES ENJEKSİYON'!$F:$F=A23),0)), "")</f>
        <v/>
      </c>
      <c r="C23" s="31" t="str" cm="1">
        <f t="array" ref="C23">IFERROR(INDEX('PROSES ENJEKSİYON'!$L:$L,MATCH(1,('PROSES ENJEKSİYON'!$A:$A=$C$2)*('PROSES ENJEKSİYON'!$F:$F=A23),0)),"")</f>
        <v/>
      </c>
      <c r="D23" s="31" t="str" cm="1">
        <f t="array" ref="D23">IFERROR(INDEX('PROSES ENJEKSİYON'!$L:$L,MATCH(1,('PROSES ENJEKSİYON'!$A:$A=$D$2)*('PROSES ENJEKSİYON'!$F:$F=A23),0)),"")</f>
        <v/>
      </c>
      <c r="E23" s="31" t="str" cm="1">
        <f t="array" ref="E23">IFERROR(INDEX('PROSES ENJEKSİYON'!$L:$L,MATCH(1,('PROSES ENJEKSİYON'!$A:$A=$E$2)*('PROSES ENJEKSİYON'!$F:$F=A23),0)),"")</f>
        <v/>
      </c>
      <c r="F23" s="31" t="str" cm="1">
        <f t="array" ref="F23">IFERROR(INDEX('PROSES ENJEKSİYON'!$L:$L,MATCH(1,('PROSES ENJEKSİYON'!$A:$A=$F$2)*('PROSES ENJEKSİYON'!$F:$F=A23),0)),"")</f>
        <v/>
      </c>
      <c r="G23" s="31" t="str" cm="1">
        <f t="array" ref="G23">IFERROR(INDEX('PROSES ENJEKSİYON'!$L:$L,MATCH(1,('PROSES ENJEKSİYON'!$A:$A=$G$2)*('PROSES ENJEKSİYON'!$F:$F=A23),0)),"")</f>
        <v/>
      </c>
      <c r="H23" s="34" t="str" cm="1">
        <f t="array" ref="H23">IFERROR(INDEX('PROSES ENJEKSİYON'!$G:$G,MATCH(1,('PROSES ENJEKSİYON'!$A:$A=$H$2)*('PROSES ENJEKSİYON'!$F:$F=A23),0)),"")</f>
        <v/>
      </c>
      <c r="I23" s="35" t="str" cm="1">
        <f t="array" ref="I23">IFERROR(INDEX('PROSES ENJEKSİYON'!$L:$L,MATCH(1,('PROSES ENJEKSİYON'!$A:$A=$I$2)*('PROSES ENJEKSİYON'!$F:$F=A23),0)),"")</f>
        <v/>
      </c>
      <c r="J23" s="34" t="str" cm="1">
        <f t="array" ref="J23">IFERROR(INDEX('PROSES ENJEKSİYON'!$G:$G,MATCH(1,('PROSES ENJEKSİYON'!$A:$A=$J$2)*('PROSES ENJEKSİYON'!$F:$F=A23),0)),"")</f>
        <v/>
      </c>
      <c r="K23" s="35" t="str" cm="1">
        <f t="array" ref="K23">IFERROR(INDEX('PROSES ENJEKSİYON'!$L:$L,MATCH(1,('PROSES ENJEKSİYON'!$A:$A=$K$2)*('PROSES ENJEKSİYON'!$F:$F=A23),0)),"")</f>
        <v/>
      </c>
      <c r="L23" s="34" t="str" cm="1">
        <f t="array" ref="L23">IFERROR(INDEX('PROSES ENJEKSİYON'!$G:$G,MATCH(1,('PROSES ENJEKSİYON'!$A:$A=$L$2)*('PROSES ENJEKSİYON'!$F:$F=A23),0)),"")</f>
        <v/>
      </c>
      <c r="M23" s="35" t="str" cm="1">
        <f t="array" ref="M23">IFERROR(INDEX('PROSES ENJEKSİYON'!$L:$L,MATCH(1,('PROSES ENJEKSİYON'!$A:$A=$M$2)*('PROSES ENJEKSİYON'!$F:$F=A23),0)),"")</f>
        <v/>
      </c>
      <c r="N23" s="34" t="str" cm="1">
        <f t="array" ref="N23">IFERROR(INDEX('PROSES ENJEKSİYON'!$G:$G,MATCH(1,('PROSES ENJEKSİYON'!$A:$A=$N$2)*('PROSES ENJEKSİYON'!$F:$F=A23),0)),"")</f>
        <v/>
      </c>
      <c r="O23" s="35" t="str" cm="1">
        <f t="array" ref="O23">IFERROR(INDEX('PROSES ENJEKSİYON'!$L:$L,MATCH(1,('PROSES ENJEKSİYON'!$A:$A=$O$2)*('PROSES ENJEKSİYON'!$F:$F=A23),0)),"")</f>
        <v/>
      </c>
      <c r="P23" s="34" t="str" cm="1">
        <f t="array" ref="P23">IFERROR(INDEX('PROSES ENJEKSİYON'!$G:$G,MATCH(1,('PROSES ENJEKSİYON'!$A:$A=$P$2)*('PROSES ENJEKSİYON'!$F:$F=A23),0)),"")</f>
        <v/>
      </c>
      <c r="Q23" s="35" t="str" cm="1">
        <f t="array" ref="Q23">IFERROR(INDEX('PROSES ENJEKSİYON'!$L:$L,MATCH(1,('PROSES ENJEKSİYON'!$A:$A=$Q$2)*('PROSES ENJEKSİYON'!$F:$F=A23),0)),"")</f>
        <v/>
      </c>
      <c r="R23" s="34" t="str" cm="1">
        <f t="array" ref="R23">IFERROR(INDEX('PROSES ENJEKSİYON'!$G:$G,MATCH(1,('PROSES ENJEKSİYON'!$A:$A=$R$2)*('PROSES ENJEKSİYON'!$F:$F=C23),0)),"")</f>
        <v/>
      </c>
      <c r="S23" s="35" t="str" cm="1">
        <f t="array" ref="S23">IFERROR(INDEX('PROSES ENJEKSİYON'!$L:$L,MATCH(1,('PROSES ENJEKSİYON'!$A:$A=$S$2)*('PROSES ENJEKSİYON'!$F:$F=C23),0)),"")</f>
        <v/>
      </c>
    </row>
    <row r="24" spans="1:19" ht="27.6" hidden="1" customHeight="1" x14ac:dyDescent="0.3">
      <c r="A24" s="3">
        <v>177</v>
      </c>
      <c r="B24" s="31" t="str" cm="1">
        <f t="array" ref="B24">IFERROR(INDEX('PROSES ENJEKSİYON'!$L:$L, MATCH(1,('PROSES ENJEKSİYON'!$A:$A=$B$2)*('PROSES ENJEKSİYON'!$F:$F=A24),0)), "")</f>
        <v/>
      </c>
      <c r="C24" s="31" t="str" cm="1">
        <f t="array" ref="C24">IFERROR(INDEX('PROSES ENJEKSİYON'!$L:$L,MATCH(1,('PROSES ENJEKSİYON'!$A:$A=$C$2)*('PROSES ENJEKSİYON'!$F:$F=A24),0)),"")</f>
        <v/>
      </c>
      <c r="D24" s="31" t="str" cm="1">
        <f t="array" ref="D24">IFERROR(INDEX('PROSES ENJEKSİYON'!$L:$L,MATCH(1,('PROSES ENJEKSİYON'!$A:$A=$D$2)*('PROSES ENJEKSİYON'!$F:$F=A24),0)),"")</f>
        <v/>
      </c>
      <c r="E24" s="31" t="str" cm="1">
        <f t="array" ref="E24">IFERROR(INDEX('PROSES ENJEKSİYON'!$L:$L,MATCH(1,('PROSES ENJEKSİYON'!$A:$A=$E$2)*('PROSES ENJEKSİYON'!$F:$F=A24),0)),"")</f>
        <v/>
      </c>
      <c r="F24" s="31" t="str" cm="1">
        <f t="array" ref="F24">IFERROR(INDEX('PROSES ENJEKSİYON'!$L:$L,MATCH(1,('PROSES ENJEKSİYON'!$A:$A=$F$2)*('PROSES ENJEKSİYON'!$F:$F=A24),0)),"")</f>
        <v/>
      </c>
      <c r="G24" s="31" t="str" cm="1">
        <f t="array" ref="G24">IFERROR(INDEX('PROSES ENJEKSİYON'!$L:$L,MATCH(1,('PROSES ENJEKSİYON'!$A:$A=$G$2)*('PROSES ENJEKSİYON'!$F:$F=A24),0)),"")</f>
        <v/>
      </c>
      <c r="H24" s="34" t="str" cm="1">
        <f t="array" ref="H24">IFERROR(INDEX('PROSES ENJEKSİYON'!$G:$G,MATCH(1,('PROSES ENJEKSİYON'!$A:$A=$H$2)*('PROSES ENJEKSİYON'!$F:$F=A24),0)),"")</f>
        <v/>
      </c>
      <c r="I24" s="35" t="str" cm="1">
        <f t="array" ref="I24">IFERROR(INDEX('PROSES ENJEKSİYON'!$L:$L,MATCH(1,('PROSES ENJEKSİYON'!$A:$A=$I$2)*('PROSES ENJEKSİYON'!$F:$F=A24),0)),"")</f>
        <v/>
      </c>
      <c r="J24" s="34" t="str" cm="1">
        <f t="array" ref="J24">IFERROR(INDEX('PROSES ENJEKSİYON'!$G:$G,MATCH(1,('PROSES ENJEKSİYON'!$A:$A=$J$2)*('PROSES ENJEKSİYON'!$F:$F=A24),0)),"")</f>
        <v/>
      </c>
      <c r="K24" s="35" t="str" cm="1">
        <f t="array" ref="K24">IFERROR(INDEX('PROSES ENJEKSİYON'!$L:$L,MATCH(1,('PROSES ENJEKSİYON'!$A:$A=$K$2)*('PROSES ENJEKSİYON'!$F:$F=A24),0)),"")</f>
        <v/>
      </c>
      <c r="L24" s="34" t="str" cm="1">
        <f t="array" ref="L24">IFERROR(INDEX('PROSES ENJEKSİYON'!$G:$G,MATCH(1,('PROSES ENJEKSİYON'!$A:$A=$L$2)*('PROSES ENJEKSİYON'!$F:$F=A24),0)),"")</f>
        <v/>
      </c>
      <c r="M24" s="35" t="str" cm="1">
        <f t="array" ref="M24">IFERROR(INDEX('PROSES ENJEKSİYON'!$L:$L,MATCH(1,('PROSES ENJEKSİYON'!$A:$A=$M$2)*('PROSES ENJEKSİYON'!$F:$F=A24),0)),"")</f>
        <v/>
      </c>
      <c r="N24" s="34" t="str" cm="1">
        <f t="array" ref="N24">IFERROR(INDEX('PROSES ENJEKSİYON'!$G:$G,MATCH(1,('PROSES ENJEKSİYON'!$A:$A=$N$2)*('PROSES ENJEKSİYON'!$F:$F=A24),0)),"")</f>
        <v/>
      </c>
      <c r="O24" s="35" t="str" cm="1">
        <f t="array" ref="O24">IFERROR(INDEX('PROSES ENJEKSİYON'!$L:$L,MATCH(1,('PROSES ENJEKSİYON'!$A:$A=$O$2)*('PROSES ENJEKSİYON'!$F:$F=A24),0)),"")</f>
        <v/>
      </c>
      <c r="P24" s="34" t="str" cm="1">
        <f t="array" ref="P24">IFERROR(INDEX('PROSES ENJEKSİYON'!$G:$G,MATCH(1,('PROSES ENJEKSİYON'!$A:$A=$P$2)*('PROSES ENJEKSİYON'!$F:$F=A24),0)),"")</f>
        <v/>
      </c>
      <c r="Q24" s="35" t="str" cm="1">
        <f t="array" ref="Q24">IFERROR(INDEX('PROSES ENJEKSİYON'!$L:$L,MATCH(1,('PROSES ENJEKSİYON'!$A:$A=$Q$2)*('PROSES ENJEKSİYON'!$F:$F=A24),0)),"")</f>
        <v/>
      </c>
      <c r="R24" s="34" t="str" cm="1">
        <f t="array" ref="R24">IFERROR(INDEX('PROSES ENJEKSİYON'!$G:$G,MATCH(1,('PROSES ENJEKSİYON'!$A:$A=$R$2)*('PROSES ENJEKSİYON'!$F:$F=C24),0)),"")</f>
        <v/>
      </c>
      <c r="S24" s="35" t="str" cm="1">
        <f t="array" ref="S24">IFERROR(INDEX('PROSES ENJEKSİYON'!$L:$L,MATCH(1,('PROSES ENJEKSİYON'!$A:$A=$S$2)*('PROSES ENJEKSİYON'!$F:$F=C24),0)),"")</f>
        <v/>
      </c>
    </row>
    <row r="25" spans="1:19" ht="27.6" hidden="1" customHeight="1" x14ac:dyDescent="0.3">
      <c r="A25" s="3">
        <v>178</v>
      </c>
      <c r="B25" s="31" t="str" cm="1">
        <f t="array" ref="B25">IFERROR(INDEX('PROSES ENJEKSİYON'!$L:$L, MATCH(1,('PROSES ENJEKSİYON'!$A:$A=$B$2)*('PROSES ENJEKSİYON'!$F:$F=A25),0)), "")</f>
        <v/>
      </c>
      <c r="C25" s="31" t="str" cm="1">
        <f t="array" ref="C25">IFERROR(INDEX('PROSES ENJEKSİYON'!$L:$L,MATCH(1,('PROSES ENJEKSİYON'!$A:$A=$C$2)*('PROSES ENJEKSİYON'!$F:$F=A25),0)),"")</f>
        <v/>
      </c>
      <c r="D25" s="31" t="str" cm="1">
        <f t="array" ref="D25">IFERROR(INDEX('PROSES ENJEKSİYON'!$L:$L,MATCH(1,('PROSES ENJEKSİYON'!$A:$A=$D$2)*('PROSES ENJEKSİYON'!$F:$F=A25),0)),"")</f>
        <v/>
      </c>
      <c r="E25" s="31" t="str" cm="1">
        <f t="array" ref="E25">IFERROR(INDEX('PROSES ENJEKSİYON'!$L:$L,MATCH(1,('PROSES ENJEKSİYON'!$A:$A=$E$2)*('PROSES ENJEKSİYON'!$F:$F=A25),0)),"")</f>
        <v/>
      </c>
      <c r="F25" s="31" t="str" cm="1">
        <f t="array" ref="F25">IFERROR(INDEX('PROSES ENJEKSİYON'!$L:$L,MATCH(1,('PROSES ENJEKSİYON'!$A:$A=$F$2)*('PROSES ENJEKSİYON'!$F:$F=A25),0)),"")</f>
        <v/>
      </c>
      <c r="G25" s="31" t="str" cm="1">
        <f t="array" ref="G25">IFERROR(INDEX('PROSES ENJEKSİYON'!$L:$L,MATCH(1,('PROSES ENJEKSİYON'!$A:$A=$G$2)*('PROSES ENJEKSİYON'!$F:$F=A25),0)),"")</f>
        <v/>
      </c>
      <c r="H25" s="34" t="str" cm="1">
        <f t="array" ref="H25">IFERROR(INDEX('PROSES ENJEKSİYON'!$G:$G,MATCH(1,('PROSES ENJEKSİYON'!$A:$A=$H$2)*('PROSES ENJEKSİYON'!$F:$F=A25),0)),"")</f>
        <v/>
      </c>
      <c r="I25" s="35" t="str" cm="1">
        <f t="array" ref="I25">IFERROR(INDEX('PROSES ENJEKSİYON'!$L:$L,MATCH(1,('PROSES ENJEKSİYON'!$A:$A=$I$2)*('PROSES ENJEKSİYON'!$F:$F=A25),0)),"")</f>
        <v/>
      </c>
      <c r="J25" s="34" t="str" cm="1">
        <f t="array" ref="J25">IFERROR(INDEX('PROSES ENJEKSİYON'!$G:$G,MATCH(1,('PROSES ENJEKSİYON'!$A:$A=$J$2)*('PROSES ENJEKSİYON'!$F:$F=A25),0)),"")</f>
        <v/>
      </c>
      <c r="K25" s="35" t="str" cm="1">
        <f t="array" ref="K25">IFERROR(INDEX('PROSES ENJEKSİYON'!$L:$L,MATCH(1,('PROSES ENJEKSİYON'!$A:$A=$K$2)*('PROSES ENJEKSİYON'!$F:$F=A25),0)),"")</f>
        <v/>
      </c>
      <c r="L25" s="34" t="str" cm="1">
        <f t="array" ref="L25">IFERROR(INDEX('PROSES ENJEKSİYON'!$G:$G,MATCH(1,('PROSES ENJEKSİYON'!$A:$A=$L$2)*('PROSES ENJEKSİYON'!$F:$F=A25),0)),"")</f>
        <v/>
      </c>
      <c r="M25" s="35" t="str" cm="1">
        <f t="array" ref="M25">IFERROR(INDEX('PROSES ENJEKSİYON'!$L:$L,MATCH(1,('PROSES ENJEKSİYON'!$A:$A=$M$2)*('PROSES ENJEKSİYON'!$F:$F=A25),0)),"")</f>
        <v/>
      </c>
      <c r="N25" s="34" t="str" cm="1">
        <f t="array" ref="N25">IFERROR(INDEX('PROSES ENJEKSİYON'!$G:$G,MATCH(1,('PROSES ENJEKSİYON'!$A:$A=$N$2)*('PROSES ENJEKSİYON'!$F:$F=A25),0)),"")</f>
        <v/>
      </c>
      <c r="O25" s="35" t="str" cm="1">
        <f t="array" ref="O25">IFERROR(INDEX('PROSES ENJEKSİYON'!$L:$L,MATCH(1,('PROSES ENJEKSİYON'!$A:$A=$O$2)*('PROSES ENJEKSİYON'!$F:$F=A25),0)),"")</f>
        <v/>
      </c>
      <c r="P25" s="34" t="str" cm="1">
        <f t="array" ref="P25">IFERROR(INDEX('PROSES ENJEKSİYON'!$G:$G,MATCH(1,('PROSES ENJEKSİYON'!$A:$A=$P$2)*('PROSES ENJEKSİYON'!$F:$F=A25),0)),"")</f>
        <v/>
      </c>
      <c r="Q25" s="35" t="str" cm="1">
        <f t="array" ref="Q25">IFERROR(INDEX('PROSES ENJEKSİYON'!$L:$L,MATCH(1,('PROSES ENJEKSİYON'!$A:$A=$Q$2)*('PROSES ENJEKSİYON'!$F:$F=A25),0)),"")</f>
        <v/>
      </c>
      <c r="R25" s="34" t="str" cm="1">
        <f t="array" ref="R25">IFERROR(INDEX('PROSES ENJEKSİYON'!$G:$G,MATCH(1,('PROSES ENJEKSİYON'!$A:$A=$R$2)*('PROSES ENJEKSİYON'!$F:$F=C25),0)),"")</f>
        <v/>
      </c>
      <c r="S25" s="35" t="str" cm="1">
        <f t="array" ref="S25">IFERROR(INDEX('PROSES ENJEKSİYON'!$L:$L,MATCH(1,('PROSES ENJEKSİYON'!$A:$A=$S$2)*('PROSES ENJEKSİYON'!$F:$F=C25),0)),"")</f>
        <v/>
      </c>
    </row>
    <row r="26" spans="1:19" ht="27.6" hidden="1" customHeight="1" x14ac:dyDescent="0.3">
      <c r="A26" s="3">
        <v>131</v>
      </c>
      <c r="B26" s="31" t="str" cm="1">
        <f t="array" ref="B26">IFERROR(INDEX('PROSES ENJEKSİYON'!$L:$L, MATCH(1,('PROSES ENJEKSİYON'!$A:$A=$B$2)*('PROSES ENJEKSİYON'!$F:$F=A26),0)), "")</f>
        <v/>
      </c>
      <c r="C26" s="31" t="str" cm="1">
        <f t="array" ref="C26">IFERROR(INDEX('PROSES ENJEKSİYON'!$L:$L,MATCH(1,('PROSES ENJEKSİYON'!$A:$A=$C$2)*('PROSES ENJEKSİYON'!$F:$F=A26),0)),"")</f>
        <v/>
      </c>
      <c r="D26" s="31" t="str" cm="1">
        <f t="array" ref="D26">IFERROR(INDEX('PROSES ENJEKSİYON'!$L:$L,MATCH(1,('PROSES ENJEKSİYON'!$A:$A=$D$2)*('PROSES ENJEKSİYON'!$F:$F=A26),0)),"")</f>
        <v/>
      </c>
      <c r="E26" s="31" t="str" cm="1">
        <f t="array" ref="E26">IFERROR(INDEX('PROSES ENJEKSİYON'!$L:$L,MATCH(1,('PROSES ENJEKSİYON'!$A:$A=$E$2)*('PROSES ENJEKSİYON'!$F:$F=A26),0)),"")</f>
        <v/>
      </c>
      <c r="F26" s="31" t="str" cm="1">
        <f t="array" ref="F26">IFERROR(INDEX('PROSES ENJEKSİYON'!$L:$L,MATCH(1,('PROSES ENJEKSİYON'!$A:$A=$F$2)*('PROSES ENJEKSİYON'!$F:$F=A26),0)),"")</f>
        <v/>
      </c>
      <c r="G26" s="31" t="str" cm="1">
        <f t="array" ref="G26">IFERROR(INDEX('PROSES ENJEKSİYON'!$L:$L,MATCH(1,('PROSES ENJEKSİYON'!$A:$A=$G$2)*('PROSES ENJEKSİYON'!$F:$F=A26),0)),"")</f>
        <v/>
      </c>
      <c r="H26" s="34" t="str" cm="1">
        <f t="array" ref="H26">IFERROR(INDEX('PROSES ENJEKSİYON'!$G:$G,MATCH(1,('PROSES ENJEKSİYON'!$A:$A=$H$2)*('PROSES ENJEKSİYON'!$F:$F=A26),0)),"")</f>
        <v/>
      </c>
      <c r="I26" s="35" t="str" cm="1">
        <f t="array" ref="I26">IFERROR(INDEX('PROSES ENJEKSİYON'!$L:$L,MATCH(1,('PROSES ENJEKSİYON'!$A:$A=$I$2)*('PROSES ENJEKSİYON'!$F:$F=A26),0)),"")</f>
        <v/>
      </c>
      <c r="J26" s="34" t="str" cm="1">
        <f t="array" ref="J26">IFERROR(INDEX('PROSES ENJEKSİYON'!$G:$G,MATCH(1,('PROSES ENJEKSİYON'!$A:$A=$J$2)*('PROSES ENJEKSİYON'!$F:$F=A26),0)),"")</f>
        <v/>
      </c>
      <c r="K26" s="35" t="str" cm="1">
        <f t="array" ref="K26">IFERROR(INDEX('PROSES ENJEKSİYON'!$L:$L,MATCH(1,('PROSES ENJEKSİYON'!$A:$A=$K$2)*('PROSES ENJEKSİYON'!$F:$F=A26),0)),"")</f>
        <v/>
      </c>
      <c r="L26" s="34" t="str" cm="1">
        <f t="array" ref="L26">IFERROR(INDEX('PROSES ENJEKSİYON'!$G:$G,MATCH(1,('PROSES ENJEKSİYON'!$A:$A=$L$2)*('PROSES ENJEKSİYON'!$F:$F=A26),0)),"")</f>
        <v/>
      </c>
      <c r="M26" s="35" t="str" cm="1">
        <f t="array" ref="M26">IFERROR(INDEX('PROSES ENJEKSİYON'!$L:$L,MATCH(1,('PROSES ENJEKSİYON'!$A:$A=$M$2)*('PROSES ENJEKSİYON'!$F:$F=A26),0)),"")</f>
        <v/>
      </c>
      <c r="N26" s="34" t="str" cm="1">
        <f t="array" ref="N26">IFERROR(INDEX('PROSES ENJEKSİYON'!$G:$G,MATCH(1,('PROSES ENJEKSİYON'!$A:$A=$N$2)*('PROSES ENJEKSİYON'!$F:$F=A26),0)),"")</f>
        <v/>
      </c>
      <c r="O26" s="35" t="str" cm="1">
        <f t="array" ref="O26">IFERROR(INDEX('PROSES ENJEKSİYON'!$L:$L,MATCH(1,('PROSES ENJEKSİYON'!$A:$A=$O$2)*('PROSES ENJEKSİYON'!$F:$F=A26),0)),"")</f>
        <v/>
      </c>
      <c r="P26" s="34" t="str" cm="1">
        <f t="array" ref="P26">IFERROR(INDEX('PROSES ENJEKSİYON'!$G:$G,MATCH(1,('PROSES ENJEKSİYON'!$A:$A=$P$2)*('PROSES ENJEKSİYON'!$F:$F=A26),0)),"")</f>
        <v/>
      </c>
      <c r="Q26" s="35" t="str" cm="1">
        <f t="array" ref="Q26">IFERROR(INDEX('PROSES ENJEKSİYON'!$L:$L,MATCH(1,('PROSES ENJEKSİYON'!$A:$A=$Q$2)*('PROSES ENJEKSİYON'!$F:$F=A26),0)),"")</f>
        <v/>
      </c>
      <c r="R26" s="34" t="str" cm="1">
        <f t="array" ref="R26">IFERROR(INDEX('PROSES ENJEKSİYON'!$G:$G,MATCH(1,('PROSES ENJEKSİYON'!$A:$A=$R$2)*('PROSES ENJEKSİYON'!$F:$F=C26),0)),"")</f>
        <v/>
      </c>
      <c r="S26" s="35" t="str" cm="1">
        <f t="array" ref="S26">IFERROR(INDEX('PROSES ENJEKSİYON'!$L:$L,MATCH(1,('PROSES ENJEKSİYON'!$A:$A=$S$2)*('PROSES ENJEKSİYON'!$F:$F=C26),0)),"")</f>
        <v/>
      </c>
    </row>
    <row r="27" spans="1:19" ht="27.6" hidden="1" customHeight="1" x14ac:dyDescent="0.3">
      <c r="A27" s="3">
        <v>132</v>
      </c>
      <c r="B27" s="31" t="str" cm="1">
        <f t="array" ref="B27">IFERROR(INDEX('PROSES ENJEKSİYON'!$L:$L, MATCH(1,('PROSES ENJEKSİYON'!$A:$A=$B$2)*('PROSES ENJEKSİYON'!$F:$F=A27),0)), "")</f>
        <v/>
      </c>
      <c r="C27" s="31" t="str" cm="1">
        <f t="array" ref="C27">IFERROR(INDEX('PROSES ENJEKSİYON'!$L:$L,MATCH(1,('PROSES ENJEKSİYON'!$A:$A=$C$2)*('PROSES ENJEKSİYON'!$F:$F=A27),0)),"")</f>
        <v/>
      </c>
      <c r="D27" s="31" t="str" cm="1">
        <f t="array" ref="D27">IFERROR(INDEX('PROSES ENJEKSİYON'!$L:$L,MATCH(1,('PROSES ENJEKSİYON'!$A:$A=$D$2)*('PROSES ENJEKSİYON'!$F:$F=A27),0)),"")</f>
        <v/>
      </c>
      <c r="E27" s="31" t="str" cm="1">
        <f t="array" ref="E27">IFERROR(INDEX('PROSES ENJEKSİYON'!$L:$L,MATCH(1,('PROSES ENJEKSİYON'!$A:$A=$E$2)*('PROSES ENJEKSİYON'!$F:$F=A27),0)),"")</f>
        <v/>
      </c>
      <c r="F27" s="31" t="str" cm="1">
        <f t="array" ref="F27">IFERROR(INDEX('PROSES ENJEKSİYON'!$L:$L,MATCH(1,('PROSES ENJEKSİYON'!$A:$A=$F$2)*('PROSES ENJEKSİYON'!$F:$F=A27),0)),"")</f>
        <v/>
      </c>
      <c r="G27" s="31" t="str" cm="1">
        <f t="array" ref="G27">IFERROR(INDEX('PROSES ENJEKSİYON'!$L:$L,MATCH(1,('PROSES ENJEKSİYON'!$A:$A=$G$2)*('PROSES ENJEKSİYON'!$F:$F=A27),0)),"")</f>
        <v/>
      </c>
      <c r="H27" s="34" t="str" cm="1">
        <f t="array" ref="H27">IFERROR(INDEX('PROSES ENJEKSİYON'!$G:$G,MATCH(1,('PROSES ENJEKSİYON'!$A:$A=$H$2)*('PROSES ENJEKSİYON'!$F:$F=A27),0)),"")</f>
        <v/>
      </c>
      <c r="I27" s="35" t="str" cm="1">
        <f t="array" ref="I27">IFERROR(INDEX('PROSES ENJEKSİYON'!$L:$L,MATCH(1,('PROSES ENJEKSİYON'!$A:$A=$I$2)*('PROSES ENJEKSİYON'!$F:$F=A27),0)),"")</f>
        <v/>
      </c>
      <c r="J27" s="34" t="str" cm="1">
        <f t="array" ref="J27">IFERROR(INDEX('PROSES ENJEKSİYON'!$G:$G,MATCH(1,('PROSES ENJEKSİYON'!$A:$A=$J$2)*('PROSES ENJEKSİYON'!$F:$F=A27),0)),"")</f>
        <v/>
      </c>
      <c r="K27" s="35" t="str" cm="1">
        <f t="array" ref="K27">IFERROR(INDEX('PROSES ENJEKSİYON'!$L:$L,MATCH(1,('PROSES ENJEKSİYON'!$A:$A=$K$2)*('PROSES ENJEKSİYON'!$F:$F=A27),0)),"")</f>
        <v/>
      </c>
      <c r="L27" s="34" t="str" cm="1">
        <f t="array" ref="L27">IFERROR(INDEX('PROSES ENJEKSİYON'!$G:$G,MATCH(1,('PROSES ENJEKSİYON'!$A:$A=$L$2)*('PROSES ENJEKSİYON'!$F:$F=A27),0)),"")</f>
        <v/>
      </c>
      <c r="M27" s="35" t="str" cm="1">
        <f t="array" ref="M27">IFERROR(INDEX('PROSES ENJEKSİYON'!$L:$L,MATCH(1,('PROSES ENJEKSİYON'!$A:$A=$M$2)*('PROSES ENJEKSİYON'!$F:$F=A27),0)),"")</f>
        <v/>
      </c>
      <c r="N27" s="34" t="str" cm="1">
        <f t="array" ref="N27">IFERROR(INDEX('PROSES ENJEKSİYON'!$G:$G,MATCH(1,('PROSES ENJEKSİYON'!$A:$A=$N$2)*('PROSES ENJEKSİYON'!$F:$F=A27),0)),"")</f>
        <v/>
      </c>
      <c r="O27" s="35" t="str" cm="1">
        <f t="array" ref="O27">IFERROR(INDEX('PROSES ENJEKSİYON'!$L:$L,MATCH(1,('PROSES ENJEKSİYON'!$A:$A=$O$2)*('PROSES ENJEKSİYON'!$F:$F=A27),0)),"")</f>
        <v/>
      </c>
      <c r="P27" s="34" t="str" cm="1">
        <f t="array" ref="P27">IFERROR(INDEX('PROSES ENJEKSİYON'!$G:$G,MATCH(1,('PROSES ENJEKSİYON'!$A:$A=$P$2)*('PROSES ENJEKSİYON'!$F:$F=A27),0)),"")</f>
        <v/>
      </c>
      <c r="Q27" s="35" t="str" cm="1">
        <f t="array" ref="Q27">IFERROR(INDEX('PROSES ENJEKSİYON'!$L:$L,MATCH(1,('PROSES ENJEKSİYON'!$A:$A=$Q$2)*('PROSES ENJEKSİYON'!$F:$F=A27),0)),"")</f>
        <v/>
      </c>
      <c r="R27" s="34" t="str" cm="1">
        <f t="array" ref="R27">IFERROR(INDEX('PROSES ENJEKSİYON'!$G:$G,MATCH(1,('PROSES ENJEKSİYON'!$A:$A=$R$2)*('PROSES ENJEKSİYON'!$F:$F=C27),0)),"")</f>
        <v/>
      </c>
      <c r="S27" s="35" t="str" cm="1">
        <f t="array" ref="S27">IFERROR(INDEX('PROSES ENJEKSİYON'!$L:$L,MATCH(1,('PROSES ENJEKSİYON'!$A:$A=$S$2)*('PROSES ENJEKSİYON'!$F:$F=C27),0)),"")</f>
        <v/>
      </c>
    </row>
    <row r="28" spans="1:19" ht="27.6" hidden="1" customHeight="1" x14ac:dyDescent="0.3">
      <c r="A28" s="3">
        <v>133</v>
      </c>
      <c r="B28" s="31" t="str" cm="1">
        <f t="array" ref="B28">IFERROR(INDEX('PROSES ENJEKSİYON'!$L:$L, MATCH(1,('PROSES ENJEKSİYON'!$A:$A=$B$2)*('PROSES ENJEKSİYON'!$F:$F=A28),0)), "")</f>
        <v/>
      </c>
      <c r="C28" s="31" t="str" cm="1">
        <f t="array" ref="C28">IFERROR(INDEX('PROSES ENJEKSİYON'!$L:$L,MATCH(1,('PROSES ENJEKSİYON'!$A:$A=$C$2)*('PROSES ENJEKSİYON'!$F:$F=A28),0)),"")</f>
        <v/>
      </c>
      <c r="D28" s="31" t="str" cm="1">
        <f t="array" ref="D28">IFERROR(INDEX('PROSES ENJEKSİYON'!$L:$L,MATCH(1,('PROSES ENJEKSİYON'!$A:$A=$D$2)*('PROSES ENJEKSİYON'!$F:$F=A28),0)),"")</f>
        <v/>
      </c>
      <c r="E28" s="31" t="str" cm="1">
        <f t="array" ref="E28">IFERROR(INDEX('PROSES ENJEKSİYON'!$L:$L,MATCH(1,('PROSES ENJEKSİYON'!$A:$A=$E$2)*('PROSES ENJEKSİYON'!$F:$F=A28),0)),"")</f>
        <v/>
      </c>
      <c r="F28" s="31" t="str" cm="1">
        <f t="array" ref="F28">IFERROR(INDEX('PROSES ENJEKSİYON'!$L:$L,MATCH(1,('PROSES ENJEKSİYON'!$A:$A=$F$2)*('PROSES ENJEKSİYON'!$F:$F=A28),0)),"")</f>
        <v/>
      </c>
      <c r="G28" s="31" t="str" cm="1">
        <f t="array" ref="G28">IFERROR(INDEX('PROSES ENJEKSİYON'!$L:$L,MATCH(1,('PROSES ENJEKSİYON'!$A:$A=$G$2)*('PROSES ENJEKSİYON'!$F:$F=A28),0)),"")</f>
        <v/>
      </c>
      <c r="H28" s="34" t="str" cm="1">
        <f t="array" ref="H28">IFERROR(INDEX('PROSES ENJEKSİYON'!$G:$G,MATCH(1,('PROSES ENJEKSİYON'!$A:$A=$H$2)*('PROSES ENJEKSİYON'!$F:$F=A28),0)),"")</f>
        <v/>
      </c>
      <c r="I28" s="35" t="str" cm="1">
        <f t="array" ref="I28">IFERROR(INDEX('PROSES ENJEKSİYON'!$L:$L,MATCH(1,('PROSES ENJEKSİYON'!$A:$A=$I$2)*('PROSES ENJEKSİYON'!$F:$F=A28),0)),"")</f>
        <v/>
      </c>
      <c r="J28" s="34" t="str" cm="1">
        <f t="array" ref="J28">IFERROR(INDEX('PROSES ENJEKSİYON'!$G:$G,MATCH(1,('PROSES ENJEKSİYON'!$A:$A=$J$2)*('PROSES ENJEKSİYON'!$F:$F=A28),0)),"")</f>
        <v/>
      </c>
      <c r="K28" s="35" t="str" cm="1">
        <f t="array" ref="K28">IFERROR(INDEX('PROSES ENJEKSİYON'!$L:$L,MATCH(1,('PROSES ENJEKSİYON'!$A:$A=$K$2)*('PROSES ENJEKSİYON'!$F:$F=A28),0)),"")</f>
        <v/>
      </c>
      <c r="L28" s="34" t="str" cm="1">
        <f t="array" ref="L28">IFERROR(INDEX('PROSES ENJEKSİYON'!$G:$G,MATCH(1,('PROSES ENJEKSİYON'!$A:$A=$L$2)*('PROSES ENJEKSİYON'!$F:$F=A28),0)),"")</f>
        <v/>
      </c>
      <c r="M28" s="35" t="str" cm="1">
        <f t="array" ref="M28">IFERROR(INDEX('PROSES ENJEKSİYON'!$L:$L,MATCH(1,('PROSES ENJEKSİYON'!$A:$A=$M$2)*('PROSES ENJEKSİYON'!$F:$F=A28),0)),"")</f>
        <v/>
      </c>
      <c r="N28" s="34" t="str" cm="1">
        <f t="array" ref="N28">IFERROR(INDEX('PROSES ENJEKSİYON'!$G:$G,MATCH(1,('PROSES ENJEKSİYON'!$A:$A=$N$2)*('PROSES ENJEKSİYON'!$F:$F=A28),0)),"")</f>
        <v/>
      </c>
      <c r="O28" s="35" t="str" cm="1">
        <f t="array" ref="O28">IFERROR(INDEX('PROSES ENJEKSİYON'!$L:$L,MATCH(1,('PROSES ENJEKSİYON'!$A:$A=$O$2)*('PROSES ENJEKSİYON'!$F:$F=A28),0)),"")</f>
        <v/>
      </c>
      <c r="P28" s="34" t="str" cm="1">
        <f t="array" ref="P28">IFERROR(INDEX('PROSES ENJEKSİYON'!$G:$G,MATCH(1,('PROSES ENJEKSİYON'!$A:$A=$P$2)*('PROSES ENJEKSİYON'!$F:$F=A28),0)),"")</f>
        <v/>
      </c>
      <c r="Q28" s="35" t="str" cm="1">
        <f t="array" ref="Q28">IFERROR(INDEX('PROSES ENJEKSİYON'!$L:$L,MATCH(1,('PROSES ENJEKSİYON'!$A:$A=$Q$2)*('PROSES ENJEKSİYON'!$F:$F=A28),0)),"")</f>
        <v/>
      </c>
      <c r="R28" s="34" t="str" cm="1">
        <f t="array" ref="R28">IFERROR(INDEX('PROSES ENJEKSİYON'!$G:$G,MATCH(1,('PROSES ENJEKSİYON'!$A:$A=$R$2)*('PROSES ENJEKSİYON'!$F:$F=C28),0)),"")</f>
        <v/>
      </c>
      <c r="S28" s="35" t="str" cm="1">
        <f t="array" ref="S28">IFERROR(INDEX('PROSES ENJEKSİYON'!$L:$L,MATCH(1,('PROSES ENJEKSİYON'!$A:$A=$S$2)*('PROSES ENJEKSİYON'!$F:$F=C28),0)),"")</f>
        <v/>
      </c>
    </row>
    <row r="29" spans="1:19" ht="27.6" hidden="1" customHeight="1" x14ac:dyDescent="0.3">
      <c r="A29" s="3">
        <v>134</v>
      </c>
      <c r="B29" s="31" t="str" cm="1">
        <f t="array" ref="B29">IFERROR(INDEX('PROSES ENJEKSİYON'!$L:$L, MATCH(1,('PROSES ENJEKSİYON'!$A:$A=$B$2)*('PROSES ENJEKSİYON'!$F:$F=A29),0)), "")</f>
        <v/>
      </c>
      <c r="C29" s="31" t="str" cm="1">
        <f t="array" ref="C29">IFERROR(INDEX('PROSES ENJEKSİYON'!$L:$L,MATCH(1,('PROSES ENJEKSİYON'!$A:$A=$C$2)*('PROSES ENJEKSİYON'!$F:$F=A29),0)),"")</f>
        <v/>
      </c>
      <c r="D29" s="31" t="str" cm="1">
        <f t="array" ref="D29">IFERROR(INDEX('PROSES ENJEKSİYON'!$L:$L,MATCH(1,('PROSES ENJEKSİYON'!$A:$A=$D$2)*('PROSES ENJEKSİYON'!$F:$F=A29),0)),"")</f>
        <v/>
      </c>
      <c r="E29" s="31" t="str" cm="1">
        <f t="array" ref="E29">IFERROR(INDEX('PROSES ENJEKSİYON'!$L:$L,MATCH(1,('PROSES ENJEKSİYON'!$A:$A=$E$2)*('PROSES ENJEKSİYON'!$F:$F=A29),0)),"")</f>
        <v/>
      </c>
      <c r="F29" s="31" t="str" cm="1">
        <f t="array" ref="F29">IFERROR(INDEX('PROSES ENJEKSİYON'!$L:$L,MATCH(1,('PROSES ENJEKSİYON'!$A:$A=$F$2)*('PROSES ENJEKSİYON'!$F:$F=A29),0)),"")</f>
        <v/>
      </c>
      <c r="G29" s="31" t="str" cm="1">
        <f t="array" ref="G29">IFERROR(INDEX('PROSES ENJEKSİYON'!$L:$L,MATCH(1,('PROSES ENJEKSİYON'!$A:$A=$G$2)*('PROSES ENJEKSİYON'!$F:$F=A29),0)),"")</f>
        <v/>
      </c>
      <c r="H29" s="34" t="str" cm="1">
        <f t="array" ref="H29">IFERROR(INDEX('PROSES ENJEKSİYON'!$G:$G,MATCH(1,('PROSES ENJEKSİYON'!$A:$A=$H$2)*('PROSES ENJEKSİYON'!$F:$F=A29),0)),"")</f>
        <v/>
      </c>
      <c r="I29" s="35" t="str" cm="1">
        <f t="array" ref="I29">IFERROR(INDEX('PROSES ENJEKSİYON'!$L:$L,MATCH(1,('PROSES ENJEKSİYON'!$A:$A=$I$2)*('PROSES ENJEKSİYON'!$F:$F=A29),0)),"")</f>
        <v/>
      </c>
      <c r="J29" s="34" t="str" cm="1">
        <f t="array" ref="J29">IFERROR(INDEX('PROSES ENJEKSİYON'!$G:$G,MATCH(1,('PROSES ENJEKSİYON'!$A:$A=$J$2)*('PROSES ENJEKSİYON'!$F:$F=A29),0)),"")</f>
        <v/>
      </c>
      <c r="K29" s="35" t="str" cm="1">
        <f t="array" ref="K29">IFERROR(INDEX('PROSES ENJEKSİYON'!$L:$L,MATCH(1,('PROSES ENJEKSİYON'!$A:$A=$K$2)*('PROSES ENJEKSİYON'!$F:$F=A29),0)),"")</f>
        <v/>
      </c>
      <c r="L29" s="34" t="str" cm="1">
        <f t="array" ref="L29">IFERROR(INDEX('PROSES ENJEKSİYON'!$G:$G,MATCH(1,('PROSES ENJEKSİYON'!$A:$A=$L$2)*('PROSES ENJEKSİYON'!$F:$F=A29),0)),"")</f>
        <v/>
      </c>
      <c r="M29" s="35" t="str" cm="1">
        <f t="array" ref="M29">IFERROR(INDEX('PROSES ENJEKSİYON'!$L:$L,MATCH(1,('PROSES ENJEKSİYON'!$A:$A=$M$2)*('PROSES ENJEKSİYON'!$F:$F=A29),0)),"")</f>
        <v/>
      </c>
      <c r="N29" s="34" t="str" cm="1">
        <f t="array" ref="N29">IFERROR(INDEX('PROSES ENJEKSİYON'!$G:$G,MATCH(1,('PROSES ENJEKSİYON'!$A:$A=$N$2)*('PROSES ENJEKSİYON'!$F:$F=A29),0)),"")</f>
        <v/>
      </c>
      <c r="O29" s="35" t="str" cm="1">
        <f t="array" ref="O29">IFERROR(INDEX('PROSES ENJEKSİYON'!$L:$L,MATCH(1,('PROSES ENJEKSİYON'!$A:$A=$O$2)*('PROSES ENJEKSİYON'!$F:$F=A29),0)),"")</f>
        <v/>
      </c>
      <c r="P29" s="34" t="str" cm="1">
        <f t="array" ref="P29">IFERROR(INDEX('PROSES ENJEKSİYON'!$G:$G,MATCH(1,('PROSES ENJEKSİYON'!$A:$A=$P$2)*('PROSES ENJEKSİYON'!$F:$F=A29),0)),"")</f>
        <v/>
      </c>
      <c r="Q29" s="35" t="str" cm="1">
        <f t="array" ref="Q29">IFERROR(INDEX('PROSES ENJEKSİYON'!$L:$L,MATCH(1,('PROSES ENJEKSİYON'!$A:$A=$Q$2)*('PROSES ENJEKSİYON'!$F:$F=A29),0)),"")</f>
        <v/>
      </c>
      <c r="R29" s="34" t="str" cm="1">
        <f t="array" ref="R29">IFERROR(INDEX('PROSES ENJEKSİYON'!$G:$G,MATCH(1,('PROSES ENJEKSİYON'!$A:$A=$R$2)*('PROSES ENJEKSİYON'!$F:$F=C29),0)),"")</f>
        <v/>
      </c>
      <c r="S29" s="35" t="str" cm="1">
        <f t="array" ref="S29">IFERROR(INDEX('PROSES ENJEKSİYON'!$L:$L,MATCH(1,('PROSES ENJEKSİYON'!$A:$A=$S$2)*('PROSES ENJEKSİYON'!$F:$F=C29),0)),"")</f>
        <v/>
      </c>
    </row>
    <row r="30" spans="1:19" ht="27.6" hidden="1" customHeight="1" x14ac:dyDescent="0.3">
      <c r="A30" s="3">
        <v>135</v>
      </c>
      <c r="B30" s="31" t="str" cm="1">
        <f t="array" ref="B30">IFERROR(INDEX('PROSES ENJEKSİYON'!$L:$L, MATCH(1,('PROSES ENJEKSİYON'!$A:$A=$B$2)*('PROSES ENJEKSİYON'!$F:$F=A30),0)), "")</f>
        <v/>
      </c>
      <c r="C30" s="31" t="str" cm="1">
        <f t="array" ref="C30">IFERROR(INDEX('PROSES ENJEKSİYON'!$L:$L,MATCH(1,('PROSES ENJEKSİYON'!$A:$A=$C$2)*('PROSES ENJEKSİYON'!$F:$F=A30),0)),"")</f>
        <v/>
      </c>
      <c r="D30" s="31" t="str" cm="1">
        <f t="array" ref="D30">IFERROR(INDEX('PROSES ENJEKSİYON'!$L:$L,MATCH(1,('PROSES ENJEKSİYON'!$A:$A=$D$2)*('PROSES ENJEKSİYON'!$F:$F=A30),0)),"")</f>
        <v/>
      </c>
      <c r="E30" s="31" t="str" cm="1">
        <f t="array" ref="E30">IFERROR(INDEX('PROSES ENJEKSİYON'!$L:$L,MATCH(1,('PROSES ENJEKSİYON'!$A:$A=$E$2)*('PROSES ENJEKSİYON'!$F:$F=A30),0)),"")</f>
        <v/>
      </c>
      <c r="F30" s="31" t="str" cm="1">
        <f t="array" ref="F30">IFERROR(INDEX('PROSES ENJEKSİYON'!$L:$L,MATCH(1,('PROSES ENJEKSİYON'!$A:$A=$F$2)*('PROSES ENJEKSİYON'!$F:$F=A30),0)),"")</f>
        <v/>
      </c>
      <c r="G30" s="31" t="str" cm="1">
        <f t="array" ref="G30">IFERROR(INDEX('PROSES ENJEKSİYON'!$L:$L,MATCH(1,('PROSES ENJEKSİYON'!$A:$A=$G$2)*('PROSES ENJEKSİYON'!$F:$F=A30),0)),"")</f>
        <v/>
      </c>
      <c r="H30" s="34" t="str" cm="1">
        <f t="array" ref="H30">IFERROR(INDEX('PROSES ENJEKSİYON'!$G:$G,MATCH(1,('PROSES ENJEKSİYON'!$A:$A=$H$2)*('PROSES ENJEKSİYON'!$F:$F=A30),0)),"")</f>
        <v/>
      </c>
      <c r="I30" s="35" t="str" cm="1">
        <f t="array" ref="I30">IFERROR(INDEX('PROSES ENJEKSİYON'!$L:$L,MATCH(1,('PROSES ENJEKSİYON'!$A:$A=$I$2)*('PROSES ENJEKSİYON'!$F:$F=A30),0)),"")</f>
        <v/>
      </c>
      <c r="J30" s="34" t="str" cm="1">
        <f t="array" ref="J30">IFERROR(INDEX('PROSES ENJEKSİYON'!$G:$G,MATCH(1,('PROSES ENJEKSİYON'!$A:$A=$J$2)*('PROSES ENJEKSİYON'!$F:$F=A30),0)),"")</f>
        <v/>
      </c>
      <c r="K30" s="35" t="str" cm="1">
        <f t="array" ref="K30">IFERROR(INDEX('PROSES ENJEKSİYON'!$L:$L,MATCH(1,('PROSES ENJEKSİYON'!$A:$A=$K$2)*('PROSES ENJEKSİYON'!$F:$F=A30),0)),"")</f>
        <v/>
      </c>
      <c r="L30" s="34" t="str" cm="1">
        <f t="array" ref="L30">IFERROR(INDEX('PROSES ENJEKSİYON'!$G:$G,MATCH(1,('PROSES ENJEKSİYON'!$A:$A=$L$2)*('PROSES ENJEKSİYON'!$F:$F=A30),0)),"")</f>
        <v/>
      </c>
      <c r="M30" s="35" t="str" cm="1">
        <f t="array" ref="M30">IFERROR(INDEX('PROSES ENJEKSİYON'!$L:$L,MATCH(1,('PROSES ENJEKSİYON'!$A:$A=$M$2)*('PROSES ENJEKSİYON'!$F:$F=A30),0)),"")</f>
        <v/>
      </c>
      <c r="N30" s="34" t="str" cm="1">
        <f t="array" ref="N30">IFERROR(INDEX('PROSES ENJEKSİYON'!$G:$G,MATCH(1,('PROSES ENJEKSİYON'!$A:$A=$N$2)*('PROSES ENJEKSİYON'!$F:$F=A30),0)),"")</f>
        <v/>
      </c>
      <c r="O30" s="35" t="str" cm="1">
        <f t="array" ref="O30">IFERROR(INDEX('PROSES ENJEKSİYON'!$L:$L,MATCH(1,('PROSES ENJEKSİYON'!$A:$A=$O$2)*('PROSES ENJEKSİYON'!$F:$F=A30),0)),"")</f>
        <v/>
      </c>
      <c r="P30" s="34" t="str" cm="1">
        <f t="array" ref="P30">IFERROR(INDEX('PROSES ENJEKSİYON'!$G:$G,MATCH(1,('PROSES ENJEKSİYON'!$A:$A=$P$2)*('PROSES ENJEKSİYON'!$F:$F=A30),0)),"")</f>
        <v/>
      </c>
      <c r="Q30" s="35" t="str" cm="1">
        <f t="array" ref="Q30">IFERROR(INDEX('PROSES ENJEKSİYON'!$L:$L,MATCH(1,('PROSES ENJEKSİYON'!$A:$A=$Q$2)*('PROSES ENJEKSİYON'!$F:$F=A30),0)),"")</f>
        <v/>
      </c>
      <c r="R30" s="34" t="str" cm="1">
        <f t="array" ref="R30">IFERROR(INDEX('PROSES ENJEKSİYON'!$G:$G,MATCH(1,('PROSES ENJEKSİYON'!$A:$A=$R$2)*('PROSES ENJEKSİYON'!$F:$F=C30),0)),"")</f>
        <v/>
      </c>
      <c r="S30" s="35" t="str" cm="1">
        <f t="array" ref="S30">IFERROR(INDEX('PROSES ENJEKSİYON'!$L:$L,MATCH(1,('PROSES ENJEKSİYON'!$A:$A=$S$2)*('PROSES ENJEKSİYON'!$F:$F=C30),0)),"")</f>
        <v/>
      </c>
    </row>
    <row r="31" spans="1:19" ht="27.6" customHeight="1" x14ac:dyDescent="0.3">
      <c r="A31" s="3">
        <v>201</v>
      </c>
      <c r="B31" s="31" t="str" cm="1">
        <f t="array" ref="B31">IFERROR(INDEX('PROSES ENJEKSİYON'!$L:$L, MATCH(1,('PROSES ENJEKSİYON'!$A:$A=$B$2)*('PROSES ENJEKSİYON'!$F:$F=A31),0)), "")</f>
        <v/>
      </c>
      <c r="C31" s="31" t="str" cm="1">
        <f t="array" ref="C31">IFERROR(INDEX('PROSES ENJEKSİYON'!$L:$L,MATCH(1,('PROSES ENJEKSİYON'!$A:$A=$C$2)*('PROSES ENJEKSİYON'!$F:$F=A31),0)),"")</f>
        <v/>
      </c>
      <c r="D31" s="31" t="str" cm="1">
        <f t="array" ref="D31">IFERROR(INDEX('PROSES ENJEKSİYON'!$L:$L,MATCH(1,('PROSES ENJEKSİYON'!$A:$A=$D$2)*('PROSES ENJEKSİYON'!$F:$F=A31),0)),"")</f>
        <v/>
      </c>
      <c r="E31" s="31" t="str" cm="1">
        <f t="array" ref="E31">IFERROR(INDEX('PROSES ENJEKSİYON'!$L:$L,MATCH(1,('PROSES ENJEKSİYON'!$A:$A=$E$2)*('PROSES ENJEKSİYON'!$F:$F=A31),0)),"")</f>
        <v/>
      </c>
      <c r="F31" s="31" t="str" cm="1">
        <f t="array" ref="F31">IFERROR(INDEX('PROSES ENJEKSİYON'!$L:$L,MATCH(1,('PROSES ENJEKSİYON'!$A:$A=$F$2)*('PROSES ENJEKSİYON'!$F:$F=A31),0)),"")</f>
        <v/>
      </c>
      <c r="G31" s="31" t="str" cm="1">
        <f t="array" ref="G31">IFERROR(INDEX('PROSES ENJEKSİYON'!$L:$L,MATCH(1,('PROSES ENJEKSİYON'!$A:$A=$G$2)*('PROSES ENJEKSİYON'!$F:$F=A31),0)),"")</f>
        <v/>
      </c>
      <c r="H31" s="34" t="str" cm="1">
        <f t="array" ref="H31">IFERROR(INDEX('PROSES ENJEKSİYON'!$G:$G,MATCH(1,('PROSES ENJEKSİYON'!$A:$A=$H$2)*('PROSES ENJEKSİYON'!$F:$F=A31),0)),"")</f>
        <v/>
      </c>
      <c r="I31" s="35" t="str" cm="1">
        <f t="array" ref="I31">IFERROR(INDEX('PROSES ENJEKSİYON'!$L:$L,MATCH(1,('PROSES ENJEKSİYON'!$A:$A=$I$2)*('PROSES ENJEKSİYON'!$F:$F=A31),0)),"")</f>
        <v/>
      </c>
      <c r="J31" s="34" t="str" cm="1">
        <f t="array" ref="J31">IFERROR(INDEX('PROSES ENJEKSİYON'!$G:$G,MATCH(1,('PROSES ENJEKSİYON'!$A:$A=$J$2)*('PROSES ENJEKSİYON'!$F:$F=A31),0)),"")</f>
        <v/>
      </c>
      <c r="K31" s="35" t="str" cm="1">
        <f t="array" ref="K31">IFERROR(INDEX('PROSES ENJEKSİYON'!$L:$L,MATCH(1,('PROSES ENJEKSİYON'!$A:$A=$K$2)*('PROSES ENJEKSİYON'!$F:$F=A31),0)),"")</f>
        <v/>
      </c>
      <c r="L31" s="34" t="str" cm="1">
        <f t="array" ref="L31">IFERROR(INDEX('PROSES ENJEKSİYON'!$G:$G,MATCH(1,('PROSES ENJEKSİYON'!$A:$A=$L$2)*('PROSES ENJEKSİYON'!$F:$F=A31),0)),"")</f>
        <v/>
      </c>
      <c r="M31" s="35" t="str" cm="1">
        <f t="array" ref="M31">IFERROR(INDEX('PROSES ENJEKSİYON'!$L:$L,MATCH(1,('PROSES ENJEKSİYON'!$A:$A=$M$2)*('PROSES ENJEKSİYON'!$F:$F=A31),0)),"")</f>
        <v/>
      </c>
      <c r="N31" s="34" t="str" cm="1">
        <f t="array" ref="N31">IFERROR(INDEX('PROSES ENJEKSİYON'!$G:$G,MATCH(1,('PROSES ENJEKSİYON'!$A:$A=$N$2)*('PROSES ENJEKSİYON'!$F:$F=A31),0)),"")</f>
        <v/>
      </c>
      <c r="O31" s="35" t="str" cm="1">
        <f t="array" ref="O31">IFERROR(INDEX('PROSES ENJEKSİYON'!$L:$L,MATCH(1,('PROSES ENJEKSİYON'!$A:$A=$O$2)*('PROSES ENJEKSİYON'!$F:$F=A31),0)),"")</f>
        <v/>
      </c>
      <c r="P31" s="34" t="str" cm="1">
        <f t="array" ref="P31">IFERROR(INDEX('PROSES ENJEKSİYON'!$G:$G,MATCH(1,('PROSES ENJEKSİYON'!$A:$A=$P$2)*('PROSES ENJEKSİYON'!$F:$F=A31),0)),"")</f>
        <v/>
      </c>
      <c r="Q31" s="35" t="str" cm="1">
        <f t="array" ref="Q31">IFERROR(INDEX('PROSES ENJEKSİYON'!$L:$L,MATCH(1,('PROSES ENJEKSİYON'!$A:$A=$Q$2)*('PROSES ENJEKSİYON'!$F:$F=A31),0)),"")</f>
        <v/>
      </c>
      <c r="R31" s="34" t="str" cm="1">
        <f t="array" ref="R31">IFERROR(INDEX('PROSES ENJEKSİYON'!$G:$G,MATCH(1,('PROSES ENJEKSİYON'!$A:$A=$R$2)*('PROSES ENJEKSİYON'!$F:$F=C31),0)),"")</f>
        <v/>
      </c>
      <c r="S31" s="35" t="str" cm="1">
        <f t="array" ref="S31">IFERROR(INDEX('PROSES ENJEKSİYON'!$L:$L,MATCH(1,('PROSES ENJEKSİYON'!$A:$A=$S$2)*('PROSES ENJEKSİYON'!$F:$F=C31),0)),"")</f>
        <v/>
      </c>
    </row>
    <row r="32" spans="1:19" ht="27.6" customHeight="1" x14ac:dyDescent="0.3">
      <c r="A32" s="3">
        <v>202</v>
      </c>
      <c r="B32" s="31" t="str" cm="1">
        <f t="array" ref="B32">IFERROR(INDEX('PROSES ENJEKSİYON'!$L:$L, MATCH(1,('PROSES ENJEKSİYON'!$A:$A=$B$2)*('PROSES ENJEKSİYON'!$F:$F=A32),0)), "")</f>
        <v/>
      </c>
      <c r="C32" s="31" t="str" cm="1">
        <f t="array" ref="C32">IFERROR(INDEX('PROSES ENJEKSİYON'!$L:$L,MATCH(1,('PROSES ENJEKSİYON'!$A:$A=$C$2)*('PROSES ENJEKSİYON'!$F:$F=A32),0)),"")</f>
        <v/>
      </c>
      <c r="D32" s="31" t="str" cm="1">
        <f t="array" ref="D32">IFERROR(INDEX('PROSES ENJEKSİYON'!$L:$L,MATCH(1,('PROSES ENJEKSİYON'!$A:$A=$D$2)*('PROSES ENJEKSİYON'!$F:$F=A32),0)),"")</f>
        <v/>
      </c>
      <c r="E32" s="31" t="str" cm="1">
        <f t="array" ref="E32">IFERROR(INDEX('PROSES ENJEKSİYON'!$L:$L,MATCH(1,('PROSES ENJEKSİYON'!$A:$A=$E$2)*('PROSES ENJEKSİYON'!$F:$F=A32),0)),"")</f>
        <v/>
      </c>
      <c r="F32" s="31" t="str" cm="1">
        <f t="array" ref="F32">IFERROR(INDEX('PROSES ENJEKSİYON'!$L:$L,MATCH(1,('PROSES ENJEKSİYON'!$A:$A=$F$2)*('PROSES ENJEKSİYON'!$F:$F=A32),0)),"")</f>
        <v/>
      </c>
      <c r="G32" s="31" t="str" cm="1">
        <f t="array" ref="G32">IFERROR(INDEX('PROSES ENJEKSİYON'!$L:$L,MATCH(1,('PROSES ENJEKSİYON'!$A:$A=$G$2)*('PROSES ENJEKSİYON'!$F:$F=A32),0)),"")</f>
        <v/>
      </c>
      <c r="H32" s="34" t="str" cm="1">
        <f t="array" ref="H32">IFERROR(INDEX('PROSES ENJEKSİYON'!$G:$G,MATCH(1,('PROSES ENJEKSİYON'!$A:$A=$H$2)*('PROSES ENJEKSİYON'!$F:$F=A32),0)),"")</f>
        <v/>
      </c>
      <c r="I32" s="35" t="str" cm="1">
        <f t="array" ref="I32">IFERROR(INDEX('PROSES ENJEKSİYON'!$L:$L,MATCH(1,('PROSES ENJEKSİYON'!$A:$A=$I$2)*('PROSES ENJEKSİYON'!$F:$F=A32),0)),"")</f>
        <v/>
      </c>
      <c r="J32" s="34" t="str" cm="1">
        <f t="array" ref="J32">IFERROR(INDEX('PROSES ENJEKSİYON'!$G:$G,MATCH(1,('PROSES ENJEKSİYON'!$A:$A=$J$2)*('PROSES ENJEKSİYON'!$F:$F=A32),0)),"")</f>
        <v/>
      </c>
      <c r="K32" s="35" t="str" cm="1">
        <f t="array" ref="K32">IFERROR(INDEX('PROSES ENJEKSİYON'!$L:$L,MATCH(1,('PROSES ENJEKSİYON'!$A:$A=$K$2)*('PROSES ENJEKSİYON'!$F:$F=A32),0)),"")</f>
        <v/>
      </c>
      <c r="L32" s="34" t="str" cm="1">
        <f t="array" ref="L32">IFERROR(INDEX('PROSES ENJEKSİYON'!$G:$G,MATCH(1,('PROSES ENJEKSİYON'!$A:$A=$L$2)*('PROSES ENJEKSİYON'!$F:$F=A32),0)),"")</f>
        <v/>
      </c>
      <c r="M32" s="35" t="str" cm="1">
        <f t="array" ref="M32">IFERROR(INDEX('PROSES ENJEKSİYON'!$L:$L,MATCH(1,('PROSES ENJEKSİYON'!$A:$A=$M$2)*('PROSES ENJEKSİYON'!$F:$F=A32),0)),"")</f>
        <v/>
      </c>
      <c r="N32" s="34" t="str" cm="1">
        <f t="array" ref="N32">IFERROR(INDEX('PROSES ENJEKSİYON'!$G:$G,MATCH(1,('PROSES ENJEKSİYON'!$A:$A=$N$2)*('PROSES ENJEKSİYON'!$F:$F=A32),0)),"")</f>
        <v/>
      </c>
      <c r="O32" s="35" t="str" cm="1">
        <f t="array" ref="O32">IFERROR(INDEX('PROSES ENJEKSİYON'!$L:$L,MATCH(1,('PROSES ENJEKSİYON'!$A:$A=$O$2)*('PROSES ENJEKSİYON'!$F:$F=A32),0)),"")</f>
        <v/>
      </c>
      <c r="P32" s="34" t="str" cm="1">
        <f t="array" ref="P32">IFERROR(INDEX('PROSES ENJEKSİYON'!$G:$G,MATCH(1,('PROSES ENJEKSİYON'!$A:$A=$P$2)*('PROSES ENJEKSİYON'!$F:$F=A32),0)),"")</f>
        <v/>
      </c>
      <c r="Q32" s="35" t="str" cm="1">
        <f t="array" ref="Q32">IFERROR(INDEX('PROSES ENJEKSİYON'!$L:$L,MATCH(1,('PROSES ENJEKSİYON'!$A:$A=$Q$2)*('PROSES ENJEKSİYON'!$F:$F=A32),0)),"")</f>
        <v/>
      </c>
      <c r="R32" s="34" t="str" cm="1">
        <f t="array" ref="R32">IFERROR(INDEX('PROSES ENJEKSİYON'!$G:$G,MATCH(1,('PROSES ENJEKSİYON'!$A:$A=$R$2)*('PROSES ENJEKSİYON'!$F:$F=C32),0)),"")</f>
        <v/>
      </c>
      <c r="S32" s="35" t="str" cm="1">
        <f t="array" ref="S32">IFERROR(INDEX('PROSES ENJEKSİYON'!$L:$L,MATCH(1,('PROSES ENJEKSİYON'!$A:$A=$S$2)*('PROSES ENJEKSİYON'!$F:$F=C32),0)),"")</f>
        <v/>
      </c>
    </row>
    <row r="33" spans="1:19" ht="27.6" customHeight="1" x14ac:dyDescent="0.3">
      <c r="A33" s="3">
        <v>203</v>
      </c>
      <c r="B33" s="31" t="str" cm="1">
        <f t="array" ref="B33">IFERROR(INDEX('PROSES ENJEKSİYON'!$L:$L, MATCH(1,('PROSES ENJEKSİYON'!$A:$A=$B$2)*('PROSES ENJEKSİYON'!$F:$F=A33),0)), "")</f>
        <v/>
      </c>
      <c r="C33" s="31" t="str" cm="1">
        <f t="array" ref="C33">IFERROR(INDEX('PROSES ENJEKSİYON'!$L:$L,MATCH(1,('PROSES ENJEKSİYON'!$A:$A=$C$2)*('PROSES ENJEKSİYON'!$F:$F=A33),0)),"")</f>
        <v/>
      </c>
      <c r="D33" s="31" t="str" cm="1">
        <f t="array" ref="D33">IFERROR(INDEX('PROSES ENJEKSİYON'!$L:$L,MATCH(1,('PROSES ENJEKSİYON'!$A:$A=$D$2)*('PROSES ENJEKSİYON'!$F:$F=A33),0)),"")</f>
        <v/>
      </c>
      <c r="E33" s="31" t="str" cm="1">
        <f t="array" ref="E33">IFERROR(INDEX('PROSES ENJEKSİYON'!$L:$L,MATCH(1,('PROSES ENJEKSİYON'!$A:$A=$E$2)*('PROSES ENJEKSİYON'!$F:$F=A33),0)),"")</f>
        <v/>
      </c>
      <c r="F33" s="31" t="str" cm="1">
        <f t="array" ref="F33">IFERROR(INDEX('PROSES ENJEKSİYON'!$L:$L,MATCH(1,('PROSES ENJEKSİYON'!$A:$A=$F$2)*('PROSES ENJEKSİYON'!$F:$F=A33),0)),"")</f>
        <v/>
      </c>
      <c r="G33" s="31" t="str" cm="1">
        <f t="array" ref="G33">IFERROR(INDEX('PROSES ENJEKSİYON'!$L:$L,MATCH(1,('PROSES ENJEKSİYON'!$A:$A=$G$2)*('PROSES ENJEKSİYON'!$F:$F=A33),0)),"")</f>
        <v/>
      </c>
      <c r="H33" s="34" t="str" cm="1">
        <f t="array" ref="H33">IFERROR(INDEX('PROSES ENJEKSİYON'!$G:$G,MATCH(1,('PROSES ENJEKSİYON'!$A:$A=$H$2)*('PROSES ENJEKSİYON'!$F:$F=A33),0)),"")</f>
        <v/>
      </c>
      <c r="I33" s="35" t="str" cm="1">
        <f t="array" ref="I33">IFERROR(INDEX('PROSES ENJEKSİYON'!$L:$L,MATCH(1,('PROSES ENJEKSİYON'!$A:$A=$I$2)*('PROSES ENJEKSİYON'!$F:$F=A33),0)),"")</f>
        <v/>
      </c>
      <c r="J33" s="34" t="str" cm="1">
        <f t="array" ref="J33">IFERROR(INDEX('PROSES ENJEKSİYON'!$G:$G,MATCH(1,('PROSES ENJEKSİYON'!$A:$A=$J$2)*('PROSES ENJEKSİYON'!$F:$F=A33),0)),"")</f>
        <v/>
      </c>
      <c r="K33" s="35" t="str" cm="1">
        <f t="array" ref="K33">IFERROR(INDEX('PROSES ENJEKSİYON'!$L:$L,MATCH(1,('PROSES ENJEKSİYON'!$A:$A=$K$2)*('PROSES ENJEKSİYON'!$F:$F=A33),0)),"")</f>
        <v/>
      </c>
      <c r="L33" s="34" t="str" cm="1">
        <f t="array" ref="L33">IFERROR(INDEX('PROSES ENJEKSİYON'!$G:$G,MATCH(1,('PROSES ENJEKSİYON'!$A:$A=$L$2)*('PROSES ENJEKSİYON'!$F:$F=A33),0)),"")</f>
        <v/>
      </c>
      <c r="M33" s="35" t="str" cm="1">
        <f t="array" ref="M33">IFERROR(INDEX('PROSES ENJEKSİYON'!$L:$L,MATCH(1,('PROSES ENJEKSİYON'!$A:$A=$M$2)*('PROSES ENJEKSİYON'!$F:$F=A33),0)),"")</f>
        <v/>
      </c>
      <c r="N33" s="34" t="str" cm="1">
        <f t="array" ref="N33">IFERROR(INDEX('PROSES ENJEKSİYON'!$G:$G,MATCH(1,('PROSES ENJEKSİYON'!$A:$A=$N$2)*('PROSES ENJEKSİYON'!$F:$F=A33),0)),"")</f>
        <v/>
      </c>
      <c r="O33" s="35" t="str" cm="1">
        <f t="array" ref="O33">IFERROR(INDEX('PROSES ENJEKSİYON'!$L:$L,MATCH(1,('PROSES ENJEKSİYON'!$A:$A=$O$2)*('PROSES ENJEKSİYON'!$F:$F=A33),0)),"")</f>
        <v/>
      </c>
      <c r="P33" s="34" t="str" cm="1">
        <f t="array" ref="P33">IFERROR(INDEX('PROSES ENJEKSİYON'!$G:$G,MATCH(1,('PROSES ENJEKSİYON'!$A:$A=$P$2)*('PROSES ENJEKSİYON'!$F:$F=A33),0)),"")</f>
        <v/>
      </c>
      <c r="Q33" s="35" t="str" cm="1">
        <f t="array" ref="Q33">IFERROR(INDEX('PROSES ENJEKSİYON'!$L:$L,MATCH(1,('PROSES ENJEKSİYON'!$A:$A=$Q$2)*('PROSES ENJEKSİYON'!$F:$F=A33),0)),"")</f>
        <v/>
      </c>
      <c r="R33" s="34" t="str" cm="1">
        <f t="array" ref="R33">IFERROR(INDEX('PROSES ENJEKSİYON'!$G:$G,MATCH(1,('PROSES ENJEKSİYON'!$A:$A=$R$2)*('PROSES ENJEKSİYON'!$F:$F=C33),0)),"")</f>
        <v/>
      </c>
      <c r="S33" s="35" t="str" cm="1">
        <f t="array" ref="S33">IFERROR(INDEX('PROSES ENJEKSİYON'!$L:$L,MATCH(1,('PROSES ENJEKSİYON'!$A:$A=$S$2)*('PROSES ENJEKSİYON'!$F:$F=C33),0)),"")</f>
        <v/>
      </c>
    </row>
    <row r="34" spans="1:19" ht="27.6" customHeight="1" x14ac:dyDescent="0.3">
      <c r="A34" s="3">
        <v>204</v>
      </c>
      <c r="B34" s="31" t="str" cm="1">
        <f t="array" ref="B34">IFERROR(INDEX('PROSES ENJEKSİYON'!$L:$L, MATCH(1,('PROSES ENJEKSİYON'!$A:$A=$B$2)*('PROSES ENJEKSİYON'!$F:$F=A34),0)), "")</f>
        <v/>
      </c>
      <c r="C34" s="31" t="str" cm="1">
        <f t="array" ref="C34">IFERROR(INDEX('PROSES ENJEKSİYON'!$L:$L,MATCH(1,('PROSES ENJEKSİYON'!$A:$A=$C$2)*('PROSES ENJEKSİYON'!$F:$F=A34),0)),"")</f>
        <v/>
      </c>
      <c r="D34" s="31" t="str" cm="1">
        <f t="array" ref="D34">IFERROR(INDEX('PROSES ENJEKSİYON'!$L:$L,MATCH(1,('PROSES ENJEKSİYON'!$A:$A=$D$2)*('PROSES ENJEKSİYON'!$F:$F=A34),0)),"")</f>
        <v/>
      </c>
      <c r="E34" s="31" t="str" cm="1">
        <f t="array" ref="E34">IFERROR(INDEX('PROSES ENJEKSİYON'!$L:$L,MATCH(1,('PROSES ENJEKSİYON'!$A:$A=$E$2)*('PROSES ENJEKSİYON'!$F:$F=A34),0)),"")</f>
        <v/>
      </c>
      <c r="F34" s="31" t="str" cm="1">
        <f t="array" ref="F34">IFERROR(INDEX('PROSES ENJEKSİYON'!$L:$L,MATCH(1,('PROSES ENJEKSİYON'!$A:$A=$F$2)*('PROSES ENJEKSİYON'!$F:$F=A34),0)),"")</f>
        <v/>
      </c>
      <c r="G34" s="31" t="str" cm="1">
        <f t="array" ref="G34">IFERROR(INDEX('PROSES ENJEKSİYON'!$L:$L,MATCH(1,('PROSES ENJEKSİYON'!$A:$A=$G$2)*('PROSES ENJEKSİYON'!$F:$F=A34),0)),"")</f>
        <v/>
      </c>
      <c r="H34" s="34" t="str" cm="1">
        <f t="array" ref="H34">IFERROR(INDEX('PROSES ENJEKSİYON'!$G:$G,MATCH(1,('PROSES ENJEKSİYON'!$A:$A=$H$2)*('PROSES ENJEKSİYON'!$F:$F=A34),0)),"")</f>
        <v/>
      </c>
      <c r="I34" s="35" t="str" cm="1">
        <f t="array" ref="I34">IFERROR(INDEX('PROSES ENJEKSİYON'!$L:$L,MATCH(1,('PROSES ENJEKSİYON'!$A:$A=$I$2)*('PROSES ENJEKSİYON'!$F:$F=A34),0)),"")</f>
        <v/>
      </c>
      <c r="J34" s="34" t="str" cm="1">
        <f t="array" ref="J34">IFERROR(INDEX('PROSES ENJEKSİYON'!$G:$G,MATCH(1,('PROSES ENJEKSİYON'!$A:$A=$J$2)*('PROSES ENJEKSİYON'!$F:$F=A34),0)),"")</f>
        <v/>
      </c>
      <c r="K34" s="35" t="str" cm="1">
        <f t="array" ref="K34">IFERROR(INDEX('PROSES ENJEKSİYON'!$L:$L,MATCH(1,('PROSES ENJEKSİYON'!$A:$A=$K$2)*('PROSES ENJEKSİYON'!$F:$F=A34),0)),"")</f>
        <v/>
      </c>
      <c r="L34" s="34" t="str" cm="1">
        <f t="array" ref="L34">IFERROR(INDEX('PROSES ENJEKSİYON'!$G:$G,MATCH(1,('PROSES ENJEKSİYON'!$A:$A=$L$2)*('PROSES ENJEKSİYON'!$F:$F=A34),0)),"")</f>
        <v/>
      </c>
      <c r="M34" s="35" t="str" cm="1">
        <f t="array" ref="M34">IFERROR(INDEX('PROSES ENJEKSİYON'!$L:$L,MATCH(1,('PROSES ENJEKSİYON'!$A:$A=$M$2)*('PROSES ENJEKSİYON'!$F:$F=A34),0)),"")</f>
        <v/>
      </c>
      <c r="N34" s="34" t="str" cm="1">
        <f t="array" ref="N34">IFERROR(INDEX('PROSES ENJEKSİYON'!$G:$G,MATCH(1,('PROSES ENJEKSİYON'!$A:$A=$N$2)*('PROSES ENJEKSİYON'!$F:$F=A34),0)),"")</f>
        <v/>
      </c>
      <c r="O34" s="35" t="str" cm="1">
        <f t="array" ref="O34">IFERROR(INDEX('PROSES ENJEKSİYON'!$L:$L,MATCH(1,('PROSES ENJEKSİYON'!$A:$A=$O$2)*('PROSES ENJEKSİYON'!$F:$F=A34),0)),"")</f>
        <v/>
      </c>
      <c r="P34" s="34" t="str" cm="1">
        <f t="array" ref="P34">IFERROR(INDEX('PROSES ENJEKSİYON'!$G:$G,MATCH(1,('PROSES ENJEKSİYON'!$A:$A=$P$2)*('PROSES ENJEKSİYON'!$F:$F=A34),0)),"")</f>
        <v/>
      </c>
      <c r="Q34" s="35" t="str" cm="1">
        <f t="array" ref="Q34">IFERROR(INDEX('PROSES ENJEKSİYON'!$L:$L,MATCH(1,('PROSES ENJEKSİYON'!$A:$A=$Q$2)*('PROSES ENJEKSİYON'!$F:$F=A34),0)),"")</f>
        <v/>
      </c>
      <c r="R34" s="34" t="str" cm="1">
        <f t="array" ref="R34">IFERROR(INDEX('PROSES ENJEKSİYON'!$G:$G,MATCH(1,('PROSES ENJEKSİYON'!$A:$A=$R$2)*('PROSES ENJEKSİYON'!$F:$F=C34),0)),"")</f>
        <v/>
      </c>
      <c r="S34" s="35" t="str" cm="1">
        <f t="array" ref="S34">IFERROR(INDEX('PROSES ENJEKSİYON'!$L:$L,MATCH(1,('PROSES ENJEKSİYON'!$A:$A=$S$2)*('PROSES ENJEKSİYON'!$F:$F=C34),0)),"")</f>
        <v/>
      </c>
    </row>
    <row r="35" spans="1:19" ht="27.6" customHeight="1" x14ac:dyDescent="0.3">
      <c r="A35" s="3">
        <v>205</v>
      </c>
      <c r="B35" s="31" t="str" cm="1">
        <f t="array" ref="B35">IFERROR(INDEX('PROSES ENJEKSİYON'!$L:$L, MATCH(1,('PROSES ENJEKSİYON'!$A:$A=$B$2)*('PROSES ENJEKSİYON'!$F:$F=A35),0)), "")</f>
        <v/>
      </c>
      <c r="C35" s="31" t="str" cm="1">
        <f t="array" ref="C35">IFERROR(INDEX('PROSES ENJEKSİYON'!$L:$L,MATCH(1,('PROSES ENJEKSİYON'!$A:$A=$C$2)*('PROSES ENJEKSİYON'!$F:$F=A35),0)),"")</f>
        <v/>
      </c>
      <c r="D35" s="31" t="str" cm="1">
        <f t="array" ref="D35">IFERROR(INDEX('PROSES ENJEKSİYON'!$L:$L,MATCH(1,('PROSES ENJEKSİYON'!$A:$A=$D$2)*('PROSES ENJEKSİYON'!$F:$F=A35),0)),"")</f>
        <v/>
      </c>
      <c r="E35" s="31" t="str" cm="1">
        <f t="array" ref="E35">IFERROR(INDEX('PROSES ENJEKSİYON'!$L:$L,MATCH(1,('PROSES ENJEKSİYON'!$A:$A=$E$2)*('PROSES ENJEKSİYON'!$F:$F=A35),0)),"")</f>
        <v/>
      </c>
      <c r="F35" s="31" t="str" cm="1">
        <f t="array" ref="F35">IFERROR(INDEX('PROSES ENJEKSİYON'!$L:$L,MATCH(1,('PROSES ENJEKSİYON'!$A:$A=$F$2)*('PROSES ENJEKSİYON'!$F:$F=A35),0)),"")</f>
        <v/>
      </c>
      <c r="G35" s="31" t="str" cm="1">
        <f t="array" ref="G35">IFERROR(INDEX('PROSES ENJEKSİYON'!$L:$L,MATCH(1,('PROSES ENJEKSİYON'!$A:$A=$G$2)*('PROSES ENJEKSİYON'!$F:$F=A35),0)),"")</f>
        <v/>
      </c>
      <c r="H35" s="34" t="str" cm="1">
        <f t="array" ref="H35">IFERROR(INDEX('PROSES ENJEKSİYON'!$G:$G,MATCH(1,('PROSES ENJEKSİYON'!$A:$A=$H$2)*('PROSES ENJEKSİYON'!$F:$F=A35),0)),"")</f>
        <v/>
      </c>
      <c r="I35" s="35" t="str" cm="1">
        <f t="array" ref="I35">IFERROR(INDEX('PROSES ENJEKSİYON'!$L:$L,MATCH(1,('PROSES ENJEKSİYON'!$A:$A=$I$2)*('PROSES ENJEKSİYON'!$F:$F=A35),0)),"")</f>
        <v/>
      </c>
      <c r="J35" s="34" t="str" cm="1">
        <f t="array" ref="J35">IFERROR(INDEX('PROSES ENJEKSİYON'!$G:$G,MATCH(1,('PROSES ENJEKSİYON'!$A:$A=$J$2)*('PROSES ENJEKSİYON'!$F:$F=A35),0)),"")</f>
        <v/>
      </c>
      <c r="K35" s="35" t="str" cm="1">
        <f t="array" ref="K35">IFERROR(INDEX('PROSES ENJEKSİYON'!$L:$L,MATCH(1,('PROSES ENJEKSİYON'!$A:$A=$K$2)*('PROSES ENJEKSİYON'!$F:$F=A35),0)),"")</f>
        <v/>
      </c>
      <c r="L35" s="34" t="str" cm="1">
        <f t="array" ref="L35">IFERROR(INDEX('PROSES ENJEKSİYON'!$G:$G,MATCH(1,('PROSES ENJEKSİYON'!$A:$A=$L$2)*('PROSES ENJEKSİYON'!$F:$F=A35),0)),"")</f>
        <v/>
      </c>
      <c r="M35" s="35" t="str" cm="1">
        <f t="array" ref="M35">IFERROR(INDEX('PROSES ENJEKSİYON'!$L:$L,MATCH(1,('PROSES ENJEKSİYON'!$A:$A=$M$2)*('PROSES ENJEKSİYON'!$F:$F=A35),0)),"")</f>
        <v/>
      </c>
      <c r="N35" s="34" t="str" cm="1">
        <f t="array" ref="N35">IFERROR(INDEX('PROSES ENJEKSİYON'!$G:$G,MATCH(1,('PROSES ENJEKSİYON'!$A:$A=$N$2)*('PROSES ENJEKSİYON'!$F:$F=A35),0)),"")</f>
        <v/>
      </c>
      <c r="O35" s="35" t="str" cm="1">
        <f t="array" ref="O35">IFERROR(INDEX('PROSES ENJEKSİYON'!$L:$L,MATCH(1,('PROSES ENJEKSİYON'!$A:$A=$O$2)*('PROSES ENJEKSİYON'!$F:$F=A35),0)),"")</f>
        <v/>
      </c>
      <c r="P35" s="34" t="str" cm="1">
        <f t="array" ref="P35">IFERROR(INDEX('PROSES ENJEKSİYON'!$G:$G,MATCH(1,('PROSES ENJEKSİYON'!$A:$A=$P$2)*('PROSES ENJEKSİYON'!$F:$F=A35),0)),"")</f>
        <v/>
      </c>
      <c r="Q35" s="35" t="str" cm="1">
        <f t="array" ref="Q35">IFERROR(INDEX('PROSES ENJEKSİYON'!$L:$L,MATCH(1,('PROSES ENJEKSİYON'!$A:$A=$Q$2)*('PROSES ENJEKSİYON'!$F:$F=A35),0)),"")</f>
        <v/>
      </c>
      <c r="R35" s="34" t="str" cm="1">
        <f t="array" ref="R35">IFERROR(INDEX('PROSES ENJEKSİYON'!$G:$G,MATCH(1,('PROSES ENJEKSİYON'!$A:$A=$R$2)*('PROSES ENJEKSİYON'!$F:$F=C35),0)),"")</f>
        <v/>
      </c>
      <c r="S35" s="35" t="str" cm="1">
        <f t="array" ref="S35">IFERROR(INDEX('PROSES ENJEKSİYON'!$L:$L,MATCH(1,('PROSES ENJEKSİYON'!$A:$A=$S$2)*('PROSES ENJEKSİYON'!$F:$F=C35),0)),"")</f>
        <v/>
      </c>
    </row>
    <row r="36" spans="1:19" ht="27.6" customHeight="1" x14ac:dyDescent="0.3">
      <c r="A36" s="3">
        <v>206</v>
      </c>
      <c r="B36" s="31" t="str" cm="1">
        <f t="array" ref="B36">IFERROR(INDEX('PROSES ENJEKSİYON'!$L:$L, MATCH(1,('PROSES ENJEKSİYON'!$A:$A=$B$2)*('PROSES ENJEKSİYON'!$F:$F=A36),0)), "")</f>
        <v/>
      </c>
      <c r="C36" s="31" t="str" cm="1">
        <f t="array" ref="C36">IFERROR(INDEX('PROSES ENJEKSİYON'!$L:$L,MATCH(1,('PROSES ENJEKSİYON'!$A:$A=$C$2)*('PROSES ENJEKSİYON'!$F:$F=A36),0)),"")</f>
        <v/>
      </c>
      <c r="D36" s="31" t="str" cm="1">
        <f t="array" ref="D36">IFERROR(INDEX('PROSES ENJEKSİYON'!$L:$L,MATCH(1,('PROSES ENJEKSİYON'!$A:$A=$D$2)*('PROSES ENJEKSİYON'!$F:$F=A36),0)),"")</f>
        <v/>
      </c>
      <c r="E36" s="31" t="str" cm="1">
        <f t="array" ref="E36">IFERROR(INDEX('PROSES ENJEKSİYON'!$L:$L,MATCH(1,('PROSES ENJEKSİYON'!$A:$A=$E$2)*('PROSES ENJEKSİYON'!$F:$F=A36),0)),"")</f>
        <v/>
      </c>
      <c r="F36" s="31" t="str" cm="1">
        <f t="array" ref="F36">IFERROR(INDEX('PROSES ENJEKSİYON'!$L:$L,MATCH(1,('PROSES ENJEKSİYON'!$A:$A=$F$2)*('PROSES ENJEKSİYON'!$F:$F=A36),0)),"")</f>
        <v/>
      </c>
      <c r="G36" s="31" t="str" cm="1">
        <f t="array" ref="G36">IFERROR(INDEX('PROSES ENJEKSİYON'!$L:$L,MATCH(1,('PROSES ENJEKSİYON'!$A:$A=$G$2)*('PROSES ENJEKSİYON'!$F:$F=A36),0)),"")</f>
        <v/>
      </c>
      <c r="H36" s="34" t="str" cm="1">
        <f t="array" ref="H36">IFERROR(INDEX('PROSES ENJEKSİYON'!$G:$G,MATCH(1,('PROSES ENJEKSİYON'!$A:$A=$H$2)*('PROSES ENJEKSİYON'!$F:$F=A36),0)),"")</f>
        <v/>
      </c>
      <c r="I36" s="35" t="str" cm="1">
        <f t="array" ref="I36">IFERROR(INDEX('PROSES ENJEKSİYON'!$L:$L,MATCH(1,('PROSES ENJEKSİYON'!$A:$A=$I$2)*('PROSES ENJEKSİYON'!$F:$F=A36),0)),"")</f>
        <v/>
      </c>
      <c r="J36" s="34" t="str" cm="1">
        <f t="array" ref="J36">IFERROR(INDEX('PROSES ENJEKSİYON'!$G:$G,MATCH(1,('PROSES ENJEKSİYON'!$A:$A=$J$2)*('PROSES ENJEKSİYON'!$F:$F=A36),0)),"")</f>
        <v/>
      </c>
      <c r="K36" s="35" t="str" cm="1">
        <f t="array" ref="K36">IFERROR(INDEX('PROSES ENJEKSİYON'!$L:$L,MATCH(1,('PROSES ENJEKSİYON'!$A:$A=$K$2)*('PROSES ENJEKSİYON'!$F:$F=A36),0)),"")</f>
        <v/>
      </c>
      <c r="L36" s="34" t="str" cm="1">
        <f t="array" ref="L36">IFERROR(INDEX('PROSES ENJEKSİYON'!$G:$G,MATCH(1,('PROSES ENJEKSİYON'!$A:$A=$L$2)*('PROSES ENJEKSİYON'!$F:$F=A36),0)),"")</f>
        <v/>
      </c>
      <c r="M36" s="35" t="str" cm="1">
        <f t="array" ref="M36">IFERROR(INDEX('PROSES ENJEKSİYON'!$L:$L,MATCH(1,('PROSES ENJEKSİYON'!$A:$A=$M$2)*('PROSES ENJEKSİYON'!$F:$F=A36),0)),"")</f>
        <v/>
      </c>
      <c r="N36" s="34" t="str" cm="1">
        <f t="array" ref="N36">IFERROR(INDEX('PROSES ENJEKSİYON'!$G:$G,MATCH(1,('PROSES ENJEKSİYON'!$A:$A=$N$2)*('PROSES ENJEKSİYON'!$F:$F=A36),0)),"")</f>
        <v/>
      </c>
      <c r="O36" s="35" t="str" cm="1">
        <f t="array" ref="O36">IFERROR(INDEX('PROSES ENJEKSİYON'!$L:$L,MATCH(1,('PROSES ENJEKSİYON'!$A:$A=$O$2)*('PROSES ENJEKSİYON'!$F:$F=A36),0)),"")</f>
        <v/>
      </c>
      <c r="P36" s="34" t="str" cm="1">
        <f t="array" ref="P36">IFERROR(INDEX('PROSES ENJEKSİYON'!$G:$G,MATCH(1,('PROSES ENJEKSİYON'!$A:$A=$P$2)*('PROSES ENJEKSİYON'!$F:$F=A36),0)),"")</f>
        <v/>
      </c>
      <c r="Q36" s="35" t="str" cm="1">
        <f t="array" ref="Q36">IFERROR(INDEX('PROSES ENJEKSİYON'!$L:$L,MATCH(1,('PROSES ENJEKSİYON'!$A:$A=$Q$2)*('PROSES ENJEKSİYON'!$F:$F=A36),0)),"")</f>
        <v/>
      </c>
      <c r="R36" s="34" t="str" cm="1">
        <f t="array" ref="R36">IFERROR(INDEX('PROSES ENJEKSİYON'!$G:$G,MATCH(1,('PROSES ENJEKSİYON'!$A:$A=$R$2)*('PROSES ENJEKSİYON'!$F:$F=C36),0)),"")</f>
        <v/>
      </c>
      <c r="S36" s="35" t="str" cm="1">
        <f t="array" ref="S36">IFERROR(INDEX('PROSES ENJEKSİYON'!$L:$L,MATCH(1,('PROSES ENJEKSİYON'!$A:$A=$S$2)*('PROSES ENJEKSİYON'!$F:$F=C36),0)),"")</f>
        <v/>
      </c>
    </row>
    <row r="37" spans="1:19" ht="27.6" customHeight="1" x14ac:dyDescent="0.3">
      <c r="A37" s="3">
        <v>207</v>
      </c>
      <c r="B37" s="31" t="str" cm="1">
        <f t="array" ref="B37">IFERROR(INDEX('PROSES ENJEKSİYON'!$L:$L, MATCH(1,('PROSES ENJEKSİYON'!$A:$A=$B$2)*('PROSES ENJEKSİYON'!$F:$F=A37),0)), "")</f>
        <v/>
      </c>
      <c r="C37" s="31" t="str" cm="1">
        <f t="array" ref="C37">IFERROR(INDEX('PROSES ENJEKSİYON'!$L:$L,MATCH(1,('PROSES ENJEKSİYON'!$A:$A=$C$2)*('PROSES ENJEKSİYON'!$F:$F=A37),0)),"")</f>
        <v/>
      </c>
      <c r="D37" s="31" t="str" cm="1">
        <f t="array" ref="D37">IFERROR(INDEX('PROSES ENJEKSİYON'!$L:$L,MATCH(1,('PROSES ENJEKSİYON'!$A:$A=$D$2)*('PROSES ENJEKSİYON'!$F:$F=A37),0)),"")</f>
        <v/>
      </c>
      <c r="E37" s="31" t="str" cm="1">
        <f t="array" ref="E37">IFERROR(INDEX('PROSES ENJEKSİYON'!$L:$L,MATCH(1,('PROSES ENJEKSİYON'!$A:$A=$E$2)*('PROSES ENJEKSİYON'!$F:$F=A37),0)),"")</f>
        <v/>
      </c>
      <c r="F37" s="31" t="str" cm="1">
        <f t="array" ref="F37">IFERROR(INDEX('PROSES ENJEKSİYON'!$L:$L,MATCH(1,('PROSES ENJEKSİYON'!$A:$A=$F$2)*('PROSES ENJEKSİYON'!$F:$F=A37),0)),"")</f>
        <v/>
      </c>
      <c r="G37" s="31" t="str" cm="1">
        <f t="array" ref="G37">IFERROR(INDEX('PROSES ENJEKSİYON'!$L:$L,MATCH(1,('PROSES ENJEKSİYON'!$A:$A=$G$2)*('PROSES ENJEKSİYON'!$F:$F=A37),0)),"")</f>
        <v/>
      </c>
      <c r="H37" s="34" t="str" cm="1">
        <f t="array" ref="H37">IFERROR(INDEX('PROSES ENJEKSİYON'!$G:$G,MATCH(1,('PROSES ENJEKSİYON'!$A:$A=$H$2)*('PROSES ENJEKSİYON'!$F:$F=A37),0)),"")</f>
        <v/>
      </c>
      <c r="I37" s="35" t="str" cm="1">
        <f t="array" ref="I37">IFERROR(INDEX('PROSES ENJEKSİYON'!$L:$L,MATCH(1,('PROSES ENJEKSİYON'!$A:$A=$I$2)*('PROSES ENJEKSİYON'!$F:$F=A37),0)),"")</f>
        <v/>
      </c>
      <c r="J37" s="34" t="str" cm="1">
        <f t="array" ref="J37">IFERROR(INDEX('PROSES ENJEKSİYON'!$G:$G,MATCH(1,('PROSES ENJEKSİYON'!$A:$A=$J$2)*('PROSES ENJEKSİYON'!$F:$F=A37),0)),"")</f>
        <v/>
      </c>
      <c r="K37" s="35" t="str" cm="1">
        <f t="array" ref="K37">IFERROR(INDEX('PROSES ENJEKSİYON'!$L:$L,MATCH(1,('PROSES ENJEKSİYON'!$A:$A=$K$2)*('PROSES ENJEKSİYON'!$F:$F=A37),0)),"")</f>
        <v/>
      </c>
      <c r="L37" s="34" t="str" cm="1">
        <f t="array" ref="L37">IFERROR(INDEX('PROSES ENJEKSİYON'!$G:$G,MATCH(1,('PROSES ENJEKSİYON'!$A:$A=$L$2)*('PROSES ENJEKSİYON'!$F:$F=A37),0)),"")</f>
        <v/>
      </c>
      <c r="M37" s="35" t="str" cm="1">
        <f t="array" ref="M37">IFERROR(INDEX('PROSES ENJEKSİYON'!$L:$L,MATCH(1,('PROSES ENJEKSİYON'!$A:$A=$M$2)*('PROSES ENJEKSİYON'!$F:$F=A37),0)),"")</f>
        <v/>
      </c>
      <c r="N37" s="34" t="str" cm="1">
        <f t="array" ref="N37">IFERROR(INDEX('PROSES ENJEKSİYON'!$G:$G,MATCH(1,('PROSES ENJEKSİYON'!$A:$A=$N$2)*('PROSES ENJEKSİYON'!$F:$F=A37),0)),"")</f>
        <v/>
      </c>
      <c r="O37" s="35" t="str" cm="1">
        <f t="array" ref="O37">IFERROR(INDEX('PROSES ENJEKSİYON'!$L:$L,MATCH(1,('PROSES ENJEKSİYON'!$A:$A=$O$2)*('PROSES ENJEKSİYON'!$F:$F=A37),0)),"")</f>
        <v/>
      </c>
      <c r="P37" s="34" t="str" cm="1">
        <f t="array" ref="P37">IFERROR(INDEX('PROSES ENJEKSİYON'!$G:$G,MATCH(1,('PROSES ENJEKSİYON'!$A:$A=$P$2)*('PROSES ENJEKSİYON'!$F:$F=A37),0)),"")</f>
        <v/>
      </c>
      <c r="Q37" s="35" t="str" cm="1">
        <f t="array" ref="Q37">IFERROR(INDEX('PROSES ENJEKSİYON'!$L:$L,MATCH(1,('PROSES ENJEKSİYON'!$A:$A=$Q$2)*('PROSES ENJEKSİYON'!$F:$F=A37),0)),"")</f>
        <v/>
      </c>
      <c r="R37" s="34" t="str" cm="1">
        <f t="array" ref="R37">IFERROR(INDEX('PROSES ENJEKSİYON'!$G:$G,MATCH(1,('PROSES ENJEKSİYON'!$A:$A=$R$2)*('PROSES ENJEKSİYON'!$F:$F=C37),0)),"")</f>
        <v/>
      </c>
      <c r="S37" s="35" t="str" cm="1">
        <f t="array" ref="S37">IFERROR(INDEX('PROSES ENJEKSİYON'!$L:$L,MATCH(1,('PROSES ENJEKSİYON'!$A:$A=$S$2)*('PROSES ENJEKSİYON'!$F:$F=C37),0)),"")</f>
        <v/>
      </c>
    </row>
    <row r="38" spans="1:19" ht="27.6" customHeight="1" x14ac:dyDescent="0.3">
      <c r="A38" s="3">
        <v>208</v>
      </c>
      <c r="B38" s="31" t="str" cm="1">
        <f t="array" ref="B38">IFERROR(INDEX('PROSES ENJEKSİYON'!$L:$L, MATCH(1,('PROSES ENJEKSİYON'!$A:$A=$B$2)*('PROSES ENJEKSİYON'!$F:$F=A38),0)), "")</f>
        <v/>
      </c>
      <c r="C38" s="31" t="str" cm="1">
        <f t="array" ref="C38">IFERROR(INDEX('PROSES ENJEKSİYON'!$L:$L,MATCH(1,('PROSES ENJEKSİYON'!$A:$A=$C$2)*('PROSES ENJEKSİYON'!$F:$F=A38),0)),"")</f>
        <v/>
      </c>
      <c r="D38" s="31" t="str" cm="1">
        <f t="array" ref="D38">IFERROR(INDEX('PROSES ENJEKSİYON'!$L:$L,MATCH(1,('PROSES ENJEKSİYON'!$A:$A=$D$2)*('PROSES ENJEKSİYON'!$F:$F=A38),0)),"")</f>
        <v/>
      </c>
      <c r="E38" s="31" t="str" cm="1">
        <f t="array" ref="E38">IFERROR(INDEX('PROSES ENJEKSİYON'!$L:$L,MATCH(1,('PROSES ENJEKSİYON'!$A:$A=$E$2)*('PROSES ENJEKSİYON'!$F:$F=A38),0)),"")</f>
        <v/>
      </c>
      <c r="F38" s="31" t="str" cm="1">
        <f t="array" ref="F38">IFERROR(INDEX('PROSES ENJEKSİYON'!$L:$L,MATCH(1,('PROSES ENJEKSİYON'!$A:$A=$F$2)*('PROSES ENJEKSİYON'!$F:$F=A38),0)),"")</f>
        <v/>
      </c>
      <c r="G38" s="31" t="str" cm="1">
        <f t="array" ref="G38">IFERROR(INDEX('PROSES ENJEKSİYON'!$L:$L,MATCH(1,('PROSES ENJEKSİYON'!$A:$A=$G$2)*('PROSES ENJEKSİYON'!$F:$F=A38),0)),"")</f>
        <v/>
      </c>
      <c r="H38" s="34" t="str" cm="1">
        <f t="array" ref="H38">IFERROR(INDEX('PROSES ENJEKSİYON'!$G:$G,MATCH(1,('PROSES ENJEKSİYON'!$A:$A=$H$2)*('PROSES ENJEKSİYON'!$F:$F=A38),0)),"")</f>
        <v/>
      </c>
      <c r="I38" s="35" t="str" cm="1">
        <f t="array" ref="I38">IFERROR(INDEX('PROSES ENJEKSİYON'!$L:$L,MATCH(1,('PROSES ENJEKSİYON'!$A:$A=$I$2)*('PROSES ENJEKSİYON'!$F:$F=A38),0)),"")</f>
        <v/>
      </c>
      <c r="J38" s="34" t="str" cm="1">
        <f t="array" ref="J38">IFERROR(INDEX('PROSES ENJEKSİYON'!$G:$G,MATCH(1,('PROSES ENJEKSİYON'!$A:$A=$J$2)*('PROSES ENJEKSİYON'!$F:$F=A38),0)),"")</f>
        <v/>
      </c>
      <c r="K38" s="35" t="str" cm="1">
        <f t="array" ref="K38">IFERROR(INDEX('PROSES ENJEKSİYON'!$L:$L,MATCH(1,('PROSES ENJEKSİYON'!$A:$A=$K$2)*('PROSES ENJEKSİYON'!$F:$F=A38),0)),"")</f>
        <v/>
      </c>
      <c r="L38" s="34" t="str" cm="1">
        <f t="array" ref="L38">IFERROR(INDEX('PROSES ENJEKSİYON'!$G:$G,MATCH(1,('PROSES ENJEKSİYON'!$A:$A=$L$2)*('PROSES ENJEKSİYON'!$F:$F=A38),0)),"")</f>
        <v/>
      </c>
      <c r="M38" s="35" t="str" cm="1">
        <f t="array" ref="M38">IFERROR(INDEX('PROSES ENJEKSİYON'!$L:$L,MATCH(1,('PROSES ENJEKSİYON'!$A:$A=$M$2)*('PROSES ENJEKSİYON'!$F:$F=A38),0)),"")</f>
        <v/>
      </c>
      <c r="N38" s="34" t="str" cm="1">
        <f t="array" ref="N38">IFERROR(INDEX('PROSES ENJEKSİYON'!$G:$G,MATCH(1,('PROSES ENJEKSİYON'!$A:$A=$N$2)*('PROSES ENJEKSİYON'!$F:$F=A38),0)),"")</f>
        <v/>
      </c>
      <c r="O38" s="35" t="str" cm="1">
        <f t="array" ref="O38">IFERROR(INDEX('PROSES ENJEKSİYON'!$L:$L,MATCH(1,('PROSES ENJEKSİYON'!$A:$A=$O$2)*('PROSES ENJEKSİYON'!$F:$F=A38),0)),"")</f>
        <v/>
      </c>
      <c r="P38" s="34" t="str" cm="1">
        <f t="array" ref="P38">IFERROR(INDEX('PROSES ENJEKSİYON'!$G:$G,MATCH(1,('PROSES ENJEKSİYON'!$A:$A=$P$2)*('PROSES ENJEKSİYON'!$F:$F=A38),0)),"")</f>
        <v/>
      </c>
      <c r="Q38" s="35" t="str" cm="1">
        <f t="array" ref="Q38">IFERROR(INDEX('PROSES ENJEKSİYON'!$L:$L,MATCH(1,('PROSES ENJEKSİYON'!$A:$A=$Q$2)*('PROSES ENJEKSİYON'!$F:$F=A38),0)),"")</f>
        <v/>
      </c>
      <c r="R38" s="34" t="str" cm="1">
        <f t="array" ref="R38">IFERROR(INDEX('PROSES ENJEKSİYON'!$G:$G,MATCH(1,('PROSES ENJEKSİYON'!$A:$A=$R$2)*('PROSES ENJEKSİYON'!$F:$F=C38),0)),"")</f>
        <v/>
      </c>
      <c r="S38" s="35" t="str" cm="1">
        <f t="array" ref="S38">IFERROR(INDEX('PROSES ENJEKSİYON'!$L:$L,MATCH(1,('PROSES ENJEKSİYON'!$A:$A=$S$2)*('PROSES ENJEKSİYON'!$F:$F=C38),0)),"")</f>
        <v/>
      </c>
    </row>
    <row r="39" spans="1:19" ht="27.6" customHeight="1" x14ac:dyDescent="0.3">
      <c r="A39" s="3">
        <v>209</v>
      </c>
      <c r="B39" s="31" t="str" cm="1">
        <f t="array" ref="B39">IFERROR(INDEX('PROSES ENJEKSİYON'!$L:$L, MATCH(1,('PROSES ENJEKSİYON'!$A:$A=$B$2)*('PROSES ENJEKSİYON'!$F:$F=A39),0)), "")</f>
        <v/>
      </c>
      <c r="C39" s="31" t="str" cm="1">
        <f t="array" ref="C39">IFERROR(INDEX('PROSES ENJEKSİYON'!$L:$L,MATCH(1,('PROSES ENJEKSİYON'!$A:$A=$C$2)*('PROSES ENJEKSİYON'!$F:$F=A39),0)),"")</f>
        <v/>
      </c>
      <c r="D39" s="31" t="str" cm="1">
        <f t="array" ref="D39">IFERROR(INDEX('PROSES ENJEKSİYON'!$L:$L,MATCH(1,('PROSES ENJEKSİYON'!$A:$A=$D$2)*('PROSES ENJEKSİYON'!$F:$F=A39),0)),"")</f>
        <v/>
      </c>
      <c r="E39" s="31" t="str" cm="1">
        <f t="array" ref="E39">IFERROR(INDEX('PROSES ENJEKSİYON'!$L:$L,MATCH(1,('PROSES ENJEKSİYON'!$A:$A=$E$2)*('PROSES ENJEKSİYON'!$F:$F=A39),0)),"")</f>
        <v/>
      </c>
      <c r="F39" s="31" t="str" cm="1">
        <f t="array" ref="F39">IFERROR(INDEX('PROSES ENJEKSİYON'!$L:$L,MATCH(1,('PROSES ENJEKSİYON'!$A:$A=$F$2)*('PROSES ENJEKSİYON'!$F:$F=A39),0)),"")</f>
        <v/>
      </c>
      <c r="G39" s="31" t="str" cm="1">
        <f t="array" ref="G39">IFERROR(INDEX('PROSES ENJEKSİYON'!$L:$L,MATCH(1,('PROSES ENJEKSİYON'!$A:$A=$G$2)*('PROSES ENJEKSİYON'!$F:$F=A39),0)),"")</f>
        <v/>
      </c>
      <c r="H39" s="34" t="str" cm="1">
        <f t="array" ref="H39">IFERROR(INDEX('PROSES ENJEKSİYON'!$G:$G,MATCH(1,('PROSES ENJEKSİYON'!$A:$A=$H$2)*('PROSES ENJEKSİYON'!$F:$F=A39),0)),"")</f>
        <v/>
      </c>
      <c r="I39" s="35" t="str" cm="1">
        <f t="array" ref="I39">IFERROR(INDEX('PROSES ENJEKSİYON'!$L:$L,MATCH(1,('PROSES ENJEKSİYON'!$A:$A=$I$2)*('PROSES ENJEKSİYON'!$F:$F=A39),0)),"")</f>
        <v/>
      </c>
      <c r="J39" s="34" t="str" cm="1">
        <f t="array" ref="J39">IFERROR(INDEX('PROSES ENJEKSİYON'!$G:$G,MATCH(1,('PROSES ENJEKSİYON'!$A:$A=$J$2)*('PROSES ENJEKSİYON'!$F:$F=A39),0)),"")</f>
        <v/>
      </c>
      <c r="K39" s="35" t="str" cm="1">
        <f t="array" ref="K39">IFERROR(INDEX('PROSES ENJEKSİYON'!$L:$L,MATCH(1,('PROSES ENJEKSİYON'!$A:$A=$K$2)*('PROSES ENJEKSİYON'!$F:$F=A39),0)),"")</f>
        <v/>
      </c>
      <c r="L39" s="34" t="str" cm="1">
        <f t="array" ref="L39">IFERROR(INDEX('PROSES ENJEKSİYON'!$G:$G,MATCH(1,('PROSES ENJEKSİYON'!$A:$A=$L$2)*('PROSES ENJEKSİYON'!$F:$F=A39),0)),"")</f>
        <v/>
      </c>
      <c r="M39" s="35" t="str" cm="1">
        <f t="array" ref="M39">IFERROR(INDEX('PROSES ENJEKSİYON'!$L:$L,MATCH(1,('PROSES ENJEKSİYON'!$A:$A=$M$2)*('PROSES ENJEKSİYON'!$F:$F=A39),0)),"")</f>
        <v/>
      </c>
      <c r="N39" s="34" t="str" cm="1">
        <f t="array" ref="N39">IFERROR(INDEX('PROSES ENJEKSİYON'!$G:$G,MATCH(1,('PROSES ENJEKSİYON'!$A:$A=$N$2)*('PROSES ENJEKSİYON'!$F:$F=A39),0)),"")</f>
        <v/>
      </c>
      <c r="O39" s="35" t="str" cm="1">
        <f t="array" ref="O39">IFERROR(INDEX('PROSES ENJEKSİYON'!$L:$L,MATCH(1,('PROSES ENJEKSİYON'!$A:$A=$O$2)*('PROSES ENJEKSİYON'!$F:$F=A39),0)),"")</f>
        <v/>
      </c>
      <c r="P39" s="34" t="str" cm="1">
        <f t="array" ref="P39">IFERROR(INDEX('PROSES ENJEKSİYON'!$G:$G,MATCH(1,('PROSES ENJEKSİYON'!$A:$A=$P$2)*('PROSES ENJEKSİYON'!$F:$F=A39),0)),"")</f>
        <v/>
      </c>
      <c r="Q39" s="35" t="str" cm="1">
        <f t="array" ref="Q39">IFERROR(INDEX('PROSES ENJEKSİYON'!$L:$L,MATCH(1,('PROSES ENJEKSİYON'!$A:$A=$Q$2)*('PROSES ENJEKSİYON'!$F:$F=A39),0)),"")</f>
        <v/>
      </c>
      <c r="R39" s="34" t="str" cm="1">
        <f t="array" ref="R39">IFERROR(INDEX('PROSES ENJEKSİYON'!$G:$G,MATCH(1,('PROSES ENJEKSİYON'!$A:$A=$R$2)*('PROSES ENJEKSİYON'!$F:$F=C39),0)),"")</f>
        <v/>
      </c>
      <c r="S39" s="35" t="str" cm="1">
        <f t="array" ref="S39">IFERROR(INDEX('PROSES ENJEKSİYON'!$L:$L,MATCH(1,('PROSES ENJEKSİYON'!$A:$A=$S$2)*('PROSES ENJEKSİYON'!$F:$F=C39),0)),"")</f>
        <v/>
      </c>
    </row>
    <row r="40" spans="1:19" ht="27.6" customHeight="1" x14ac:dyDescent="0.3">
      <c r="A40" s="3">
        <v>210</v>
      </c>
      <c r="B40" s="31" t="str" cm="1">
        <f t="array" ref="B40">IFERROR(INDEX('PROSES ENJEKSİYON'!$L:$L, MATCH(1,('PROSES ENJEKSİYON'!$A:$A=$B$2)*('PROSES ENJEKSİYON'!$F:$F=A40),0)), "")</f>
        <v/>
      </c>
      <c r="C40" s="31" t="str" cm="1">
        <f t="array" ref="C40">IFERROR(INDEX('PROSES ENJEKSİYON'!$L:$L,MATCH(1,('PROSES ENJEKSİYON'!$A:$A=$C$2)*('PROSES ENJEKSİYON'!$F:$F=A40),0)),"")</f>
        <v/>
      </c>
      <c r="D40" s="31" t="str" cm="1">
        <f t="array" ref="D40">IFERROR(INDEX('PROSES ENJEKSİYON'!$L:$L,MATCH(1,('PROSES ENJEKSİYON'!$A:$A=$D$2)*('PROSES ENJEKSİYON'!$F:$F=A40),0)),"")</f>
        <v/>
      </c>
      <c r="E40" s="31" t="str" cm="1">
        <f t="array" ref="E40">IFERROR(INDEX('PROSES ENJEKSİYON'!$L:$L,MATCH(1,('PROSES ENJEKSİYON'!$A:$A=$E$2)*('PROSES ENJEKSİYON'!$F:$F=A40),0)),"")</f>
        <v/>
      </c>
      <c r="F40" s="31" t="str" cm="1">
        <f t="array" ref="F40">IFERROR(INDEX('PROSES ENJEKSİYON'!$L:$L,MATCH(1,('PROSES ENJEKSİYON'!$A:$A=$F$2)*('PROSES ENJEKSİYON'!$F:$F=A40),0)),"")</f>
        <v/>
      </c>
      <c r="G40" s="31" t="str" cm="1">
        <f t="array" ref="G40">IFERROR(INDEX('PROSES ENJEKSİYON'!$L:$L,MATCH(1,('PROSES ENJEKSİYON'!$A:$A=$G$2)*('PROSES ENJEKSİYON'!$F:$F=A40),0)),"")</f>
        <v/>
      </c>
      <c r="H40" s="34" t="str" cm="1">
        <f t="array" ref="H40">IFERROR(INDEX('PROSES ENJEKSİYON'!$G:$G,MATCH(1,('PROSES ENJEKSİYON'!$A:$A=$H$2)*('PROSES ENJEKSİYON'!$F:$F=A40),0)),"")</f>
        <v/>
      </c>
      <c r="I40" s="35" t="str" cm="1">
        <f t="array" ref="I40">IFERROR(INDEX('PROSES ENJEKSİYON'!$L:$L,MATCH(1,('PROSES ENJEKSİYON'!$A:$A=$I$2)*('PROSES ENJEKSİYON'!$F:$F=A40),0)),"")</f>
        <v/>
      </c>
      <c r="J40" s="34" t="str" cm="1">
        <f t="array" ref="J40">IFERROR(INDEX('PROSES ENJEKSİYON'!$G:$G,MATCH(1,('PROSES ENJEKSİYON'!$A:$A=$J$2)*('PROSES ENJEKSİYON'!$F:$F=A40),0)),"")</f>
        <v/>
      </c>
      <c r="K40" s="35" t="str" cm="1">
        <f t="array" ref="K40">IFERROR(INDEX('PROSES ENJEKSİYON'!$L:$L,MATCH(1,('PROSES ENJEKSİYON'!$A:$A=$K$2)*('PROSES ENJEKSİYON'!$F:$F=A40),0)),"")</f>
        <v/>
      </c>
      <c r="L40" s="34" t="str" cm="1">
        <f t="array" ref="L40">IFERROR(INDEX('PROSES ENJEKSİYON'!$G:$G,MATCH(1,('PROSES ENJEKSİYON'!$A:$A=$L$2)*('PROSES ENJEKSİYON'!$F:$F=A40),0)),"")</f>
        <v/>
      </c>
      <c r="M40" s="35" t="str" cm="1">
        <f t="array" ref="M40">IFERROR(INDEX('PROSES ENJEKSİYON'!$L:$L,MATCH(1,('PROSES ENJEKSİYON'!$A:$A=$M$2)*('PROSES ENJEKSİYON'!$F:$F=A40),0)),"")</f>
        <v/>
      </c>
      <c r="N40" s="34" t="str" cm="1">
        <f t="array" ref="N40">IFERROR(INDEX('PROSES ENJEKSİYON'!$G:$G,MATCH(1,('PROSES ENJEKSİYON'!$A:$A=$N$2)*('PROSES ENJEKSİYON'!$F:$F=A40),0)),"")</f>
        <v/>
      </c>
      <c r="O40" s="35" t="str" cm="1">
        <f t="array" ref="O40">IFERROR(INDEX('PROSES ENJEKSİYON'!$L:$L,MATCH(1,('PROSES ENJEKSİYON'!$A:$A=$O$2)*('PROSES ENJEKSİYON'!$F:$F=A40),0)),"")</f>
        <v/>
      </c>
      <c r="P40" s="34" t="str" cm="1">
        <f t="array" ref="P40">IFERROR(INDEX('PROSES ENJEKSİYON'!$G:$G,MATCH(1,('PROSES ENJEKSİYON'!$A:$A=$P$2)*('PROSES ENJEKSİYON'!$F:$F=A40),0)),"")</f>
        <v/>
      </c>
      <c r="Q40" s="35" t="str" cm="1">
        <f t="array" ref="Q40">IFERROR(INDEX('PROSES ENJEKSİYON'!$L:$L,MATCH(1,('PROSES ENJEKSİYON'!$A:$A=$Q$2)*('PROSES ENJEKSİYON'!$F:$F=A40),0)),"")</f>
        <v/>
      </c>
      <c r="R40" s="34" t="str" cm="1">
        <f t="array" ref="R40">IFERROR(INDEX('PROSES ENJEKSİYON'!$G:$G,MATCH(1,('PROSES ENJEKSİYON'!$A:$A=$R$2)*('PROSES ENJEKSİYON'!$F:$F=C40),0)),"")</f>
        <v/>
      </c>
      <c r="S40" s="35" t="str" cm="1">
        <f t="array" ref="S40">IFERROR(INDEX('PROSES ENJEKSİYON'!$L:$L,MATCH(1,('PROSES ENJEKSİYON'!$A:$A=$S$2)*('PROSES ENJEKSİYON'!$F:$F=C40),0)),"")</f>
        <v/>
      </c>
    </row>
    <row r="41" spans="1:19" ht="27.6" customHeight="1" x14ac:dyDescent="0.3">
      <c r="A41" s="3">
        <v>301</v>
      </c>
      <c r="B41" s="31" t="str" cm="1">
        <f t="array" ref="B41">IFERROR(INDEX('PROSES ENJEKSİYON'!$L:$L, MATCH(1,('PROSES ENJEKSİYON'!$A:$A=$B$2)*('PROSES ENJEKSİYON'!$F:$F=A41),0)), "")</f>
        <v/>
      </c>
      <c r="C41" s="31" t="str" cm="1">
        <f t="array" ref="C41">IFERROR(INDEX('PROSES ENJEKSİYON'!$L:$L,MATCH(1,('PROSES ENJEKSİYON'!$A:$A=$C$2)*('PROSES ENJEKSİYON'!$F:$F=A41),0)),"")</f>
        <v/>
      </c>
      <c r="D41" s="31" t="str" cm="1">
        <f t="array" ref="D41">IFERROR(INDEX('PROSES ENJEKSİYON'!$L:$L,MATCH(1,('PROSES ENJEKSİYON'!$A:$A=$D$2)*('PROSES ENJEKSİYON'!$F:$F=A41),0)),"")</f>
        <v/>
      </c>
      <c r="E41" s="31" t="str" cm="1">
        <f t="array" ref="E41">IFERROR(INDEX('PROSES ENJEKSİYON'!$L:$L,MATCH(1,('PROSES ENJEKSİYON'!$A:$A=$E$2)*('PROSES ENJEKSİYON'!$F:$F=A41),0)),"")</f>
        <v/>
      </c>
      <c r="F41" s="31" t="str" cm="1">
        <f t="array" ref="F41">IFERROR(INDEX('PROSES ENJEKSİYON'!$L:$L,MATCH(1,('PROSES ENJEKSİYON'!$A:$A=$F$2)*('PROSES ENJEKSİYON'!$F:$F=A41),0)),"")</f>
        <v/>
      </c>
      <c r="G41" s="31" t="str" cm="1">
        <f t="array" ref="G41">IFERROR(INDEX('PROSES ENJEKSİYON'!$L:$L,MATCH(1,('PROSES ENJEKSİYON'!$A:$A=$G$2)*('PROSES ENJEKSİYON'!$F:$F=A41),0)),"")</f>
        <v/>
      </c>
      <c r="H41" s="34" t="str" cm="1">
        <f t="array" ref="H41">IFERROR(INDEX('PROSES ENJEKSİYON'!$G:$G,MATCH(1,('PROSES ENJEKSİYON'!$A:$A=$H$2)*('PROSES ENJEKSİYON'!$F:$F=A41),0)),"")</f>
        <v/>
      </c>
      <c r="I41" s="35" t="str" cm="1">
        <f t="array" ref="I41">IFERROR(INDEX('PROSES ENJEKSİYON'!$L:$L,MATCH(1,('PROSES ENJEKSİYON'!$A:$A=$I$2)*('PROSES ENJEKSİYON'!$F:$F=A41),0)),"")</f>
        <v/>
      </c>
      <c r="J41" s="34" t="str" cm="1">
        <f t="array" ref="J41">IFERROR(INDEX('PROSES ENJEKSİYON'!$G:$G,MATCH(1,('PROSES ENJEKSİYON'!$A:$A=$J$2)*('PROSES ENJEKSİYON'!$F:$F=A41),0)),"")</f>
        <v/>
      </c>
      <c r="K41" s="35" t="str" cm="1">
        <f t="array" ref="K41">IFERROR(INDEX('PROSES ENJEKSİYON'!$L:$L,MATCH(1,('PROSES ENJEKSİYON'!$A:$A=$K$2)*('PROSES ENJEKSİYON'!$F:$F=A41),0)),"")</f>
        <v/>
      </c>
      <c r="L41" s="34" t="str" cm="1">
        <f t="array" ref="L41">IFERROR(INDEX('PROSES ENJEKSİYON'!$G:$G,MATCH(1,('PROSES ENJEKSİYON'!$A:$A=$L$2)*('PROSES ENJEKSİYON'!$F:$F=A41),0)),"")</f>
        <v/>
      </c>
      <c r="M41" s="35" t="str" cm="1">
        <f t="array" ref="M41">IFERROR(INDEX('PROSES ENJEKSİYON'!$L:$L,MATCH(1,('PROSES ENJEKSİYON'!$A:$A=$M$2)*('PROSES ENJEKSİYON'!$F:$F=A41),0)),"")</f>
        <v/>
      </c>
      <c r="N41" s="34" t="str" cm="1">
        <f t="array" ref="N41">IFERROR(INDEX('PROSES ENJEKSİYON'!$G:$G,MATCH(1,('PROSES ENJEKSİYON'!$A:$A=$N$2)*('PROSES ENJEKSİYON'!$F:$F=A41),0)),"")</f>
        <v/>
      </c>
      <c r="O41" s="35" t="str" cm="1">
        <f t="array" ref="O41">IFERROR(INDEX('PROSES ENJEKSİYON'!$L:$L,MATCH(1,('PROSES ENJEKSİYON'!$A:$A=$O$2)*('PROSES ENJEKSİYON'!$F:$F=A41),0)),"")</f>
        <v/>
      </c>
      <c r="P41" s="34" t="str" cm="1">
        <f t="array" ref="P41">IFERROR(INDEX('PROSES ENJEKSİYON'!$G:$G,MATCH(1,('PROSES ENJEKSİYON'!$A:$A=$P$2)*('PROSES ENJEKSİYON'!$F:$F=A41),0)),"")</f>
        <v/>
      </c>
      <c r="Q41" s="35" t="str" cm="1">
        <f t="array" ref="Q41">IFERROR(INDEX('PROSES ENJEKSİYON'!$L:$L,MATCH(1,('PROSES ENJEKSİYON'!$A:$A=$Q$2)*('PROSES ENJEKSİYON'!$F:$F=A41),0)),"")</f>
        <v/>
      </c>
      <c r="R41" s="34" t="str" cm="1">
        <f t="array" ref="R41">IFERROR(INDEX('PROSES ENJEKSİYON'!$G:$G,MATCH(1,('PROSES ENJEKSİYON'!$A:$A=$R$2)*('PROSES ENJEKSİYON'!$F:$F=C41),0)),"")</f>
        <v/>
      </c>
      <c r="S41" s="35" t="str" cm="1">
        <f t="array" ref="S41">IFERROR(INDEX('PROSES ENJEKSİYON'!$L:$L,MATCH(1,('PROSES ENJEKSİYON'!$A:$A=$S$2)*('PROSES ENJEKSİYON'!$F:$F=C41),0)),"")</f>
        <v/>
      </c>
    </row>
    <row r="42" spans="1:19" ht="27.6" customHeight="1" x14ac:dyDescent="0.3">
      <c r="A42" s="3">
        <v>302</v>
      </c>
      <c r="B42" s="31" t="str" cm="1">
        <f t="array" ref="B42">IFERROR(INDEX('PROSES ENJEKSİYON'!$L:$L, MATCH(1,('PROSES ENJEKSİYON'!$A:$A=$B$2)*('PROSES ENJEKSİYON'!$F:$F=A42),0)), "")</f>
        <v/>
      </c>
      <c r="C42" s="31" t="str" cm="1">
        <f t="array" ref="C42">IFERROR(INDEX('PROSES ENJEKSİYON'!$L:$L,MATCH(1,('PROSES ENJEKSİYON'!$A:$A=$C$2)*('PROSES ENJEKSİYON'!$F:$F=A42),0)),"")</f>
        <v/>
      </c>
      <c r="D42" s="31" t="str" cm="1">
        <f t="array" ref="D42">IFERROR(INDEX('PROSES ENJEKSİYON'!$L:$L,MATCH(1,('PROSES ENJEKSİYON'!$A:$A=$D$2)*('PROSES ENJEKSİYON'!$F:$F=A42),0)),"")</f>
        <v/>
      </c>
      <c r="E42" s="31" t="str" cm="1">
        <f t="array" ref="E42">IFERROR(INDEX('PROSES ENJEKSİYON'!$L:$L,MATCH(1,('PROSES ENJEKSİYON'!$A:$A=$E$2)*('PROSES ENJEKSİYON'!$F:$F=A42),0)),"")</f>
        <v/>
      </c>
      <c r="F42" s="31" t="str" cm="1">
        <f t="array" ref="F42">IFERROR(INDEX('PROSES ENJEKSİYON'!$L:$L,MATCH(1,('PROSES ENJEKSİYON'!$A:$A=$F$2)*('PROSES ENJEKSİYON'!$F:$F=A42),0)),"")</f>
        <v/>
      </c>
      <c r="G42" s="31" t="str" cm="1">
        <f t="array" ref="G42">IFERROR(INDEX('PROSES ENJEKSİYON'!$L:$L,MATCH(1,('PROSES ENJEKSİYON'!$A:$A=$G$2)*('PROSES ENJEKSİYON'!$F:$F=A42),0)),"")</f>
        <v/>
      </c>
      <c r="H42" s="34" t="str" cm="1">
        <f t="array" ref="H42">IFERROR(INDEX('PROSES ENJEKSİYON'!$G:$G,MATCH(1,('PROSES ENJEKSİYON'!$A:$A=$H$2)*('PROSES ENJEKSİYON'!$F:$F=A42),0)),"")</f>
        <v/>
      </c>
      <c r="I42" s="35" t="str" cm="1">
        <f t="array" ref="I42">IFERROR(INDEX('PROSES ENJEKSİYON'!$L:$L,MATCH(1,('PROSES ENJEKSİYON'!$A:$A=$I$2)*('PROSES ENJEKSİYON'!$F:$F=A42),0)),"")</f>
        <v/>
      </c>
      <c r="J42" s="34" t="str" cm="1">
        <f t="array" ref="J42">IFERROR(INDEX('PROSES ENJEKSİYON'!$G:$G,MATCH(1,('PROSES ENJEKSİYON'!$A:$A=$J$2)*('PROSES ENJEKSİYON'!$F:$F=A42),0)),"")</f>
        <v/>
      </c>
      <c r="K42" s="35" t="str" cm="1">
        <f t="array" ref="K42">IFERROR(INDEX('PROSES ENJEKSİYON'!$L:$L,MATCH(1,('PROSES ENJEKSİYON'!$A:$A=$K$2)*('PROSES ENJEKSİYON'!$F:$F=A42),0)),"")</f>
        <v/>
      </c>
      <c r="L42" s="34" t="str" cm="1">
        <f t="array" ref="L42">IFERROR(INDEX('PROSES ENJEKSİYON'!$G:$G,MATCH(1,('PROSES ENJEKSİYON'!$A:$A=$L$2)*('PROSES ENJEKSİYON'!$F:$F=A42),0)),"")</f>
        <v/>
      </c>
      <c r="M42" s="35" t="str" cm="1">
        <f t="array" ref="M42">IFERROR(INDEX('PROSES ENJEKSİYON'!$L:$L,MATCH(1,('PROSES ENJEKSİYON'!$A:$A=$M$2)*('PROSES ENJEKSİYON'!$F:$F=A42),0)),"")</f>
        <v/>
      </c>
      <c r="N42" s="34" t="str" cm="1">
        <f t="array" ref="N42">IFERROR(INDEX('PROSES ENJEKSİYON'!$G:$G,MATCH(1,('PROSES ENJEKSİYON'!$A:$A=$N$2)*('PROSES ENJEKSİYON'!$F:$F=A42),0)),"")</f>
        <v/>
      </c>
      <c r="O42" s="35" t="str" cm="1">
        <f t="array" ref="O42">IFERROR(INDEX('PROSES ENJEKSİYON'!$L:$L,MATCH(1,('PROSES ENJEKSİYON'!$A:$A=$O$2)*('PROSES ENJEKSİYON'!$F:$F=A42),0)),"")</f>
        <v/>
      </c>
      <c r="P42" s="34" t="str" cm="1">
        <f t="array" ref="P42">IFERROR(INDEX('PROSES ENJEKSİYON'!$G:$G,MATCH(1,('PROSES ENJEKSİYON'!$A:$A=$P$2)*('PROSES ENJEKSİYON'!$F:$F=A42),0)),"")</f>
        <v/>
      </c>
      <c r="Q42" s="35" t="str" cm="1">
        <f t="array" ref="Q42">IFERROR(INDEX('PROSES ENJEKSİYON'!$L:$L,MATCH(1,('PROSES ENJEKSİYON'!$A:$A=$Q$2)*('PROSES ENJEKSİYON'!$F:$F=A42),0)),"")</f>
        <v/>
      </c>
      <c r="R42" s="34" t="str" cm="1">
        <f t="array" ref="R42">IFERROR(INDEX('PROSES ENJEKSİYON'!$G:$G,MATCH(1,('PROSES ENJEKSİYON'!$A:$A=$R$2)*('PROSES ENJEKSİYON'!$F:$F=C42),0)),"")</f>
        <v/>
      </c>
      <c r="S42" s="35" t="str" cm="1">
        <f t="array" ref="S42">IFERROR(INDEX('PROSES ENJEKSİYON'!$L:$L,MATCH(1,('PROSES ENJEKSİYON'!$A:$A=$S$2)*('PROSES ENJEKSİYON'!$F:$F=C42),0)),"")</f>
        <v/>
      </c>
    </row>
    <row r="43" spans="1:19" ht="27.6" customHeight="1" x14ac:dyDescent="0.3">
      <c r="A43" s="3">
        <v>303</v>
      </c>
      <c r="B43" s="31" t="str" cm="1">
        <f t="array" ref="B43">IFERROR(INDEX('PROSES ENJEKSİYON'!$L:$L, MATCH(1,('PROSES ENJEKSİYON'!$A:$A=$B$2)*('PROSES ENJEKSİYON'!$F:$F=A43),0)), "")</f>
        <v/>
      </c>
      <c r="C43" s="31" t="str" cm="1">
        <f t="array" ref="C43">IFERROR(INDEX('PROSES ENJEKSİYON'!$L:$L,MATCH(1,('PROSES ENJEKSİYON'!$A:$A=$C$2)*('PROSES ENJEKSİYON'!$F:$F=A43),0)),"")</f>
        <v/>
      </c>
      <c r="D43" s="31" t="str" cm="1">
        <f t="array" ref="D43">IFERROR(INDEX('PROSES ENJEKSİYON'!$L:$L,MATCH(1,('PROSES ENJEKSİYON'!$A:$A=$D$2)*('PROSES ENJEKSİYON'!$F:$F=A43),0)),"")</f>
        <v/>
      </c>
      <c r="E43" s="31" t="str" cm="1">
        <f t="array" ref="E43">IFERROR(INDEX('PROSES ENJEKSİYON'!$L:$L,MATCH(1,('PROSES ENJEKSİYON'!$A:$A=$E$2)*('PROSES ENJEKSİYON'!$F:$F=A43),0)),"")</f>
        <v/>
      </c>
      <c r="F43" s="31" t="str" cm="1">
        <f t="array" ref="F43">IFERROR(INDEX('PROSES ENJEKSİYON'!$L:$L,MATCH(1,('PROSES ENJEKSİYON'!$A:$A=$F$2)*('PROSES ENJEKSİYON'!$F:$F=A43),0)),"")</f>
        <v/>
      </c>
      <c r="G43" s="31" t="str" cm="1">
        <f t="array" ref="G43">IFERROR(INDEX('PROSES ENJEKSİYON'!$L:$L,MATCH(1,('PROSES ENJEKSİYON'!$A:$A=$G$2)*('PROSES ENJEKSİYON'!$F:$F=A43),0)),"")</f>
        <v/>
      </c>
      <c r="H43" s="34" t="str" cm="1">
        <f t="array" ref="H43">IFERROR(INDEX('PROSES ENJEKSİYON'!$G:$G,MATCH(1,('PROSES ENJEKSİYON'!$A:$A=$H$2)*('PROSES ENJEKSİYON'!$F:$F=A43),0)),"")</f>
        <v/>
      </c>
      <c r="I43" s="35" t="str" cm="1">
        <f t="array" ref="I43">IFERROR(INDEX('PROSES ENJEKSİYON'!$L:$L,MATCH(1,('PROSES ENJEKSİYON'!$A:$A=$I$2)*('PROSES ENJEKSİYON'!$F:$F=A43),0)),"")</f>
        <v/>
      </c>
      <c r="J43" s="34" t="str" cm="1">
        <f t="array" ref="J43">IFERROR(INDEX('PROSES ENJEKSİYON'!$G:$G,MATCH(1,('PROSES ENJEKSİYON'!$A:$A=$J$2)*('PROSES ENJEKSİYON'!$F:$F=A43),0)),"")</f>
        <v/>
      </c>
      <c r="K43" s="35" t="str" cm="1">
        <f t="array" ref="K43">IFERROR(INDEX('PROSES ENJEKSİYON'!$L:$L,MATCH(1,('PROSES ENJEKSİYON'!$A:$A=$K$2)*('PROSES ENJEKSİYON'!$F:$F=A43),0)),"")</f>
        <v/>
      </c>
      <c r="L43" s="34" t="str" cm="1">
        <f t="array" ref="L43">IFERROR(INDEX('PROSES ENJEKSİYON'!$G:$G,MATCH(1,('PROSES ENJEKSİYON'!$A:$A=$L$2)*('PROSES ENJEKSİYON'!$F:$F=A43),0)),"")</f>
        <v/>
      </c>
      <c r="M43" s="35" t="str" cm="1">
        <f t="array" ref="M43">IFERROR(INDEX('PROSES ENJEKSİYON'!$L:$L,MATCH(1,('PROSES ENJEKSİYON'!$A:$A=$M$2)*('PROSES ENJEKSİYON'!$F:$F=A43),0)),"")</f>
        <v/>
      </c>
      <c r="N43" s="34" t="str" cm="1">
        <f t="array" ref="N43">IFERROR(INDEX('PROSES ENJEKSİYON'!$G:$G,MATCH(1,('PROSES ENJEKSİYON'!$A:$A=$N$2)*('PROSES ENJEKSİYON'!$F:$F=A43),0)),"")</f>
        <v/>
      </c>
      <c r="O43" s="35" t="str" cm="1">
        <f t="array" ref="O43">IFERROR(INDEX('PROSES ENJEKSİYON'!$L:$L,MATCH(1,('PROSES ENJEKSİYON'!$A:$A=$O$2)*('PROSES ENJEKSİYON'!$F:$F=A43),0)),"")</f>
        <v/>
      </c>
      <c r="P43" s="34" t="str" cm="1">
        <f t="array" ref="P43">IFERROR(INDEX('PROSES ENJEKSİYON'!$G:$G,MATCH(1,('PROSES ENJEKSİYON'!$A:$A=$P$2)*('PROSES ENJEKSİYON'!$F:$F=A43),0)),"")</f>
        <v/>
      </c>
      <c r="Q43" s="35" t="str" cm="1">
        <f t="array" ref="Q43">IFERROR(INDEX('PROSES ENJEKSİYON'!$L:$L,MATCH(1,('PROSES ENJEKSİYON'!$A:$A=$Q$2)*('PROSES ENJEKSİYON'!$F:$F=A43),0)),"")</f>
        <v/>
      </c>
      <c r="R43" s="34" t="str" cm="1">
        <f t="array" ref="R43">IFERROR(INDEX('PROSES ENJEKSİYON'!$G:$G,MATCH(1,('PROSES ENJEKSİYON'!$A:$A=$R$2)*('PROSES ENJEKSİYON'!$F:$F=C43),0)),"")</f>
        <v/>
      </c>
      <c r="S43" s="35" t="str" cm="1">
        <f t="array" ref="S43">IFERROR(INDEX('PROSES ENJEKSİYON'!$L:$L,MATCH(1,('PROSES ENJEKSİYON'!$A:$A=$S$2)*('PROSES ENJEKSİYON'!$F:$F=C43),0)),"")</f>
        <v/>
      </c>
    </row>
    <row r="44" spans="1:19" ht="27.6" customHeight="1" x14ac:dyDescent="0.3">
      <c r="A44" s="3">
        <v>505</v>
      </c>
      <c r="B44" s="31" t="str" cm="1">
        <f t="array" ref="B44">IFERROR(INDEX('PROSES ENJEKSİYON'!$L:$L, MATCH(1,('PROSES ENJEKSİYON'!$A:$A=$B$2)*('PROSES ENJEKSİYON'!$F:$F=A44),0)), "")</f>
        <v/>
      </c>
      <c r="C44" s="31" t="str" cm="1">
        <f t="array" ref="C44">IFERROR(INDEX('PROSES ENJEKSİYON'!$L:$L,MATCH(1,('PROSES ENJEKSİYON'!$A:$A=$C$2)*('PROSES ENJEKSİYON'!$F:$F=A44),0)),"")</f>
        <v/>
      </c>
      <c r="D44" s="31" t="str" cm="1">
        <f t="array" ref="D44">IFERROR(INDEX('PROSES ENJEKSİYON'!$L:$L,MATCH(1,('PROSES ENJEKSİYON'!$A:$A=$D$2)*('PROSES ENJEKSİYON'!$F:$F=A44),0)),"")</f>
        <v/>
      </c>
      <c r="E44" s="31" t="str" cm="1">
        <f t="array" ref="E44">IFERROR(INDEX('PROSES ENJEKSİYON'!$L:$L,MATCH(1,('PROSES ENJEKSİYON'!$A:$A=$E$2)*('PROSES ENJEKSİYON'!$F:$F=A44),0)),"")</f>
        <v/>
      </c>
      <c r="F44" s="31" t="str" cm="1">
        <f t="array" ref="F44">IFERROR(INDEX('PROSES ENJEKSİYON'!$L:$L,MATCH(1,('PROSES ENJEKSİYON'!$A:$A=$F$2)*('PROSES ENJEKSİYON'!$F:$F=A44),0)),"")</f>
        <v/>
      </c>
      <c r="G44" s="31" t="str" cm="1">
        <f t="array" ref="G44">IFERROR(INDEX('PROSES ENJEKSİYON'!$L:$L,MATCH(1,('PROSES ENJEKSİYON'!$A:$A=$G$2)*('PROSES ENJEKSİYON'!$F:$F=A44),0)),"")</f>
        <v/>
      </c>
      <c r="H44" s="34" t="str" cm="1">
        <f t="array" ref="H44">IFERROR(INDEX('PROSES ENJEKSİYON'!$G:$G,MATCH(1,('PROSES ENJEKSİYON'!$A:$A=$H$2)*('PROSES ENJEKSİYON'!$F:$F=A44),0)),"")</f>
        <v/>
      </c>
      <c r="I44" s="35" t="str" cm="1">
        <f t="array" ref="I44">IFERROR(INDEX('PROSES ENJEKSİYON'!$L:$L,MATCH(1,('PROSES ENJEKSİYON'!$A:$A=$I$2)*('PROSES ENJEKSİYON'!$F:$F=A44),0)),"")</f>
        <v/>
      </c>
      <c r="J44" s="34" t="str" cm="1">
        <f t="array" ref="J44">IFERROR(INDEX('PROSES ENJEKSİYON'!$G:$G,MATCH(1,('PROSES ENJEKSİYON'!$A:$A=$J$2)*('PROSES ENJEKSİYON'!$F:$F=A44),0)),"")</f>
        <v/>
      </c>
      <c r="K44" s="35" t="str" cm="1">
        <f t="array" ref="K44">IFERROR(INDEX('PROSES ENJEKSİYON'!$L:$L,MATCH(1,('PROSES ENJEKSİYON'!$A:$A=$K$2)*('PROSES ENJEKSİYON'!$F:$F=A44),0)),"")</f>
        <v/>
      </c>
      <c r="L44" s="34" t="str" cm="1">
        <f t="array" ref="L44">IFERROR(INDEX('PROSES ENJEKSİYON'!$G:$G,MATCH(1,('PROSES ENJEKSİYON'!$A:$A=$L$2)*('PROSES ENJEKSİYON'!$F:$F=A44),0)),"")</f>
        <v/>
      </c>
      <c r="M44" s="35" t="str" cm="1">
        <f t="array" ref="M44">IFERROR(INDEX('PROSES ENJEKSİYON'!$L:$L,MATCH(1,('PROSES ENJEKSİYON'!$A:$A=$M$2)*('PROSES ENJEKSİYON'!$F:$F=A44),0)),"")</f>
        <v/>
      </c>
      <c r="N44" s="34" t="str" cm="1">
        <f t="array" ref="N44">IFERROR(INDEX('PROSES ENJEKSİYON'!$G:$G,MATCH(1,('PROSES ENJEKSİYON'!$A:$A=$N$2)*('PROSES ENJEKSİYON'!$F:$F=A44),0)),"")</f>
        <v/>
      </c>
      <c r="O44" s="35" t="str" cm="1">
        <f t="array" ref="O44">IFERROR(INDEX('PROSES ENJEKSİYON'!$L:$L,MATCH(1,('PROSES ENJEKSİYON'!$A:$A=$O$2)*('PROSES ENJEKSİYON'!$F:$F=A44),0)),"")</f>
        <v/>
      </c>
      <c r="P44" s="34" t="str" cm="1">
        <f t="array" ref="P44">IFERROR(INDEX('PROSES ENJEKSİYON'!$G:$G,MATCH(1,('PROSES ENJEKSİYON'!$A:$A=$P$2)*('PROSES ENJEKSİYON'!$F:$F=A44),0)),"")</f>
        <v/>
      </c>
      <c r="Q44" s="35" t="str" cm="1">
        <f t="array" ref="Q44">IFERROR(INDEX('PROSES ENJEKSİYON'!$L:$L,MATCH(1,('PROSES ENJEKSİYON'!$A:$A=$Q$2)*('PROSES ENJEKSİYON'!$F:$F=A44),0)),"")</f>
        <v/>
      </c>
      <c r="R44" s="34" t="str" cm="1">
        <f t="array" ref="R44">IFERROR(INDEX('PROSES ENJEKSİYON'!$G:$G,MATCH(1,('PROSES ENJEKSİYON'!$A:$A=$R$2)*('PROSES ENJEKSİYON'!$F:$F=C44),0)),"")</f>
        <v/>
      </c>
      <c r="S44" s="35" t="str" cm="1">
        <f t="array" ref="S44">IFERROR(INDEX('PROSES ENJEKSİYON'!$L:$L,MATCH(1,('PROSES ENJEKSİYON'!$A:$A=$S$2)*('PROSES ENJEKSİYON'!$F:$F=C44),0)),"")</f>
        <v/>
      </c>
    </row>
    <row r="45" spans="1:19" ht="27.6" customHeight="1" x14ac:dyDescent="0.3">
      <c r="A45" s="3">
        <v>501</v>
      </c>
      <c r="B45" s="31" t="str" cm="1">
        <f t="array" ref="B45">IFERROR(INDEX('PROSES ENJEKSİYON'!$L:$L, MATCH(1,('PROSES ENJEKSİYON'!$A:$A=$B$2)*('PROSES ENJEKSİYON'!$F:$F=A45),0)), "")</f>
        <v/>
      </c>
      <c r="C45" s="31" t="str" cm="1">
        <f t="array" ref="C45">IFERROR(INDEX('PROSES ENJEKSİYON'!$L:$L,MATCH(1,('PROSES ENJEKSİYON'!$A:$A=$C$2)*('PROSES ENJEKSİYON'!$F:$F=A45),0)),"")</f>
        <v/>
      </c>
      <c r="D45" s="31" t="str" cm="1">
        <f t="array" ref="D45">IFERROR(INDEX('PROSES ENJEKSİYON'!$L:$L,MATCH(1,('PROSES ENJEKSİYON'!$A:$A=$D$2)*('PROSES ENJEKSİYON'!$F:$F=A45),0)),"")</f>
        <v/>
      </c>
      <c r="E45" s="31" t="str" cm="1">
        <f t="array" ref="E45">IFERROR(INDEX('PROSES ENJEKSİYON'!$L:$L,MATCH(1,('PROSES ENJEKSİYON'!$A:$A=$E$2)*('PROSES ENJEKSİYON'!$F:$F=A45),0)),"")</f>
        <v/>
      </c>
      <c r="F45" s="31" t="str" cm="1">
        <f t="array" ref="F45">IFERROR(INDEX('PROSES ENJEKSİYON'!$L:$L,MATCH(1,('PROSES ENJEKSİYON'!$A:$A=$F$2)*('PROSES ENJEKSİYON'!$F:$F=A45),0)),"")</f>
        <v/>
      </c>
      <c r="G45" s="31" t="str" cm="1">
        <f t="array" ref="G45">IFERROR(INDEX('PROSES ENJEKSİYON'!$L:$L,MATCH(1,('PROSES ENJEKSİYON'!$A:$A=$G$2)*('PROSES ENJEKSİYON'!$F:$F=A45),0)),"")</f>
        <v/>
      </c>
      <c r="H45" s="34" t="str" cm="1">
        <f t="array" ref="H45">IFERROR(INDEX('PROSES ENJEKSİYON'!$G:$G,MATCH(1,('PROSES ENJEKSİYON'!$A:$A=$H$2)*('PROSES ENJEKSİYON'!$F:$F=A45),0)),"")</f>
        <v/>
      </c>
      <c r="I45" s="35" t="str" cm="1">
        <f t="array" ref="I45">IFERROR(INDEX('PROSES ENJEKSİYON'!$L:$L,MATCH(1,('PROSES ENJEKSİYON'!$A:$A=$I$2)*('PROSES ENJEKSİYON'!$F:$F=A45),0)),"")</f>
        <v/>
      </c>
      <c r="J45" s="34" t="str" cm="1">
        <f t="array" ref="J45">IFERROR(INDEX('PROSES ENJEKSİYON'!$G:$G,MATCH(1,('PROSES ENJEKSİYON'!$A:$A=$J$2)*('PROSES ENJEKSİYON'!$F:$F=A45),0)),"")</f>
        <v/>
      </c>
      <c r="K45" s="35" t="str" cm="1">
        <f t="array" ref="K45">IFERROR(INDEX('PROSES ENJEKSİYON'!$L:$L,MATCH(1,('PROSES ENJEKSİYON'!$A:$A=$K$2)*('PROSES ENJEKSİYON'!$F:$F=A45),0)),"")</f>
        <v/>
      </c>
      <c r="L45" s="34" t="str" cm="1">
        <f t="array" ref="L45">IFERROR(INDEX('PROSES ENJEKSİYON'!$G:$G,MATCH(1,('PROSES ENJEKSİYON'!$A:$A=$L$2)*('PROSES ENJEKSİYON'!$F:$F=A45),0)),"")</f>
        <v/>
      </c>
      <c r="M45" s="35" t="str" cm="1">
        <f t="array" ref="M45">IFERROR(INDEX('PROSES ENJEKSİYON'!$L:$L,MATCH(1,('PROSES ENJEKSİYON'!$A:$A=$M$2)*('PROSES ENJEKSİYON'!$F:$F=A45),0)),"")</f>
        <v/>
      </c>
      <c r="N45" s="34" t="str" cm="1">
        <f t="array" ref="N45">IFERROR(INDEX('PROSES ENJEKSİYON'!$G:$G,MATCH(1,('PROSES ENJEKSİYON'!$A:$A=$N$2)*('PROSES ENJEKSİYON'!$F:$F=A45),0)),"")</f>
        <v/>
      </c>
      <c r="O45" s="35" t="str" cm="1">
        <f t="array" ref="O45">IFERROR(INDEX('PROSES ENJEKSİYON'!$L:$L,MATCH(1,('PROSES ENJEKSİYON'!$A:$A=$O$2)*('PROSES ENJEKSİYON'!$F:$F=A45),0)),"")</f>
        <v/>
      </c>
      <c r="P45" s="34" t="str" cm="1">
        <f t="array" ref="P45">IFERROR(INDEX('PROSES ENJEKSİYON'!$G:$G,MATCH(1,('PROSES ENJEKSİYON'!$A:$A=$P$2)*('PROSES ENJEKSİYON'!$F:$F=A45),0)),"")</f>
        <v/>
      </c>
      <c r="Q45" s="35" t="str" cm="1">
        <f t="array" ref="Q45">IFERROR(INDEX('PROSES ENJEKSİYON'!$L:$L,MATCH(1,('PROSES ENJEKSİYON'!$A:$A=$Q$2)*('PROSES ENJEKSİYON'!$F:$F=A45),0)),"")</f>
        <v/>
      </c>
      <c r="R45" s="34" t="str" cm="1">
        <f t="array" ref="R45">IFERROR(INDEX('PROSES ENJEKSİYON'!$G:$G,MATCH(1,('PROSES ENJEKSİYON'!$A:$A=$R$2)*('PROSES ENJEKSİYON'!$F:$F=C45),0)),"")</f>
        <v/>
      </c>
      <c r="S45" s="35" t="str" cm="1">
        <f t="array" ref="S45">IFERROR(INDEX('PROSES ENJEKSİYON'!$L:$L,MATCH(1,('PROSES ENJEKSİYON'!$A:$A=$S$2)*('PROSES ENJEKSİYON'!$F:$F=C45),0)),"")</f>
        <v/>
      </c>
    </row>
    <row r="46" spans="1:19" ht="27.6" customHeight="1" x14ac:dyDescent="0.3">
      <c r="A46" s="3">
        <v>502</v>
      </c>
      <c r="B46" s="31" t="str" cm="1">
        <f t="array" ref="B46">IFERROR(INDEX('PROSES ENJEKSİYON'!$L:$L, MATCH(1,('PROSES ENJEKSİYON'!$A:$A=$B$2)*('PROSES ENJEKSİYON'!$F:$F=A46),0)), "")</f>
        <v/>
      </c>
      <c r="C46" s="31" t="str" cm="1">
        <f t="array" ref="C46">IFERROR(INDEX('PROSES ENJEKSİYON'!$L:$L,MATCH(1,('PROSES ENJEKSİYON'!$A:$A=$C$2)*('PROSES ENJEKSİYON'!$F:$F=A46),0)),"")</f>
        <v/>
      </c>
      <c r="D46" s="31" t="str" cm="1">
        <f t="array" ref="D46">IFERROR(INDEX('PROSES ENJEKSİYON'!$L:$L,MATCH(1,('PROSES ENJEKSİYON'!$A:$A=$D$2)*('PROSES ENJEKSİYON'!$F:$F=A46),0)),"")</f>
        <v/>
      </c>
      <c r="E46" s="31" t="str" cm="1">
        <f t="array" ref="E46">IFERROR(INDEX('PROSES ENJEKSİYON'!$L:$L,MATCH(1,('PROSES ENJEKSİYON'!$A:$A=$E$2)*('PROSES ENJEKSİYON'!$F:$F=A46),0)),"")</f>
        <v/>
      </c>
      <c r="F46" s="31" t="str" cm="1">
        <f t="array" ref="F46">IFERROR(INDEX('PROSES ENJEKSİYON'!$L:$L,MATCH(1,('PROSES ENJEKSİYON'!$A:$A=$F$2)*('PROSES ENJEKSİYON'!$F:$F=A46),0)),"")</f>
        <v/>
      </c>
      <c r="G46" s="31" t="str" cm="1">
        <f t="array" ref="G46">IFERROR(INDEX('PROSES ENJEKSİYON'!$L:$L,MATCH(1,('PROSES ENJEKSİYON'!$A:$A=$G$2)*('PROSES ENJEKSİYON'!$F:$F=A46),0)),"")</f>
        <v/>
      </c>
      <c r="H46" s="34" t="str" cm="1">
        <f t="array" ref="H46">IFERROR(INDEX('PROSES ENJEKSİYON'!$G:$G,MATCH(1,('PROSES ENJEKSİYON'!$A:$A=$H$2)*('PROSES ENJEKSİYON'!$F:$F=A46),0)),"")</f>
        <v/>
      </c>
      <c r="I46" s="35" t="str" cm="1">
        <f t="array" ref="I46">IFERROR(INDEX('PROSES ENJEKSİYON'!$L:$L,MATCH(1,('PROSES ENJEKSİYON'!$A:$A=$I$2)*('PROSES ENJEKSİYON'!$F:$F=A46),0)),"")</f>
        <v/>
      </c>
      <c r="J46" s="34" t="str" cm="1">
        <f t="array" ref="J46">IFERROR(INDEX('PROSES ENJEKSİYON'!$G:$G,MATCH(1,('PROSES ENJEKSİYON'!$A:$A=$J$2)*('PROSES ENJEKSİYON'!$F:$F=A46),0)),"")</f>
        <v/>
      </c>
      <c r="K46" s="35" t="str" cm="1">
        <f t="array" ref="K46">IFERROR(INDEX('PROSES ENJEKSİYON'!$L:$L,MATCH(1,('PROSES ENJEKSİYON'!$A:$A=$K$2)*('PROSES ENJEKSİYON'!$F:$F=A46),0)),"")</f>
        <v/>
      </c>
      <c r="L46" s="34" t="str" cm="1">
        <f t="array" ref="L46">IFERROR(INDEX('PROSES ENJEKSİYON'!$G:$G,MATCH(1,('PROSES ENJEKSİYON'!$A:$A=$L$2)*('PROSES ENJEKSİYON'!$F:$F=A46),0)),"")</f>
        <v/>
      </c>
      <c r="M46" s="35" t="str" cm="1">
        <f t="array" ref="M46">IFERROR(INDEX('PROSES ENJEKSİYON'!$L:$L,MATCH(1,('PROSES ENJEKSİYON'!$A:$A=$M$2)*('PROSES ENJEKSİYON'!$F:$F=A46),0)),"")</f>
        <v/>
      </c>
      <c r="N46" s="34" t="str" cm="1">
        <f t="array" ref="N46">IFERROR(INDEX('PROSES ENJEKSİYON'!$G:$G,MATCH(1,('PROSES ENJEKSİYON'!$A:$A=$N$2)*('PROSES ENJEKSİYON'!$F:$F=A46),0)),"")</f>
        <v/>
      </c>
      <c r="O46" s="35" t="str" cm="1">
        <f t="array" ref="O46">IFERROR(INDEX('PROSES ENJEKSİYON'!$L:$L,MATCH(1,('PROSES ENJEKSİYON'!$A:$A=$O$2)*('PROSES ENJEKSİYON'!$F:$F=A46),0)),"")</f>
        <v/>
      </c>
      <c r="P46" s="34" t="str" cm="1">
        <f t="array" ref="P46">IFERROR(INDEX('PROSES ENJEKSİYON'!$G:$G,MATCH(1,('PROSES ENJEKSİYON'!$A:$A=$P$2)*('PROSES ENJEKSİYON'!$F:$F=A46),0)),"")</f>
        <v/>
      </c>
      <c r="Q46" s="35" t="str" cm="1">
        <f t="array" ref="Q46">IFERROR(INDEX('PROSES ENJEKSİYON'!$L:$L,MATCH(1,('PROSES ENJEKSİYON'!$A:$A=$Q$2)*('PROSES ENJEKSİYON'!$F:$F=A46),0)),"")</f>
        <v/>
      </c>
      <c r="R46" s="34" t="str" cm="1">
        <f t="array" ref="R46">IFERROR(INDEX('PROSES ENJEKSİYON'!$G:$G,MATCH(1,('PROSES ENJEKSİYON'!$A:$A=$R$2)*('PROSES ENJEKSİYON'!$F:$F=C46),0)),"")</f>
        <v/>
      </c>
      <c r="S46" s="35" t="str" cm="1">
        <f t="array" ref="S46">IFERROR(INDEX('PROSES ENJEKSİYON'!$L:$L,MATCH(1,('PROSES ENJEKSİYON'!$A:$A=$S$2)*('PROSES ENJEKSİYON'!$F:$F=C46),0)),"")</f>
        <v/>
      </c>
    </row>
    <row r="47" spans="1:19" ht="27.6" customHeight="1" thickBot="1" x14ac:dyDescent="0.35">
      <c r="A47" s="3">
        <v>503</v>
      </c>
      <c r="B47" s="31" t="str" cm="1">
        <f t="array" ref="B47">IFERROR(INDEX('PROSES ENJEKSİYON'!$L:$L, MATCH(1,('PROSES ENJEKSİYON'!$A:$A=$B$2)*('PROSES ENJEKSİYON'!$F:$F=A47),0)), "")</f>
        <v/>
      </c>
      <c r="C47" s="31" t="str" cm="1">
        <f t="array" ref="C47">IFERROR(INDEX('PROSES ENJEKSİYON'!$L:$L,MATCH(1,('PROSES ENJEKSİYON'!$A:$A=$C$2)*('PROSES ENJEKSİYON'!$F:$F=A47),0)),"")</f>
        <v/>
      </c>
      <c r="D47" s="31" t="str" cm="1">
        <f t="array" ref="D47">IFERROR(INDEX('PROSES ENJEKSİYON'!$L:$L,MATCH(1,('PROSES ENJEKSİYON'!$A:$A=$D$2)*('PROSES ENJEKSİYON'!$F:$F=A47),0)),"")</f>
        <v/>
      </c>
      <c r="E47" s="31" t="str" cm="1">
        <f t="array" ref="E47">IFERROR(INDEX('PROSES ENJEKSİYON'!$L:$L,MATCH(1,('PROSES ENJEKSİYON'!$A:$A=$E$2)*('PROSES ENJEKSİYON'!$F:$F=A47),0)),"")</f>
        <v/>
      </c>
      <c r="F47" s="31" t="str" cm="1">
        <f t="array" ref="F47">IFERROR(INDEX('PROSES ENJEKSİYON'!$L:$L,MATCH(1,('PROSES ENJEKSİYON'!$A:$A=$F$2)*('PROSES ENJEKSİYON'!$F:$F=A47),0)),"")</f>
        <v/>
      </c>
      <c r="G47" s="31" t="str" cm="1">
        <f t="array" ref="G47">IFERROR(INDEX('PROSES ENJEKSİYON'!$L:$L,MATCH(1,('PROSES ENJEKSİYON'!$A:$A=$G$2)*('PROSES ENJEKSİYON'!$F:$F=A47),0)),"")</f>
        <v/>
      </c>
      <c r="H47" s="36" t="str" cm="1">
        <f t="array" ref="H47">IFERROR(INDEX('PROSES ENJEKSİYON'!$G:$G,MATCH(1,('PROSES ENJEKSİYON'!$A:$A=$H$2)*('PROSES ENJEKSİYON'!$F:$F=A47),0)),"")</f>
        <v/>
      </c>
      <c r="I47" s="37" t="str" cm="1">
        <f t="array" ref="I47">IFERROR(INDEX('PROSES ENJEKSİYON'!$L:$L,MATCH(1,('PROSES ENJEKSİYON'!$A:$A=$I$2)*('PROSES ENJEKSİYON'!$F:$F=A47),0)),"")</f>
        <v/>
      </c>
      <c r="J47" s="36" t="str" cm="1">
        <f t="array" ref="J47">IFERROR(INDEX('PROSES ENJEKSİYON'!$G:$G,MATCH(1,('PROSES ENJEKSİYON'!$A:$A=$J$2)*('PROSES ENJEKSİYON'!$F:$F=A47),0)),"")</f>
        <v/>
      </c>
      <c r="K47" s="37" t="str" cm="1">
        <f t="array" ref="K47">IFERROR(INDEX('PROSES ENJEKSİYON'!$L:$L,MATCH(1,('PROSES ENJEKSİYON'!$A:$A=$K$2)*('PROSES ENJEKSİYON'!$F:$F=A47),0)),"")</f>
        <v/>
      </c>
      <c r="L47" s="36" t="str" cm="1">
        <f t="array" ref="L47">IFERROR(INDEX('PROSES ENJEKSİYON'!$G:$G,MATCH(1,('PROSES ENJEKSİYON'!$A:$A=$L$2)*('PROSES ENJEKSİYON'!$F:$F=A47),0)),"")</f>
        <v/>
      </c>
      <c r="M47" s="37" t="str" cm="1">
        <f t="array" ref="M47">IFERROR(INDEX('PROSES ENJEKSİYON'!$L:$L,MATCH(1,('PROSES ENJEKSİYON'!$A:$A=$M$2)*('PROSES ENJEKSİYON'!$F:$F=A47),0)),"")</f>
        <v/>
      </c>
      <c r="N47" s="36" t="str" cm="1">
        <f t="array" ref="N47">IFERROR(INDEX('PROSES ENJEKSİYON'!$G:$G,MATCH(1,('PROSES ENJEKSİYON'!$A:$A=$N$2)*('PROSES ENJEKSİYON'!$F:$F=A47),0)),"")</f>
        <v/>
      </c>
      <c r="O47" s="37" t="str" cm="1">
        <f t="array" ref="O47">IFERROR(INDEX('PROSES ENJEKSİYON'!$L:$L,MATCH(1,('PROSES ENJEKSİYON'!$A:$A=$O$2)*('PROSES ENJEKSİYON'!$F:$F=A47),0)),"")</f>
        <v/>
      </c>
      <c r="P47" s="39"/>
      <c r="Q47" s="37" t="str" cm="1">
        <f t="array" ref="Q47">IFERROR(INDEX('PROSES ENJEKSİYON'!$L:$L,MATCH(1,('PROSES ENJEKSİYON'!$A:$A=$Q$2)*('PROSES ENJEKSİYON'!$F:$F=A47),0)),"")</f>
        <v/>
      </c>
      <c r="R47" s="36" t="str" cm="1">
        <f t="array" ref="R47">IFERROR(INDEX('PROSES ENJEKSİYON'!$G:$G,MATCH(1,('PROSES ENJEKSİYON'!$A:$A=$R$2)*('PROSES ENJEKSİYON'!$F:$F=C47),0)),"")</f>
        <v/>
      </c>
      <c r="S47" s="37" t="str" cm="1">
        <f t="array" ref="S47">IFERROR(INDEX('PROSES ENJEKSİYON'!$L:$L,MATCH(1,('PROSES ENJEKSİYON'!$A:$A=$S$2)*('PROSES ENJEKSİYON'!$F:$F=C47),0)),"")</f>
        <v/>
      </c>
    </row>
  </sheetData>
  <autoFilter ref="A2:Q47" xr:uid="{2183112B-A569-4266-B22A-E3B965AEA755}"/>
  <mergeCells count="6">
    <mergeCell ref="R1:S1"/>
    <mergeCell ref="H1:I1"/>
    <mergeCell ref="J1:K1"/>
    <mergeCell ref="L1:M1"/>
    <mergeCell ref="N1:O1"/>
    <mergeCell ref="P1:Q1"/>
  </mergeCells>
  <phoneticPr fontId="4" type="noConversion"/>
  <conditionalFormatting sqref="H13:S47">
    <cfRule type="cellIs" dxfId="0" priority="1" operator="between">
      <formula>1</formula>
      <formula>100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A99FB-CFFB-4391-9117-CEF28C3DFA29}">
  <sheetPr>
    <pageSetUpPr fitToPage="1"/>
  </sheetPr>
  <dimension ref="A1:S23"/>
  <sheetViews>
    <sheetView view="pageBreakPreview" zoomScale="70" zoomScaleNormal="100" zoomScaleSheetLayoutView="70" workbookViewId="0">
      <pane ySplit="1" topLeftCell="A2" activePane="bottomLeft" state="frozen"/>
      <selection pane="bottomLeft" activeCell="I7" sqref="I7"/>
    </sheetView>
  </sheetViews>
  <sheetFormatPr defaultColWidth="8.88671875" defaultRowHeight="13.8" x14ac:dyDescent="0.3"/>
  <cols>
    <col min="1" max="1" width="6.88671875" style="10" bestFit="1" customWidth="1"/>
    <col min="2" max="2" width="10.6640625" style="10" customWidth="1"/>
    <col min="3" max="3" width="11.88671875" style="10" customWidth="1"/>
    <col min="4" max="5" width="11.6640625" style="10" customWidth="1"/>
    <col min="6" max="6" width="11" style="10" customWidth="1"/>
    <col min="7" max="7" width="10.5546875" style="10" customWidth="1"/>
    <col min="8" max="8" width="10.88671875" style="10" customWidth="1"/>
    <col min="9" max="9" width="10.6640625" style="10" customWidth="1"/>
    <col min="10" max="10" width="11.109375" style="10" customWidth="1"/>
    <col min="11" max="11" width="11.88671875" style="10" customWidth="1"/>
    <col min="12" max="12" width="41.44140625" style="10" customWidth="1"/>
    <col min="13" max="13" width="41.33203125" style="10" customWidth="1"/>
    <col min="14" max="14" width="9" style="10" customWidth="1"/>
    <col min="15" max="15" width="10" style="10" customWidth="1"/>
    <col min="16" max="16" width="9" style="10" customWidth="1"/>
    <col min="17" max="17" width="9.33203125" style="10" customWidth="1"/>
    <col min="18" max="18" width="37.33203125" style="10" customWidth="1"/>
    <col min="19" max="19" width="40.6640625" style="11" bestFit="1" customWidth="1"/>
    <col min="20" max="20" width="26.5546875" style="10" bestFit="1" customWidth="1"/>
    <col min="21" max="16384" width="8.88671875" style="10"/>
  </cols>
  <sheetData>
    <row r="1" spans="1:19" ht="30.75" customHeight="1" x14ac:dyDescent="0.3">
      <c r="A1" s="13" t="s">
        <v>3</v>
      </c>
      <c r="B1" s="14" t="s">
        <v>2</v>
      </c>
      <c r="C1" s="15" t="s">
        <v>48</v>
      </c>
      <c r="D1" s="14" t="s">
        <v>119</v>
      </c>
      <c r="E1" s="14" t="s">
        <v>118</v>
      </c>
      <c r="F1" s="14" t="s">
        <v>117</v>
      </c>
      <c r="G1" s="14" t="s">
        <v>116</v>
      </c>
      <c r="H1" s="14" t="s">
        <v>121</v>
      </c>
      <c r="I1" s="14" t="s">
        <v>120</v>
      </c>
      <c r="J1" s="14" t="s">
        <v>122</v>
      </c>
      <c r="K1" s="14" t="s">
        <v>123</v>
      </c>
      <c r="L1" s="14" t="s">
        <v>50</v>
      </c>
      <c r="M1" s="14" t="s">
        <v>51</v>
      </c>
      <c r="N1" s="14" t="s">
        <v>124</v>
      </c>
      <c r="O1" s="14" t="s">
        <v>53</v>
      </c>
      <c r="P1" s="14" t="s">
        <v>54</v>
      </c>
      <c r="Q1" s="14" t="s">
        <v>55</v>
      </c>
      <c r="R1" s="14" t="s">
        <v>46</v>
      </c>
      <c r="S1" s="16" t="s">
        <v>47</v>
      </c>
    </row>
    <row r="2" spans="1:19" ht="44.25" customHeight="1" x14ac:dyDescent="0.3">
      <c r="A2" s="17">
        <v>401</v>
      </c>
      <c r="B2" s="18"/>
      <c r="C2" s="12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2"/>
    </row>
    <row r="3" spans="1:19" ht="44.25" customHeight="1" x14ac:dyDescent="0.3">
      <c r="A3" s="17">
        <v>402</v>
      </c>
      <c r="B3" s="18"/>
      <c r="C3" s="12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2"/>
    </row>
    <row r="4" spans="1:19" ht="44.25" customHeight="1" x14ac:dyDescent="0.3">
      <c r="A4" s="17">
        <v>403</v>
      </c>
      <c r="B4" s="18"/>
      <c r="C4" s="12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2"/>
    </row>
    <row r="5" spans="1:19" ht="44.25" customHeight="1" x14ac:dyDescent="0.3">
      <c r="A5" s="17">
        <v>404</v>
      </c>
      <c r="B5" s="18"/>
      <c r="C5" s="12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2"/>
    </row>
    <row r="6" spans="1:19" ht="44.25" customHeight="1" x14ac:dyDescent="0.3">
      <c r="A6" s="17">
        <v>405</v>
      </c>
      <c r="B6" s="18"/>
      <c r="C6" s="12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2"/>
    </row>
    <row r="7" spans="1:19" ht="44.25" customHeight="1" x14ac:dyDescent="0.3">
      <c r="A7" s="17">
        <v>201</v>
      </c>
      <c r="B7" s="18"/>
      <c r="C7" s="12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2"/>
    </row>
    <row r="8" spans="1:19" ht="44.25" customHeight="1" x14ac:dyDescent="0.3">
      <c r="A8" s="17">
        <v>202</v>
      </c>
      <c r="B8" s="18"/>
      <c r="C8" s="12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2"/>
    </row>
    <row r="9" spans="1:19" ht="44.25" customHeight="1" x14ac:dyDescent="0.3">
      <c r="A9" s="17">
        <v>203</v>
      </c>
      <c r="B9" s="18"/>
      <c r="C9" s="12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2"/>
    </row>
    <row r="10" spans="1:19" ht="44.25" customHeight="1" x14ac:dyDescent="0.3">
      <c r="A10" s="17">
        <v>204</v>
      </c>
      <c r="B10" s="18"/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2"/>
    </row>
    <row r="11" spans="1:19" ht="44.25" customHeight="1" x14ac:dyDescent="0.3">
      <c r="A11" s="17">
        <v>205</v>
      </c>
      <c r="B11" s="18"/>
      <c r="C11" s="12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2"/>
    </row>
    <row r="12" spans="1:19" ht="44.25" customHeight="1" x14ac:dyDescent="0.3">
      <c r="A12" s="17">
        <v>206</v>
      </c>
      <c r="B12" s="18"/>
      <c r="C12" s="1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2"/>
    </row>
    <row r="13" spans="1:19" ht="44.25" customHeight="1" x14ac:dyDescent="0.3">
      <c r="A13" s="17">
        <v>207</v>
      </c>
      <c r="B13" s="18"/>
      <c r="C13" s="12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2"/>
    </row>
    <row r="14" spans="1:19" ht="44.25" customHeight="1" x14ac:dyDescent="0.3">
      <c r="A14" s="17">
        <v>208</v>
      </c>
      <c r="B14" s="18"/>
      <c r="C14" s="12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2"/>
    </row>
    <row r="15" spans="1:19" ht="44.25" customHeight="1" x14ac:dyDescent="0.3">
      <c r="A15" s="17">
        <v>209</v>
      </c>
      <c r="B15" s="18"/>
      <c r="C15" s="12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2"/>
    </row>
    <row r="16" spans="1:19" ht="44.25" customHeight="1" x14ac:dyDescent="0.3">
      <c r="A16" s="17">
        <v>210</v>
      </c>
      <c r="B16" s="18"/>
      <c r="C16" s="1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2"/>
    </row>
    <row r="17" spans="1:19" ht="44.25" customHeight="1" x14ac:dyDescent="0.3">
      <c r="A17" s="17">
        <v>301</v>
      </c>
      <c r="B17" s="18"/>
      <c r="C17" s="12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2"/>
    </row>
    <row r="18" spans="1:19" ht="44.25" customHeight="1" x14ac:dyDescent="0.3">
      <c r="A18" s="17">
        <v>302</v>
      </c>
      <c r="B18" s="18"/>
      <c r="C18" s="12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2"/>
    </row>
    <row r="19" spans="1:19" ht="44.25" customHeight="1" x14ac:dyDescent="0.3">
      <c r="A19" s="17">
        <v>303</v>
      </c>
      <c r="B19" s="20"/>
      <c r="C19" s="1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2"/>
    </row>
    <row r="20" spans="1:19" ht="44.25" customHeight="1" x14ac:dyDescent="0.3">
      <c r="A20" s="17">
        <v>505</v>
      </c>
      <c r="B20" s="18"/>
      <c r="C20" s="1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2"/>
    </row>
    <row r="21" spans="1:19" ht="44.25" customHeight="1" x14ac:dyDescent="0.3">
      <c r="A21" s="17">
        <v>501</v>
      </c>
      <c r="B21" s="18"/>
      <c r="C21" s="12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2"/>
    </row>
    <row r="22" spans="1:19" ht="44.25" customHeight="1" x14ac:dyDescent="0.3">
      <c r="A22" s="24">
        <v>502</v>
      </c>
      <c r="B22" s="18"/>
      <c r="C22" s="1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2"/>
    </row>
    <row r="23" spans="1:19" ht="44.25" customHeight="1" x14ac:dyDescent="0.3">
      <c r="A23" s="21">
        <v>503</v>
      </c>
      <c r="B23" s="20"/>
      <c r="C23" s="12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2"/>
    </row>
  </sheetData>
  <pageMargins left="0.4" right="0.28999999999999998" top="0.34" bottom="0.17" header="0.15748031496062992" footer="0.19"/>
  <pageSetup paperSize="9" scale="4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2B5A-BB1B-4DF7-A98E-8F6AEE8AEBF3}">
  <sheetPr>
    <pageSetUpPr fitToPage="1"/>
  </sheetPr>
  <dimension ref="A1:S24"/>
  <sheetViews>
    <sheetView view="pageBreakPreview" zoomScale="70" zoomScaleNormal="100" zoomScaleSheetLayoutView="70" workbookViewId="0">
      <pane ySplit="1" topLeftCell="A2" activePane="bottomLeft" state="frozen"/>
      <selection pane="bottomLeft" activeCell="D7" sqref="D7"/>
    </sheetView>
  </sheetViews>
  <sheetFormatPr defaultColWidth="8.88671875" defaultRowHeight="13.8" x14ac:dyDescent="0.3"/>
  <cols>
    <col min="1" max="1" width="6.88671875" style="10" bestFit="1" customWidth="1"/>
    <col min="2" max="2" width="24" style="10" customWidth="1"/>
    <col min="3" max="3" width="31" style="10" customWidth="1"/>
    <col min="4" max="4" width="35.88671875" style="10" customWidth="1"/>
    <col min="5" max="5" width="31.5546875" style="10" customWidth="1"/>
    <col min="6" max="6" width="22.88671875" style="10" customWidth="1"/>
    <col min="7" max="7" width="20.5546875" style="10" customWidth="1"/>
    <col min="8" max="8" width="25.109375" style="10" customWidth="1"/>
    <col min="9" max="9" width="19.33203125" style="10" customWidth="1"/>
    <col min="10" max="10" width="34.109375" style="10" customWidth="1"/>
    <col min="11" max="11" width="11.88671875" style="10" customWidth="1"/>
    <col min="12" max="12" width="41.44140625" style="10" hidden="1" customWidth="1"/>
    <col min="13" max="13" width="41.33203125" style="10" hidden="1" customWidth="1"/>
    <col min="14" max="14" width="9" style="10" hidden="1" customWidth="1"/>
    <col min="15" max="15" width="10" style="10" hidden="1" customWidth="1"/>
    <col min="16" max="16" width="9" style="10" hidden="1" customWidth="1"/>
    <col min="17" max="17" width="9.33203125" style="10" hidden="1" customWidth="1"/>
    <col min="18" max="18" width="37.33203125" style="10" customWidth="1"/>
    <col min="19" max="19" width="40.6640625" style="11" bestFit="1" customWidth="1"/>
    <col min="20" max="20" width="26.5546875" style="10" bestFit="1" customWidth="1"/>
    <col min="21" max="16384" width="8.88671875" style="10"/>
  </cols>
  <sheetData>
    <row r="1" spans="1:19" ht="30.75" customHeight="1" x14ac:dyDescent="0.3">
      <c r="A1" s="13" t="s">
        <v>3</v>
      </c>
      <c r="B1" s="14" t="s">
        <v>2</v>
      </c>
      <c r="C1" s="15" t="s">
        <v>48</v>
      </c>
      <c r="D1" s="14" t="s">
        <v>119</v>
      </c>
      <c r="E1" s="14" t="s">
        <v>118</v>
      </c>
      <c r="F1" s="14" t="s">
        <v>117</v>
      </c>
      <c r="G1" s="14" t="s">
        <v>116</v>
      </c>
      <c r="H1" s="14" t="s">
        <v>121</v>
      </c>
      <c r="I1" s="14" t="s">
        <v>120</v>
      </c>
      <c r="J1" s="14" t="s">
        <v>122</v>
      </c>
      <c r="K1" s="14" t="s">
        <v>123</v>
      </c>
      <c r="L1" s="14" t="s">
        <v>50</v>
      </c>
      <c r="M1" s="14" t="s">
        <v>51</v>
      </c>
      <c r="N1" s="14" t="s">
        <v>124</v>
      </c>
      <c r="O1" s="14" t="s">
        <v>53</v>
      </c>
      <c r="P1" s="14" t="s">
        <v>54</v>
      </c>
      <c r="Q1" s="14" t="s">
        <v>55</v>
      </c>
      <c r="R1" s="14" t="s">
        <v>46</v>
      </c>
      <c r="S1" s="16" t="s">
        <v>47</v>
      </c>
    </row>
    <row r="2" spans="1:19" ht="49.5" customHeight="1" x14ac:dyDescent="0.3">
      <c r="A2" s="17">
        <v>101</v>
      </c>
      <c r="B2" s="18"/>
      <c r="C2" s="12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2"/>
    </row>
    <row r="3" spans="1:19" ht="49.5" customHeight="1" x14ac:dyDescent="0.3">
      <c r="A3" s="17">
        <v>102</v>
      </c>
      <c r="B3" s="18"/>
      <c r="C3" s="12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2"/>
    </row>
    <row r="4" spans="1:19" ht="49.5" customHeight="1" x14ac:dyDescent="0.3">
      <c r="A4" s="17">
        <v>103</v>
      </c>
      <c r="B4" s="18"/>
      <c r="C4" s="12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2"/>
    </row>
    <row r="5" spans="1:19" ht="49.5" customHeight="1" x14ac:dyDescent="0.3">
      <c r="A5" s="17">
        <v>104</v>
      </c>
      <c r="B5" s="18"/>
      <c r="C5" s="12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2"/>
    </row>
    <row r="6" spans="1:19" ht="49.5" customHeight="1" x14ac:dyDescent="0.3">
      <c r="A6" s="17">
        <v>161</v>
      </c>
      <c r="B6" s="18"/>
      <c r="C6" s="12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2"/>
    </row>
    <row r="7" spans="1:19" ht="49.5" customHeight="1" x14ac:dyDescent="0.3">
      <c r="A7" s="17">
        <v>162</v>
      </c>
      <c r="B7" s="18"/>
      <c r="C7" s="12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2"/>
    </row>
    <row r="8" spans="1:19" ht="49.5" customHeight="1" x14ac:dyDescent="0.3">
      <c r="A8" s="17">
        <v>163</v>
      </c>
      <c r="B8" s="18"/>
      <c r="C8" s="12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2"/>
    </row>
    <row r="9" spans="1:19" ht="49.5" customHeight="1" x14ac:dyDescent="0.3">
      <c r="A9" s="17">
        <v>164</v>
      </c>
      <c r="B9" s="18"/>
      <c r="C9" s="12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2"/>
    </row>
    <row r="10" spans="1:19" ht="49.5" customHeight="1" x14ac:dyDescent="0.3">
      <c r="A10" s="17">
        <v>181</v>
      </c>
      <c r="B10" s="18"/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2"/>
    </row>
    <row r="11" spans="1:19" ht="49.5" customHeight="1" x14ac:dyDescent="0.3">
      <c r="A11" s="17">
        <v>182</v>
      </c>
      <c r="B11" s="18"/>
      <c r="C11" s="12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2"/>
    </row>
    <row r="12" spans="1:19" ht="49.5" customHeight="1" x14ac:dyDescent="0.3">
      <c r="A12" s="17">
        <v>171</v>
      </c>
      <c r="B12" s="18"/>
      <c r="C12" s="1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2"/>
    </row>
    <row r="13" spans="1:19" ht="49.5" customHeight="1" x14ac:dyDescent="0.3">
      <c r="A13" s="17">
        <v>172</v>
      </c>
      <c r="B13" s="18"/>
      <c r="C13" s="12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2"/>
    </row>
    <row r="14" spans="1:19" ht="49.5" customHeight="1" x14ac:dyDescent="0.3">
      <c r="A14" s="17">
        <v>173</v>
      </c>
      <c r="B14" s="18"/>
      <c r="C14" s="12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2"/>
    </row>
    <row r="15" spans="1:19" ht="49.5" customHeight="1" x14ac:dyDescent="0.3">
      <c r="A15" s="17">
        <v>174</v>
      </c>
      <c r="B15" s="18"/>
      <c r="C15" s="12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2"/>
    </row>
    <row r="16" spans="1:19" ht="49.5" customHeight="1" x14ac:dyDescent="0.3">
      <c r="A16" s="17">
        <v>175</v>
      </c>
      <c r="B16" s="18"/>
      <c r="C16" s="1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2"/>
    </row>
    <row r="17" spans="1:19" ht="49.5" customHeight="1" x14ac:dyDescent="0.3">
      <c r="A17" s="17">
        <v>176</v>
      </c>
      <c r="B17" s="18"/>
      <c r="C17" s="12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2"/>
    </row>
    <row r="18" spans="1:19" ht="49.5" customHeight="1" x14ac:dyDescent="0.3">
      <c r="A18" s="17">
        <v>177</v>
      </c>
      <c r="B18" s="18"/>
      <c r="C18" s="12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2"/>
    </row>
    <row r="19" spans="1:19" ht="49.5" customHeight="1" x14ac:dyDescent="0.3">
      <c r="A19" s="17">
        <v>178</v>
      </c>
      <c r="B19" s="18"/>
      <c r="C19" s="1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2"/>
    </row>
    <row r="20" spans="1:19" ht="49.5" customHeight="1" x14ac:dyDescent="0.3">
      <c r="A20" s="17">
        <v>131</v>
      </c>
      <c r="B20" s="18"/>
      <c r="C20" s="1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2"/>
    </row>
    <row r="21" spans="1:19" ht="49.5" customHeight="1" x14ac:dyDescent="0.3">
      <c r="A21" s="17">
        <v>132</v>
      </c>
      <c r="B21" s="18"/>
      <c r="C21" s="12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2"/>
    </row>
    <row r="22" spans="1:19" ht="49.5" customHeight="1" x14ac:dyDescent="0.3">
      <c r="A22" s="17">
        <v>133</v>
      </c>
      <c r="B22" s="18"/>
      <c r="C22" s="1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2"/>
    </row>
    <row r="23" spans="1:19" ht="49.5" customHeight="1" x14ac:dyDescent="0.3">
      <c r="A23" s="17">
        <v>134</v>
      </c>
      <c r="B23" s="18"/>
      <c r="C23" s="12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2"/>
    </row>
    <row r="24" spans="1:19" ht="49.5" customHeight="1" x14ac:dyDescent="0.3">
      <c r="A24" s="17">
        <v>135</v>
      </c>
      <c r="B24" s="18"/>
      <c r="C24" s="12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2"/>
    </row>
  </sheetData>
  <pageMargins left="0.25" right="0.25" top="0.75" bottom="0.75" header="0.3" footer="0.3"/>
  <pageSetup paperSize="9" scale="4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112B-A569-4266-B22A-E3B965AEA755}">
  <dimension ref="A1:L46"/>
  <sheetViews>
    <sheetView workbookViewId="0">
      <selection activeCell="P38" sqref="P38"/>
    </sheetView>
  </sheetViews>
  <sheetFormatPr defaultRowHeight="14.4" x14ac:dyDescent="0.3"/>
  <cols>
    <col min="3" max="3" width="10.109375" bestFit="1" customWidth="1"/>
    <col min="6" max="7" width="10.109375" bestFit="1" customWidth="1"/>
  </cols>
  <sheetData>
    <row r="1" spans="1:12" ht="27" customHeight="1" x14ac:dyDescent="0.3">
      <c r="A1" s="30" t="s">
        <v>3</v>
      </c>
      <c r="B1" s="5">
        <v>45936</v>
      </c>
      <c r="C1" s="5">
        <v>45937</v>
      </c>
      <c r="D1" s="5">
        <v>45938</v>
      </c>
      <c r="E1" s="5">
        <v>45939</v>
      </c>
      <c r="F1" s="5">
        <v>45940</v>
      </c>
      <c r="G1" s="5">
        <v>45941</v>
      </c>
      <c r="H1" s="5">
        <v>45943</v>
      </c>
      <c r="I1" s="5">
        <v>45944</v>
      </c>
      <c r="J1" s="5">
        <v>45945</v>
      </c>
      <c r="K1" s="5">
        <v>45946</v>
      </c>
      <c r="L1" s="5">
        <v>45947</v>
      </c>
    </row>
    <row r="2" spans="1:12" hidden="1" x14ac:dyDescent="0.3">
      <c r="A2" s="3">
        <v>101</v>
      </c>
      <c r="B2" t="str" cm="1">
        <f t="array" ref="B2">IFERROR(INDEX('PROSES ENJEKSİYON'!$L:$L, MATCH(1,('PROSES ENJEKSİYON'!$A:$A=$B$1)*('PROSES ENJEKSİYON'!$F:$F=A2),0)), "")</f>
        <v/>
      </c>
      <c r="C2" t="str" cm="1">
        <f t="array" ref="C2">IFERROR(INDEX('PROSES ENJEKSİYON'!$L:$L,MATCH(1,('PROSES ENJEKSİYON'!$A:$A=$C$1)*('PROSES ENJEKSİYON'!$F:$F=A2),0)),"")</f>
        <v/>
      </c>
      <c r="D2" t="str" cm="1">
        <f t="array" ref="D2">IFERROR(INDEX('PROSES ENJEKSİYON'!$L:$L,MATCH(1,('PROSES ENJEKSİYON'!$A:$A=$D$1)*('PROSES ENJEKSİYON'!$F:$F=A2),0)),"")</f>
        <v/>
      </c>
      <c r="E2" t="str" cm="1">
        <f t="array" ref="E2">IFERROR(INDEX('PROSES ENJEKSİYON'!$L:$L,MATCH(1,('PROSES ENJEKSİYON'!$A:$A=$E$1)*('PROSES ENJEKSİYON'!$F:$F=A2),0)),"")</f>
        <v/>
      </c>
      <c r="F2" t="str" cm="1">
        <f t="array" ref="F2">IFERROR(INDEX('PROSES ENJEKSİYON'!$L:$L,MATCH(1,('PROSES ENJEKSİYON'!$A:$A=$F$1)*('PROSES ENJEKSİYON'!$F:$F=A2),0)),"")</f>
        <v/>
      </c>
      <c r="G2" t="str" cm="1">
        <f t="array" ref="G2">IFERROR(INDEX('PROSES ENJEKSİYON'!$L:$L,MATCH(1,('PROSES ENJEKSİYON'!$A:$A=$G$1)*('PROSES ENJEKSİYON'!$F:$F=A2),0)),"")</f>
        <v/>
      </c>
      <c r="H2" t="str" cm="1">
        <f t="array" ref="H2">IFERROR(INDEX('PROSES ENJEKSİYON'!$L:$L,MATCH(1,('PROSES ENJEKSİYON'!$A:$A=$H$1)*('PROSES ENJEKSİYON'!$F:$F=A2),0)),"")</f>
        <v/>
      </c>
      <c r="I2" t="str" cm="1">
        <f t="array" ref="I2">IFERROR(INDEX('PROSES ENJEKSİYON'!$L:$L,MATCH(1,('PROSES ENJEKSİYON'!$A:$A=$I$1)*('PROSES ENJEKSİYON'!$F:$F=A2),0)),"")</f>
        <v/>
      </c>
      <c r="J2" t="str" cm="1">
        <f t="array" ref="J2">IFERROR(INDEX('PROSES ENJEKSİYON'!$L:$L,MATCH(1,('PROSES ENJEKSİYON'!$A:$A=$J$1)*('PROSES ENJEKSİYON'!$F:$F=A2),0)),"")</f>
        <v/>
      </c>
      <c r="K2" t="str" cm="1">
        <f t="array" ref="K2">IFERROR(INDEX('PROSES ENJEKSİYON'!$L:$L,MATCH(1,('PROSES ENJEKSİYON'!$A:$A=$K$1)*('PROSES ENJEKSİYON'!$F:$F=A2),0)),"")</f>
        <v/>
      </c>
      <c r="L2" t="str" cm="1">
        <f t="array" ref="L2">IFERROR(INDEX('PROSES ENJEKSİYON'!$L:$L,MATCH(1,('PROSES ENJEKSİYON'!$A:$A=$L$1)*('PROSES ENJEKSİYON'!$F:$F=A2),0)),"")</f>
        <v/>
      </c>
    </row>
    <row r="3" spans="1:12" hidden="1" x14ac:dyDescent="0.3">
      <c r="A3" s="3">
        <v>102</v>
      </c>
      <c r="B3" t="str" cm="1">
        <f t="array" ref="B3">IFERROR(INDEX('PROSES ENJEKSİYON'!$L:$L, MATCH(1,('PROSES ENJEKSİYON'!$A:$A=$B$1)*('PROSES ENJEKSİYON'!$F:$F=A3),0)), "")</f>
        <v/>
      </c>
      <c r="C3" t="str" cm="1">
        <f t="array" ref="C3">IFERROR(INDEX('PROSES ENJEKSİYON'!$L:$L,MATCH(1,('PROSES ENJEKSİYON'!$A:$A=$C$1)*('PROSES ENJEKSİYON'!$F:$F=A3),0)),"")</f>
        <v/>
      </c>
      <c r="D3" t="str" cm="1">
        <f t="array" ref="D3">IFERROR(INDEX('PROSES ENJEKSİYON'!$L:$L,MATCH(1,('PROSES ENJEKSİYON'!$A:$A=$D$1)*('PROSES ENJEKSİYON'!$F:$F=A3),0)),"")</f>
        <v/>
      </c>
      <c r="E3" t="str" cm="1">
        <f t="array" ref="E3">IFERROR(INDEX('PROSES ENJEKSİYON'!$L:$L,MATCH(1,('PROSES ENJEKSİYON'!$A:$A=$E$1)*('PROSES ENJEKSİYON'!$F:$F=A3),0)),"")</f>
        <v/>
      </c>
      <c r="F3" t="str" cm="1">
        <f t="array" ref="F3">IFERROR(INDEX('PROSES ENJEKSİYON'!$L:$L,MATCH(1,('PROSES ENJEKSİYON'!$A:$A=$F$1)*('PROSES ENJEKSİYON'!$F:$F=A3),0)),"")</f>
        <v/>
      </c>
      <c r="G3" t="str" cm="1">
        <f t="array" ref="G3">IFERROR(INDEX('PROSES ENJEKSİYON'!$L:$L,MATCH(1,('PROSES ENJEKSİYON'!$A:$A=$G$1)*('PROSES ENJEKSİYON'!$F:$F=A3),0)),"")</f>
        <v/>
      </c>
      <c r="H3" t="str" cm="1">
        <f t="array" ref="H3">IFERROR(INDEX('PROSES ENJEKSİYON'!$L:$L,MATCH(1,('PROSES ENJEKSİYON'!$A:$A=$H$1)*('PROSES ENJEKSİYON'!$F:$F=A3),0)),"")</f>
        <v/>
      </c>
      <c r="I3" t="str" cm="1">
        <f t="array" ref="I3">IFERROR(INDEX('PROSES ENJEKSİYON'!$L:$L,MATCH(1,('PROSES ENJEKSİYON'!$A:$A=$I$1)*('PROSES ENJEKSİYON'!$F:$F=A3),0)),"")</f>
        <v/>
      </c>
      <c r="J3" t="str" cm="1">
        <f t="array" ref="J3">IFERROR(INDEX('PROSES ENJEKSİYON'!$L:$L,MATCH(1,('PROSES ENJEKSİYON'!$A:$A=$J$1)*('PROSES ENJEKSİYON'!$F:$F=A3),0)),"")</f>
        <v/>
      </c>
      <c r="K3" t="str" cm="1">
        <f t="array" ref="K3">IFERROR(INDEX('PROSES ENJEKSİYON'!$L:$L,MATCH(1,('PROSES ENJEKSİYON'!$A:$A=$K$1)*('PROSES ENJEKSİYON'!$F:$F=A3),0)),"")</f>
        <v/>
      </c>
      <c r="L3" t="str" cm="1">
        <f t="array" ref="L3">IFERROR(INDEX('PROSES ENJEKSİYON'!$L:$L,MATCH(1,('PROSES ENJEKSİYON'!$A:$A=$L$1)*('PROSES ENJEKSİYON'!$F:$F=A3),0)),"")</f>
        <v/>
      </c>
    </row>
    <row r="4" spans="1:12" hidden="1" x14ac:dyDescent="0.3">
      <c r="A4" s="3">
        <v>103</v>
      </c>
      <c r="B4" t="str" cm="1">
        <f t="array" ref="B4">IFERROR(INDEX('PROSES ENJEKSİYON'!$L:$L, MATCH(1,('PROSES ENJEKSİYON'!$A:$A=$B$1)*('PROSES ENJEKSİYON'!$F:$F=A4),0)), "")</f>
        <v/>
      </c>
      <c r="C4" t="str" cm="1">
        <f t="array" ref="C4">IFERROR(INDEX('PROSES ENJEKSİYON'!$L:$L,MATCH(1,('PROSES ENJEKSİYON'!$A:$A=$C$1)*('PROSES ENJEKSİYON'!$F:$F=A4),0)),"")</f>
        <v/>
      </c>
      <c r="D4" t="str" cm="1">
        <f t="array" ref="D4">IFERROR(INDEX('PROSES ENJEKSİYON'!$L:$L,MATCH(1,('PROSES ENJEKSİYON'!$A:$A=$D$1)*('PROSES ENJEKSİYON'!$F:$F=A4),0)),"")</f>
        <v/>
      </c>
      <c r="E4" t="str" cm="1">
        <f t="array" ref="E4">IFERROR(INDEX('PROSES ENJEKSİYON'!$L:$L,MATCH(1,('PROSES ENJEKSİYON'!$A:$A=$E$1)*('PROSES ENJEKSİYON'!$F:$F=A4),0)),"")</f>
        <v/>
      </c>
      <c r="F4" t="str" cm="1">
        <f t="array" ref="F4">IFERROR(INDEX('PROSES ENJEKSİYON'!$L:$L,MATCH(1,('PROSES ENJEKSİYON'!$A:$A=$F$1)*('PROSES ENJEKSİYON'!$F:$F=A4),0)),"")</f>
        <v/>
      </c>
      <c r="G4" t="str" cm="1">
        <f t="array" ref="G4">IFERROR(INDEX('PROSES ENJEKSİYON'!$L:$L,MATCH(1,('PROSES ENJEKSİYON'!$A:$A=$G$1)*('PROSES ENJEKSİYON'!$F:$F=A4),0)),"")</f>
        <v/>
      </c>
      <c r="H4" t="str" cm="1">
        <f t="array" ref="H4">IFERROR(INDEX('PROSES ENJEKSİYON'!$L:$L,MATCH(1,('PROSES ENJEKSİYON'!$A:$A=$H$1)*('PROSES ENJEKSİYON'!$F:$F=A4),0)),"")</f>
        <v/>
      </c>
      <c r="I4" t="str" cm="1">
        <f t="array" ref="I4">IFERROR(INDEX('PROSES ENJEKSİYON'!$L:$L,MATCH(1,('PROSES ENJEKSİYON'!$A:$A=$I$1)*('PROSES ENJEKSİYON'!$F:$F=A4),0)),"")</f>
        <v/>
      </c>
      <c r="J4" t="str" cm="1">
        <f t="array" ref="J4">IFERROR(INDEX('PROSES ENJEKSİYON'!$L:$L,MATCH(1,('PROSES ENJEKSİYON'!$A:$A=$J$1)*('PROSES ENJEKSİYON'!$F:$F=A4),0)),"")</f>
        <v/>
      </c>
      <c r="K4" t="str" cm="1">
        <f t="array" ref="K4">IFERROR(INDEX('PROSES ENJEKSİYON'!$L:$L,MATCH(1,('PROSES ENJEKSİYON'!$A:$A=$K$1)*('PROSES ENJEKSİYON'!$F:$F=A4),0)),"")</f>
        <v/>
      </c>
      <c r="L4" t="str" cm="1">
        <f t="array" ref="L4">IFERROR(INDEX('PROSES ENJEKSİYON'!$L:$L,MATCH(1,('PROSES ENJEKSİYON'!$A:$A=$L$1)*('PROSES ENJEKSİYON'!$F:$F=A4),0)),"")</f>
        <v/>
      </c>
    </row>
    <row r="5" spans="1:12" hidden="1" x14ac:dyDescent="0.3">
      <c r="A5" s="3">
        <v>104</v>
      </c>
      <c r="B5" t="str" cm="1">
        <f t="array" ref="B5">IFERROR(INDEX('PROSES ENJEKSİYON'!$L:$L, MATCH(1,('PROSES ENJEKSİYON'!$A:$A=$B$1)*('PROSES ENJEKSİYON'!$F:$F=A5),0)), "")</f>
        <v/>
      </c>
      <c r="C5" t="str" cm="1">
        <f t="array" ref="C5">IFERROR(INDEX('PROSES ENJEKSİYON'!$L:$L,MATCH(1,('PROSES ENJEKSİYON'!$A:$A=$C$1)*('PROSES ENJEKSİYON'!$F:$F=A5),0)),"")</f>
        <v/>
      </c>
      <c r="D5" t="str" cm="1">
        <f t="array" ref="D5">IFERROR(INDEX('PROSES ENJEKSİYON'!$L:$L,MATCH(1,('PROSES ENJEKSİYON'!$A:$A=$D$1)*('PROSES ENJEKSİYON'!$F:$F=A5),0)),"")</f>
        <v/>
      </c>
      <c r="E5" t="str" cm="1">
        <f t="array" ref="E5">IFERROR(INDEX('PROSES ENJEKSİYON'!$L:$L,MATCH(1,('PROSES ENJEKSİYON'!$A:$A=$E$1)*('PROSES ENJEKSİYON'!$F:$F=A5),0)),"")</f>
        <v/>
      </c>
      <c r="F5" t="str" cm="1">
        <f t="array" ref="F5">IFERROR(INDEX('PROSES ENJEKSİYON'!$L:$L,MATCH(1,('PROSES ENJEKSİYON'!$A:$A=$F$1)*('PROSES ENJEKSİYON'!$F:$F=A5),0)),"")</f>
        <v/>
      </c>
      <c r="G5" t="str" cm="1">
        <f t="array" ref="G5">IFERROR(INDEX('PROSES ENJEKSİYON'!$L:$L,MATCH(1,('PROSES ENJEKSİYON'!$A:$A=$G$1)*('PROSES ENJEKSİYON'!$F:$F=A5),0)),"")</f>
        <v/>
      </c>
      <c r="H5" t="str" cm="1">
        <f t="array" ref="H5">IFERROR(INDEX('PROSES ENJEKSİYON'!$L:$L,MATCH(1,('PROSES ENJEKSİYON'!$A:$A=$H$1)*('PROSES ENJEKSİYON'!$F:$F=A5),0)),"")</f>
        <v/>
      </c>
      <c r="I5" t="str" cm="1">
        <f t="array" ref="I5">IFERROR(INDEX('PROSES ENJEKSİYON'!$L:$L,MATCH(1,('PROSES ENJEKSİYON'!$A:$A=$I$1)*('PROSES ENJEKSİYON'!$F:$F=A5),0)),"")</f>
        <v/>
      </c>
      <c r="J5" t="str" cm="1">
        <f t="array" ref="J5">IFERROR(INDEX('PROSES ENJEKSİYON'!$L:$L,MATCH(1,('PROSES ENJEKSİYON'!$A:$A=$J$1)*('PROSES ENJEKSİYON'!$F:$F=A5),0)),"")</f>
        <v/>
      </c>
      <c r="K5" t="str" cm="1">
        <f t="array" ref="K5">IFERROR(INDEX('PROSES ENJEKSİYON'!$L:$L,MATCH(1,('PROSES ENJEKSİYON'!$A:$A=$K$1)*('PROSES ENJEKSİYON'!$F:$F=A5),0)),"")</f>
        <v/>
      </c>
      <c r="L5" t="str" cm="1">
        <f t="array" ref="L5">IFERROR(INDEX('PROSES ENJEKSİYON'!$L:$L,MATCH(1,('PROSES ENJEKSİYON'!$A:$A=$L$1)*('PROSES ENJEKSİYON'!$F:$F=A5),0)),"")</f>
        <v/>
      </c>
    </row>
    <row r="6" spans="1:12" hidden="1" x14ac:dyDescent="0.3">
      <c r="A6" s="3">
        <v>161</v>
      </c>
      <c r="B6" t="str" cm="1">
        <f t="array" ref="B6">IFERROR(INDEX('PROSES ENJEKSİYON'!$L:$L, MATCH(1,('PROSES ENJEKSİYON'!$A:$A=$B$1)*('PROSES ENJEKSİYON'!$F:$F=A6),0)), "")</f>
        <v/>
      </c>
      <c r="C6" t="str" cm="1">
        <f t="array" ref="C6">IFERROR(INDEX('PROSES ENJEKSİYON'!$L:$L,MATCH(1,('PROSES ENJEKSİYON'!$A:$A=$C$1)*('PROSES ENJEKSİYON'!$F:$F=A6),0)),"")</f>
        <v/>
      </c>
      <c r="D6" t="str" cm="1">
        <f t="array" ref="D6">IFERROR(INDEX('PROSES ENJEKSİYON'!$L:$L,MATCH(1,('PROSES ENJEKSİYON'!$A:$A=$D$1)*('PROSES ENJEKSİYON'!$F:$F=A6),0)),"")</f>
        <v/>
      </c>
      <c r="E6" t="str" cm="1">
        <f t="array" ref="E6">IFERROR(INDEX('PROSES ENJEKSİYON'!$L:$L,MATCH(1,('PROSES ENJEKSİYON'!$A:$A=$E$1)*('PROSES ENJEKSİYON'!$F:$F=A6),0)),"")</f>
        <v/>
      </c>
      <c r="F6" t="str" cm="1">
        <f t="array" ref="F6">IFERROR(INDEX('PROSES ENJEKSİYON'!$L:$L,MATCH(1,('PROSES ENJEKSİYON'!$A:$A=$F$1)*('PROSES ENJEKSİYON'!$F:$F=A6),0)),"")</f>
        <v/>
      </c>
      <c r="G6" t="str" cm="1">
        <f t="array" ref="G6">IFERROR(INDEX('PROSES ENJEKSİYON'!$L:$L,MATCH(1,('PROSES ENJEKSİYON'!$A:$A=$G$1)*('PROSES ENJEKSİYON'!$F:$F=A6),0)),"")</f>
        <v/>
      </c>
      <c r="H6" t="str" cm="1">
        <f t="array" ref="H6">IFERROR(INDEX('PROSES ENJEKSİYON'!$L:$L,MATCH(1,('PROSES ENJEKSİYON'!$A:$A=$H$1)*('PROSES ENJEKSİYON'!$F:$F=A6),0)),"")</f>
        <v/>
      </c>
      <c r="I6" t="str" cm="1">
        <f t="array" ref="I6">IFERROR(INDEX('PROSES ENJEKSİYON'!$L:$L,MATCH(1,('PROSES ENJEKSİYON'!$A:$A=$I$1)*('PROSES ENJEKSİYON'!$F:$F=A6),0)),"")</f>
        <v/>
      </c>
      <c r="J6" t="str" cm="1">
        <f t="array" ref="J6">IFERROR(INDEX('PROSES ENJEKSİYON'!$L:$L,MATCH(1,('PROSES ENJEKSİYON'!$A:$A=$J$1)*('PROSES ENJEKSİYON'!$F:$F=A6),0)),"")</f>
        <v/>
      </c>
      <c r="K6" t="str" cm="1">
        <f t="array" ref="K6">IFERROR(INDEX('PROSES ENJEKSİYON'!$L:$L,MATCH(1,('PROSES ENJEKSİYON'!$A:$A=$K$1)*('PROSES ENJEKSİYON'!$F:$F=A6),0)),"")</f>
        <v/>
      </c>
      <c r="L6" t="str" cm="1">
        <f t="array" ref="L6">IFERROR(INDEX('PROSES ENJEKSİYON'!$L:$L,MATCH(1,('PROSES ENJEKSİYON'!$A:$A=$L$1)*('PROSES ENJEKSİYON'!$F:$F=A6),0)),"")</f>
        <v/>
      </c>
    </row>
    <row r="7" spans="1:12" hidden="1" x14ac:dyDescent="0.3">
      <c r="A7" s="3">
        <v>162</v>
      </c>
      <c r="B7" t="str" cm="1">
        <f t="array" ref="B7">IFERROR(INDEX('PROSES ENJEKSİYON'!$L:$L, MATCH(1,('PROSES ENJEKSİYON'!$A:$A=$B$1)*('PROSES ENJEKSİYON'!$F:$F=A7),0)), "")</f>
        <v/>
      </c>
      <c r="C7" t="str" cm="1">
        <f t="array" ref="C7">IFERROR(INDEX('PROSES ENJEKSİYON'!$L:$L,MATCH(1,('PROSES ENJEKSİYON'!$A:$A=$C$1)*('PROSES ENJEKSİYON'!$F:$F=A7),0)),"")</f>
        <v/>
      </c>
      <c r="D7" t="str" cm="1">
        <f t="array" ref="D7">IFERROR(INDEX('PROSES ENJEKSİYON'!$L:$L,MATCH(1,('PROSES ENJEKSİYON'!$A:$A=$D$1)*('PROSES ENJEKSİYON'!$F:$F=A7),0)),"")</f>
        <v/>
      </c>
      <c r="E7" t="str" cm="1">
        <f t="array" ref="E7">IFERROR(INDEX('PROSES ENJEKSİYON'!$L:$L,MATCH(1,('PROSES ENJEKSİYON'!$A:$A=$E$1)*('PROSES ENJEKSİYON'!$F:$F=A7),0)),"")</f>
        <v/>
      </c>
      <c r="F7" t="str" cm="1">
        <f t="array" ref="F7">IFERROR(INDEX('PROSES ENJEKSİYON'!$L:$L,MATCH(1,('PROSES ENJEKSİYON'!$A:$A=$F$1)*('PROSES ENJEKSİYON'!$F:$F=A7),0)),"")</f>
        <v/>
      </c>
      <c r="G7" t="str" cm="1">
        <f t="array" ref="G7">IFERROR(INDEX('PROSES ENJEKSİYON'!$L:$L,MATCH(1,('PROSES ENJEKSİYON'!$A:$A=$G$1)*('PROSES ENJEKSİYON'!$F:$F=A7),0)),"")</f>
        <v/>
      </c>
      <c r="H7" t="str" cm="1">
        <f t="array" ref="H7">IFERROR(INDEX('PROSES ENJEKSİYON'!$L:$L,MATCH(1,('PROSES ENJEKSİYON'!$A:$A=$H$1)*('PROSES ENJEKSİYON'!$F:$F=A7),0)),"")</f>
        <v/>
      </c>
      <c r="I7" t="str" cm="1">
        <f t="array" ref="I7">IFERROR(INDEX('PROSES ENJEKSİYON'!$L:$L,MATCH(1,('PROSES ENJEKSİYON'!$A:$A=$I$1)*('PROSES ENJEKSİYON'!$F:$F=A7),0)),"")</f>
        <v/>
      </c>
      <c r="J7" t="str" cm="1">
        <f t="array" ref="J7">IFERROR(INDEX('PROSES ENJEKSİYON'!$L:$L,MATCH(1,('PROSES ENJEKSİYON'!$A:$A=$J$1)*('PROSES ENJEKSİYON'!$F:$F=A7),0)),"")</f>
        <v/>
      </c>
      <c r="K7" t="str" cm="1">
        <f t="array" ref="K7">IFERROR(INDEX('PROSES ENJEKSİYON'!$L:$L,MATCH(1,('PROSES ENJEKSİYON'!$A:$A=$K$1)*('PROSES ENJEKSİYON'!$F:$F=A7),0)),"")</f>
        <v/>
      </c>
      <c r="L7" t="str" cm="1">
        <f t="array" ref="L7">IFERROR(INDEX('PROSES ENJEKSİYON'!$L:$L,MATCH(1,('PROSES ENJEKSİYON'!$A:$A=$L$1)*('PROSES ENJEKSİYON'!$F:$F=A7),0)),"")</f>
        <v/>
      </c>
    </row>
    <row r="8" spans="1:12" hidden="1" x14ac:dyDescent="0.3">
      <c r="A8" s="3">
        <v>163</v>
      </c>
      <c r="B8" t="str" cm="1">
        <f t="array" ref="B8">IFERROR(INDEX('PROSES ENJEKSİYON'!$L:$L, MATCH(1,('PROSES ENJEKSİYON'!$A:$A=$B$1)*('PROSES ENJEKSİYON'!$F:$F=A8),0)), "")</f>
        <v/>
      </c>
      <c r="C8" t="str" cm="1">
        <f t="array" ref="C8">IFERROR(INDEX('PROSES ENJEKSİYON'!$L:$L,MATCH(1,('PROSES ENJEKSİYON'!$A:$A=$C$1)*('PROSES ENJEKSİYON'!$F:$F=A8),0)),"")</f>
        <v/>
      </c>
      <c r="D8" t="str" cm="1">
        <f t="array" ref="D8">IFERROR(INDEX('PROSES ENJEKSİYON'!$L:$L,MATCH(1,('PROSES ENJEKSİYON'!$A:$A=$D$1)*('PROSES ENJEKSİYON'!$F:$F=A8),0)),"")</f>
        <v/>
      </c>
      <c r="E8" t="str" cm="1">
        <f t="array" ref="E8">IFERROR(INDEX('PROSES ENJEKSİYON'!$L:$L,MATCH(1,('PROSES ENJEKSİYON'!$A:$A=$E$1)*('PROSES ENJEKSİYON'!$F:$F=A8),0)),"")</f>
        <v/>
      </c>
      <c r="F8" t="str" cm="1">
        <f t="array" ref="F8">IFERROR(INDEX('PROSES ENJEKSİYON'!$L:$L,MATCH(1,('PROSES ENJEKSİYON'!$A:$A=$F$1)*('PROSES ENJEKSİYON'!$F:$F=A8),0)),"")</f>
        <v/>
      </c>
      <c r="G8" t="str" cm="1">
        <f t="array" ref="G8">IFERROR(INDEX('PROSES ENJEKSİYON'!$L:$L,MATCH(1,('PROSES ENJEKSİYON'!$A:$A=$G$1)*('PROSES ENJEKSİYON'!$F:$F=A8),0)),"")</f>
        <v/>
      </c>
      <c r="H8" t="str" cm="1">
        <f t="array" ref="H8">IFERROR(INDEX('PROSES ENJEKSİYON'!$L:$L,MATCH(1,('PROSES ENJEKSİYON'!$A:$A=$H$1)*('PROSES ENJEKSİYON'!$F:$F=A8),0)),"")</f>
        <v/>
      </c>
      <c r="I8" t="str" cm="1">
        <f t="array" ref="I8">IFERROR(INDEX('PROSES ENJEKSİYON'!$L:$L,MATCH(1,('PROSES ENJEKSİYON'!$A:$A=$I$1)*('PROSES ENJEKSİYON'!$F:$F=A8),0)),"")</f>
        <v/>
      </c>
      <c r="J8" t="str" cm="1">
        <f t="array" ref="J8">IFERROR(INDEX('PROSES ENJEKSİYON'!$L:$L,MATCH(1,('PROSES ENJEKSİYON'!$A:$A=$J$1)*('PROSES ENJEKSİYON'!$F:$F=A8),0)),"")</f>
        <v/>
      </c>
      <c r="K8" t="str" cm="1">
        <f t="array" ref="K8">IFERROR(INDEX('PROSES ENJEKSİYON'!$L:$L,MATCH(1,('PROSES ENJEKSİYON'!$A:$A=$K$1)*('PROSES ENJEKSİYON'!$F:$F=A8),0)),"")</f>
        <v/>
      </c>
      <c r="L8" t="str" cm="1">
        <f t="array" ref="L8">IFERROR(INDEX('PROSES ENJEKSİYON'!$L:$L,MATCH(1,('PROSES ENJEKSİYON'!$A:$A=$L$1)*('PROSES ENJEKSİYON'!$F:$F=A8),0)),"")</f>
        <v/>
      </c>
    </row>
    <row r="9" spans="1:12" hidden="1" x14ac:dyDescent="0.3">
      <c r="A9" s="3">
        <v>164</v>
      </c>
      <c r="B9" t="str" cm="1">
        <f t="array" ref="B9">IFERROR(INDEX('PROSES ENJEKSİYON'!$L:$L, MATCH(1,('PROSES ENJEKSİYON'!$A:$A=$B$1)*('PROSES ENJEKSİYON'!$F:$F=A9),0)), "")</f>
        <v/>
      </c>
      <c r="C9" t="str" cm="1">
        <f t="array" ref="C9">IFERROR(INDEX('PROSES ENJEKSİYON'!$L:$L,MATCH(1,('PROSES ENJEKSİYON'!$A:$A=$C$1)*('PROSES ENJEKSİYON'!$F:$F=A9),0)),"")</f>
        <v/>
      </c>
      <c r="D9" t="str" cm="1">
        <f t="array" ref="D9">IFERROR(INDEX('PROSES ENJEKSİYON'!$L:$L,MATCH(1,('PROSES ENJEKSİYON'!$A:$A=$D$1)*('PROSES ENJEKSİYON'!$F:$F=A9),0)),"")</f>
        <v/>
      </c>
      <c r="E9" t="str" cm="1">
        <f t="array" ref="E9">IFERROR(INDEX('PROSES ENJEKSİYON'!$L:$L,MATCH(1,('PROSES ENJEKSİYON'!$A:$A=$E$1)*('PROSES ENJEKSİYON'!$F:$F=A9),0)),"")</f>
        <v/>
      </c>
      <c r="F9" t="str" cm="1">
        <f t="array" ref="F9">IFERROR(INDEX('PROSES ENJEKSİYON'!$L:$L,MATCH(1,('PROSES ENJEKSİYON'!$A:$A=$F$1)*('PROSES ENJEKSİYON'!$F:$F=A9),0)),"")</f>
        <v/>
      </c>
      <c r="G9" t="str" cm="1">
        <f t="array" ref="G9">IFERROR(INDEX('PROSES ENJEKSİYON'!$L:$L,MATCH(1,('PROSES ENJEKSİYON'!$A:$A=$G$1)*('PROSES ENJEKSİYON'!$F:$F=A9),0)),"")</f>
        <v/>
      </c>
      <c r="H9" t="str" cm="1">
        <f t="array" ref="H9">IFERROR(INDEX('PROSES ENJEKSİYON'!$L:$L,MATCH(1,('PROSES ENJEKSİYON'!$A:$A=$H$1)*('PROSES ENJEKSİYON'!$F:$F=A9),0)),"")</f>
        <v/>
      </c>
      <c r="I9" t="str" cm="1">
        <f t="array" ref="I9">IFERROR(INDEX('PROSES ENJEKSİYON'!$L:$L,MATCH(1,('PROSES ENJEKSİYON'!$A:$A=$I$1)*('PROSES ENJEKSİYON'!$F:$F=A9),0)),"")</f>
        <v/>
      </c>
      <c r="J9" t="str" cm="1">
        <f t="array" ref="J9">IFERROR(INDEX('PROSES ENJEKSİYON'!$L:$L,MATCH(1,('PROSES ENJEKSİYON'!$A:$A=$J$1)*('PROSES ENJEKSİYON'!$F:$F=A9),0)),"")</f>
        <v/>
      </c>
      <c r="K9" t="str" cm="1">
        <f t="array" ref="K9">IFERROR(INDEX('PROSES ENJEKSİYON'!$L:$L,MATCH(1,('PROSES ENJEKSİYON'!$A:$A=$K$1)*('PROSES ENJEKSİYON'!$F:$F=A9),0)),"")</f>
        <v/>
      </c>
      <c r="L9" t="str" cm="1">
        <f t="array" ref="L9">IFERROR(INDEX('PROSES ENJEKSİYON'!$L:$L,MATCH(1,('PROSES ENJEKSİYON'!$A:$A=$L$1)*('PROSES ENJEKSİYON'!$F:$F=A9),0)),"")</f>
        <v/>
      </c>
    </row>
    <row r="10" spans="1:12" hidden="1" x14ac:dyDescent="0.3">
      <c r="A10" s="3">
        <v>181</v>
      </c>
      <c r="B10" t="str" cm="1">
        <f t="array" ref="B10">IFERROR(INDEX('PROSES ENJEKSİYON'!$L:$L, MATCH(1,('PROSES ENJEKSİYON'!$A:$A=$B$1)*('PROSES ENJEKSİYON'!$F:$F=A10),0)), "")</f>
        <v/>
      </c>
      <c r="C10" t="str" cm="1">
        <f t="array" ref="C10">IFERROR(INDEX('PROSES ENJEKSİYON'!$L:$L,MATCH(1,('PROSES ENJEKSİYON'!$A:$A=$C$1)*('PROSES ENJEKSİYON'!$F:$F=A10),0)),"")</f>
        <v/>
      </c>
      <c r="D10" t="str" cm="1">
        <f t="array" ref="D10">IFERROR(INDEX('PROSES ENJEKSİYON'!$L:$L,MATCH(1,('PROSES ENJEKSİYON'!$A:$A=$D$1)*('PROSES ENJEKSİYON'!$F:$F=A10),0)),"")</f>
        <v/>
      </c>
      <c r="E10" t="str" cm="1">
        <f t="array" ref="E10">IFERROR(INDEX('PROSES ENJEKSİYON'!$L:$L,MATCH(1,('PROSES ENJEKSİYON'!$A:$A=$E$1)*('PROSES ENJEKSİYON'!$F:$F=A10),0)),"")</f>
        <v/>
      </c>
      <c r="F10" t="str" cm="1">
        <f t="array" ref="F10">IFERROR(INDEX('PROSES ENJEKSİYON'!$L:$L,MATCH(1,('PROSES ENJEKSİYON'!$A:$A=$F$1)*('PROSES ENJEKSİYON'!$F:$F=A10),0)),"")</f>
        <v/>
      </c>
      <c r="G10" t="str" cm="1">
        <f t="array" ref="G10">IFERROR(INDEX('PROSES ENJEKSİYON'!$L:$L,MATCH(1,('PROSES ENJEKSİYON'!$A:$A=$G$1)*('PROSES ENJEKSİYON'!$F:$F=A10),0)),"")</f>
        <v/>
      </c>
      <c r="H10" t="str" cm="1">
        <f t="array" ref="H10">IFERROR(INDEX('PROSES ENJEKSİYON'!$L:$L,MATCH(1,('PROSES ENJEKSİYON'!$A:$A=$H$1)*('PROSES ENJEKSİYON'!$F:$F=A10),0)),"")</f>
        <v/>
      </c>
      <c r="I10" t="str" cm="1">
        <f t="array" ref="I10">IFERROR(INDEX('PROSES ENJEKSİYON'!$L:$L,MATCH(1,('PROSES ENJEKSİYON'!$A:$A=$I$1)*('PROSES ENJEKSİYON'!$F:$F=A10),0)),"")</f>
        <v/>
      </c>
      <c r="J10" t="str" cm="1">
        <f t="array" ref="J10">IFERROR(INDEX('PROSES ENJEKSİYON'!$L:$L,MATCH(1,('PROSES ENJEKSİYON'!$A:$A=$J$1)*('PROSES ENJEKSİYON'!$F:$F=A10),0)),"")</f>
        <v/>
      </c>
      <c r="K10" t="str" cm="1">
        <f t="array" ref="K10">IFERROR(INDEX('PROSES ENJEKSİYON'!$L:$L,MATCH(1,('PROSES ENJEKSİYON'!$A:$A=$K$1)*('PROSES ENJEKSİYON'!$F:$F=A10),0)),"")</f>
        <v/>
      </c>
      <c r="L10" t="str" cm="1">
        <f t="array" ref="L10">IFERROR(INDEX('PROSES ENJEKSİYON'!$L:$L,MATCH(1,('PROSES ENJEKSİYON'!$A:$A=$L$1)*('PROSES ENJEKSİYON'!$F:$F=A10),0)),"")</f>
        <v/>
      </c>
    </row>
    <row r="11" spans="1:12" hidden="1" x14ac:dyDescent="0.3">
      <c r="A11" s="3">
        <v>182</v>
      </c>
      <c r="B11" t="str" cm="1">
        <f t="array" ref="B11">IFERROR(INDEX('PROSES ENJEKSİYON'!$L:$L, MATCH(1,('PROSES ENJEKSİYON'!$A:$A=$B$1)*('PROSES ENJEKSİYON'!$F:$F=A11),0)), "")</f>
        <v/>
      </c>
      <c r="C11" t="str" cm="1">
        <f t="array" ref="C11">IFERROR(INDEX('PROSES ENJEKSİYON'!$L:$L,MATCH(1,('PROSES ENJEKSİYON'!$A:$A=$C$1)*('PROSES ENJEKSİYON'!$F:$F=A11),0)),"")</f>
        <v/>
      </c>
      <c r="D11" t="str" cm="1">
        <f t="array" ref="D11">IFERROR(INDEX('PROSES ENJEKSİYON'!$L:$L,MATCH(1,('PROSES ENJEKSİYON'!$A:$A=$D$1)*('PROSES ENJEKSİYON'!$F:$F=A11),0)),"")</f>
        <v/>
      </c>
      <c r="E11" t="str" cm="1">
        <f t="array" ref="E11">IFERROR(INDEX('PROSES ENJEKSİYON'!$L:$L,MATCH(1,('PROSES ENJEKSİYON'!$A:$A=$E$1)*('PROSES ENJEKSİYON'!$F:$F=A11),0)),"")</f>
        <v/>
      </c>
      <c r="F11" t="str" cm="1">
        <f t="array" ref="F11">IFERROR(INDEX('PROSES ENJEKSİYON'!$L:$L,MATCH(1,('PROSES ENJEKSİYON'!$A:$A=$F$1)*('PROSES ENJEKSİYON'!$F:$F=A11),0)),"")</f>
        <v/>
      </c>
      <c r="G11" t="str" cm="1">
        <f t="array" ref="G11">IFERROR(INDEX('PROSES ENJEKSİYON'!$L:$L,MATCH(1,('PROSES ENJEKSİYON'!$A:$A=$G$1)*('PROSES ENJEKSİYON'!$F:$F=A11),0)),"")</f>
        <v/>
      </c>
      <c r="H11" t="str" cm="1">
        <f t="array" ref="H11">IFERROR(INDEX('PROSES ENJEKSİYON'!$L:$L,MATCH(1,('PROSES ENJEKSİYON'!$A:$A=$H$1)*('PROSES ENJEKSİYON'!$F:$F=A11),0)),"")</f>
        <v/>
      </c>
      <c r="I11" t="str" cm="1">
        <f t="array" ref="I11">IFERROR(INDEX('PROSES ENJEKSİYON'!$L:$L,MATCH(1,('PROSES ENJEKSİYON'!$A:$A=$I$1)*('PROSES ENJEKSİYON'!$F:$F=A11),0)),"")</f>
        <v/>
      </c>
      <c r="J11" t="str" cm="1">
        <f t="array" ref="J11">IFERROR(INDEX('PROSES ENJEKSİYON'!$L:$L,MATCH(1,('PROSES ENJEKSİYON'!$A:$A=$J$1)*('PROSES ENJEKSİYON'!$F:$F=A11),0)),"")</f>
        <v/>
      </c>
      <c r="K11" t="str" cm="1">
        <f t="array" ref="K11">IFERROR(INDEX('PROSES ENJEKSİYON'!$L:$L,MATCH(1,('PROSES ENJEKSİYON'!$A:$A=$K$1)*('PROSES ENJEKSİYON'!$F:$F=A11),0)),"")</f>
        <v/>
      </c>
      <c r="L11" t="str" cm="1">
        <f t="array" ref="L11">IFERROR(INDEX('PROSES ENJEKSİYON'!$L:$L,MATCH(1,('PROSES ENJEKSİYON'!$A:$A=$L$1)*('PROSES ENJEKSİYON'!$F:$F=A11),0)),"")</f>
        <v/>
      </c>
    </row>
    <row r="12" spans="1:12" x14ac:dyDescent="0.3">
      <c r="A12" s="3">
        <v>401</v>
      </c>
      <c r="B12" t="str" cm="1">
        <f t="array" ref="B12">IFERROR(INDEX('PROSES ENJEKSİYON'!$L:$L, MATCH(1,('PROSES ENJEKSİYON'!$A:$A=$B$1)*('PROSES ENJEKSİYON'!$F:$F=A12),0)), "")</f>
        <v/>
      </c>
      <c r="C12" t="str" cm="1">
        <f t="array" ref="C12">IFERROR(INDEX('PROSES ENJEKSİYON'!$L:$L,MATCH(1,('PROSES ENJEKSİYON'!$A:$A=$C$1)*('PROSES ENJEKSİYON'!$F:$F=A12),0)),"")</f>
        <v/>
      </c>
      <c r="D12" t="str" cm="1">
        <f t="array" ref="D12">IFERROR(INDEX('PROSES ENJEKSİYON'!$L:$L,MATCH(1,('PROSES ENJEKSİYON'!$A:$A=$D$1)*('PROSES ENJEKSİYON'!$F:$F=A12),0)),"")</f>
        <v/>
      </c>
      <c r="E12" t="str" cm="1">
        <f t="array" ref="E12">IFERROR(INDEX('PROSES ENJEKSİYON'!$L:$L,MATCH(1,('PROSES ENJEKSİYON'!$A:$A=$E$1)*('PROSES ENJEKSİYON'!$F:$F=A12),0)),"")</f>
        <v/>
      </c>
      <c r="F12" t="str" cm="1">
        <f t="array" ref="F12">IFERROR(INDEX('PROSES ENJEKSİYON'!$L:$L,MATCH(1,('PROSES ENJEKSİYON'!$A:$A=$F$1)*('PROSES ENJEKSİYON'!$F:$F=A12),0)),"")</f>
        <v/>
      </c>
      <c r="G12" t="str" cm="1">
        <f t="array" ref="G12">IFERROR(INDEX('PROSES ENJEKSİYON'!$L:$L,MATCH(1,('PROSES ENJEKSİYON'!$A:$A=$G$1)*('PROSES ENJEKSİYON'!$F:$F=A12),0)),"")</f>
        <v/>
      </c>
      <c r="H12" t="str" cm="1">
        <f t="array" ref="H12">IFERROR(INDEX('PROSES ENJEKSİYON'!$L:$L,MATCH(1,('PROSES ENJEKSİYON'!$A:$A=$H$1)*('PROSES ENJEKSİYON'!$F:$F=A12),0)),"")</f>
        <v/>
      </c>
      <c r="I12" t="str" cm="1">
        <f t="array" ref="I12">IFERROR(INDEX('PROSES ENJEKSİYON'!$L:$L,MATCH(1,('PROSES ENJEKSİYON'!$A:$A=$I$1)*('PROSES ENJEKSİYON'!$F:$F=A12),0)),"")</f>
        <v/>
      </c>
      <c r="J12" t="str" cm="1">
        <f t="array" ref="J12">IFERROR(INDEX('PROSES ENJEKSİYON'!$L:$L,MATCH(1,('PROSES ENJEKSİYON'!$A:$A=$J$1)*('PROSES ENJEKSİYON'!$F:$F=A12),0)),"")</f>
        <v/>
      </c>
      <c r="K12" t="str" cm="1">
        <f t="array" ref="K12">IFERROR(INDEX('PROSES ENJEKSİYON'!$L:$L,MATCH(1,('PROSES ENJEKSİYON'!$A:$A=$K$1)*('PROSES ENJEKSİYON'!$F:$F=A12),0)),"")</f>
        <v/>
      </c>
      <c r="L12" t="str" cm="1">
        <f t="array" ref="L12">IFERROR(INDEX('PROSES ENJEKSİYON'!$L:$L,MATCH(1,('PROSES ENJEKSİYON'!$A:$A=$L$1)*('PROSES ENJEKSİYON'!$F:$F=A12),0)),"")</f>
        <v/>
      </c>
    </row>
    <row r="13" spans="1:12" x14ac:dyDescent="0.3">
      <c r="A13" s="3">
        <v>402</v>
      </c>
      <c r="B13" t="str" cm="1">
        <f t="array" ref="B13">IFERROR(INDEX('PROSES ENJEKSİYON'!$L:$L, MATCH(1,('PROSES ENJEKSİYON'!$A:$A=$B$1)*('PROSES ENJEKSİYON'!$F:$F=A13),0)), "")</f>
        <v/>
      </c>
      <c r="C13" t="str" cm="1">
        <f t="array" ref="C13">IFERROR(INDEX('PROSES ENJEKSİYON'!$L:$L,MATCH(1,('PROSES ENJEKSİYON'!$A:$A=$C$1)*('PROSES ENJEKSİYON'!$F:$F=A13),0)),"")</f>
        <v/>
      </c>
      <c r="D13" t="str" cm="1">
        <f t="array" ref="D13">IFERROR(INDEX('PROSES ENJEKSİYON'!$L:$L,MATCH(1,('PROSES ENJEKSİYON'!$A:$A=$D$1)*('PROSES ENJEKSİYON'!$F:$F=A13),0)),"")</f>
        <v/>
      </c>
      <c r="E13" t="str" cm="1">
        <f t="array" ref="E13">IFERROR(INDEX('PROSES ENJEKSİYON'!$L:$L,MATCH(1,('PROSES ENJEKSİYON'!$A:$A=$E$1)*('PROSES ENJEKSİYON'!$F:$F=A13),0)),"")</f>
        <v/>
      </c>
      <c r="F13" t="str" cm="1">
        <f t="array" ref="F13">IFERROR(INDEX('PROSES ENJEKSİYON'!$L:$L,MATCH(1,('PROSES ENJEKSİYON'!$A:$A=$F$1)*('PROSES ENJEKSİYON'!$F:$F=A13),0)),"")</f>
        <v/>
      </c>
      <c r="G13" t="str" cm="1">
        <f t="array" ref="G13">IFERROR(INDEX('PROSES ENJEKSİYON'!$L:$L,MATCH(1,('PROSES ENJEKSİYON'!$A:$A=$G$1)*('PROSES ENJEKSİYON'!$F:$F=A13),0)),"")</f>
        <v/>
      </c>
      <c r="H13" t="str" cm="1">
        <f t="array" ref="H13">IFERROR(INDEX('PROSES ENJEKSİYON'!$L:$L,MATCH(1,('PROSES ENJEKSİYON'!$A:$A=$H$1)*('PROSES ENJEKSİYON'!$F:$F=A13),0)),"")</f>
        <v/>
      </c>
      <c r="I13" t="str" cm="1">
        <f t="array" ref="I13">IFERROR(INDEX('PROSES ENJEKSİYON'!$L:$L,MATCH(1,('PROSES ENJEKSİYON'!$A:$A=$I$1)*('PROSES ENJEKSİYON'!$F:$F=A13),0)),"")</f>
        <v/>
      </c>
      <c r="J13" t="str" cm="1">
        <f t="array" ref="J13">IFERROR(INDEX('PROSES ENJEKSİYON'!$L:$L,MATCH(1,('PROSES ENJEKSİYON'!$A:$A=$J$1)*('PROSES ENJEKSİYON'!$F:$F=A13),0)),"")</f>
        <v/>
      </c>
      <c r="K13" t="str" cm="1">
        <f t="array" ref="K13">IFERROR(INDEX('PROSES ENJEKSİYON'!$L:$L,MATCH(1,('PROSES ENJEKSİYON'!$A:$A=$K$1)*('PROSES ENJEKSİYON'!$F:$F=A13),0)),"")</f>
        <v/>
      </c>
      <c r="L13" t="str" cm="1">
        <f t="array" ref="L13">IFERROR(INDEX('PROSES ENJEKSİYON'!$L:$L,MATCH(1,('PROSES ENJEKSİYON'!$A:$A=$L$1)*('PROSES ENJEKSİYON'!$F:$F=A13),0)),"")</f>
        <v/>
      </c>
    </row>
    <row r="14" spans="1:12" x14ac:dyDescent="0.3">
      <c r="A14" s="3">
        <v>403</v>
      </c>
      <c r="B14" t="str" cm="1">
        <f t="array" ref="B14">IFERROR(INDEX('PROSES ENJEKSİYON'!$L:$L, MATCH(1,('PROSES ENJEKSİYON'!$A:$A=$B$1)*('PROSES ENJEKSİYON'!$F:$F=A14),0)), "")</f>
        <v/>
      </c>
      <c r="C14" t="str" cm="1">
        <f t="array" ref="C14">IFERROR(INDEX('PROSES ENJEKSİYON'!$L:$L,MATCH(1,('PROSES ENJEKSİYON'!$A:$A=$C$1)*('PROSES ENJEKSİYON'!$F:$F=A14),0)),"")</f>
        <v/>
      </c>
      <c r="D14" t="str" cm="1">
        <f t="array" ref="D14">IFERROR(INDEX('PROSES ENJEKSİYON'!$L:$L,MATCH(1,('PROSES ENJEKSİYON'!$A:$A=$D$1)*('PROSES ENJEKSİYON'!$F:$F=A14),0)),"")</f>
        <v/>
      </c>
      <c r="E14" t="str" cm="1">
        <f t="array" ref="E14">IFERROR(INDEX('PROSES ENJEKSİYON'!$L:$L,MATCH(1,('PROSES ENJEKSİYON'!$A:$A=$E$1)*('PROSES ENJEKSİYON'!$F:$F=A14),0)),"")</f>
        <v/>
      </c>
      <c r="F14" t="str" cm="1">
        <f t="array" ref="F14">IFERROR(INDEX('PROSES ENJEKSİYON'!$L:$L,MATCH(1,('PROSES ENJEKSİYON'!$A:$A=$F$1)*('PROSES ENJEKSİYON'!$F:$F=A14),0)),"")</f>
        <v/>
      </c>
      <c r="G14" t="e" cm="1">
        <f t="array" ref="G14">INDEX('PROSES ENJEKSİYON'!$L:$L,MATCH(1,('PROSES ENJEKSİYON'!$A:$A=$G$1)*('PROSES ENJEKSİYON'!$F:$F=A14),0))</f>
        <v>#N/A</v>
      </c>
      <c r="H14" t="str" cm="1">
        <f t="array" ref="H14">IFERROR(INDEX('PROSES ENJEKSİYON'!$L:$L,MATCH(1,('PROSES ENJEKSİYON'!$A:$A=$H$1)*('PROSES ENJEKSİYON'!$F:$F=A14),0)),"")</f>
        <v/>
      </c>
      <c r="I14" t="str" cm="1">
        <f t="array" ref="I14">IFERROR(INDEX('PROSES ENJEKSİYON'!$L:$L,MATCH(1,('PROSES ENJEKSİYON'!$A:$A=$I$1)*('PROSES ENJEKSİYON'!$F:$F=A14),0)),"")</f>
        <v/>
      </c>
      <c r="J14" t="str" cm="1">
        <f t="array" ref="J14">IFERROR(INDEX('PROSES ENJEKSİYON'!$L:$L,MATCH(1,('PROSES ENJEKSİYON'!$A:$A=$J$1)*('PROSES ENJEKSİYON'!$F:$F=A14),0)),"")</f>
        <v/>
      </c>
      <c r="K14" t="str" cm="1">
        <f t="array" ref="K14">IFERROR(INDEX('PROSES ENJEKSİYON'!$L:$L,MATCH(1,('PROSES ENJEKSİYON'!$A:$A=$K$1)*('PROSES ENJEKSİYON'!$F:$F=A14),0)),"")</f>
        <v/>
      </c>
      <c r="L14" t="str" cm="1">
        <f t="array" ref="L14">IFERROR(INDEX('PROSES ENJEKSİYON'!$L:$L,MATCH(1,('PROSES ENJEKSİYON'!$A:$A=$L$1)*('PROSES ENJEKSİYON'!$F:$F=A14),0)),"")</f>
        <v/>
      </c>
    </row>
    <row r="15" spans="1:12" x14ac:dyDescent="0.3">
      <c r="A15" s="3">
        <v>404</v>
      </c>
      <c r="B15" t="str" cm="1">
        <f t="array" ref="B15">IFERROR(INDEX('PROSES ENJEKSİYON'!$L:$L, MATCH(1,('PROSES ENJEKSİYON'!$A:$A=$B$1)*('PROSES ENJEKSİYON'!$F:$F=A15),0)), "")</f>
        <v/>
      </c>
      <c r="C15" t="str" cm="1">
        <f t="array" ref="C15">IFERROR(INDEX('PROSES ENJEKSİYON'!$L:$L,MATCH(1,('PROSES ENJEKSİYON'!$A:$A=$C$1)*('PROSES ENJEKSİYON'!$F:$F=A15),0)),"")</f>
        <v/>
      </c>
      <c r="D15" t="str" cm="1">
        <f t="array" ref="D15">IFERROR(INDEX('PROSES ENJEKSİYON'!$L:$L,MATCH(1,('PROSES ENJEKSİYON'!$A:$A=$D$1)*('PROSES ENJEKSİYON'!$F:$F=A15),0)),"")</f>
        <v/>
      </c>
      <c r="E15" t="str" cm="1">
        <f t="array" ref="E15">IFERROR(INDEX('PROSES ENJEKSİYON'!$L:$L,MATCH(1,('PROSES ENJEKSİYON'!$A:$A=$E$1)*('PROSES ENJEKSİYON'!$F:$F=A15),0)),"")</f>
        <v/>
      </c>
      <c r="F15" t="str" cm="1">
        <f t="array" ref="F15">IFERROR(INDEX('PROSES ENJEKSİYON'!$L:$L,MATCH(1,('PROSES ENJEKSİYON'!$A:$A=$F$1)*('PROSES ENJEKSİYON'!$F:$F=A15),0)),"")</f>
        <v/>
      </c>
      <c r="G15" t="str" cm="1">
        <f t="array" ref="G15">IFERROR(INDEX('PROSES ENJEKSİYON'!$L:$L,MATCH(1,('PROSES ENJEKSİYON'!$A:$A=$G$1)*('PROSES ENJEKSİYON'!$F:$F=A15),0)),"")</f>
        <v/>
      </c>
      <c r="H15" t="str" cm="1">
        <f t="array" ref="H15">IFERROR(INDEX('PROSES ENJEKSİYON'!$L:$L,MATCH(1,('PROSES ENJEKSİYON'!$A:$A=$H$1)*('PROSES ENJEKSİYON'!$F:$F=A15),0)),"")</f>
        <v/>
      </c>
      <c r="I15" t="str" cm="1">
        <f t="array" ref="I15">IFERROR(INDEX('PROSES ENJEKSİYON'!$L:$L,MATCH(1,('PROSES ENJEKSİYON'!$A:$A=$I$1)*('PROSES ENJEKSİYON'!$F:$F=A15),0)),"")</f>
        <v/>
      </c>
      <c r="J15" t="str" cm="1">
        <f t="array" ref="J15">IFERROR(INDEX('PROSES ENJEKSİYON'!$L:$L,MATCH(1,('PROSES ENJEKSİYON'!$A:$A=$J$1)*('PROSES ENJEKSİYON'!$F:$F=A15),0)),"")</f>
        <v/>
      </c>
      <c r="K15" t="str" cm="1">
        <f t="array" ref="K15">IFERROR(INDEX('PROSES ENJEKSİYON'!$L:$L,MATCH(1,('PROSES ENJEKSİYON'!$A:$A=$K$1)*('PROSES ENJEKSİYON'!$F:$F=A15),0)),"")</f>
        <v/>
      </c>
      <c r="L15" t="str" cm="1">
        <f t="array" ref="L15">IFERROR(INDEX('PROSES ENJEKSİYON'!$L:$L,MATCH(1,('PROSES ENJEKSİYON'!$A:$A=$L$1)*('PROSES ENJEKSİYON'!$F:$F=A15),0)),"")</f>
        <v/>
      </c>
    </row>
    <row r="16" spans="1:12" x14ac:dyDescent="0.3">
      <c r="A16" s="3">
        <v>405</v>
      </c>
      <c r="B16" t="str" cm="1">
        <f t="array" ref="B16">IFERROR(INDEX('PROSES ENJEKSİYON'!$L:$L, MATCH(1,('PROSES ENJEKSİYON'!$A:$A=$B$1)*('PROSES ENJEKSİYON'!$F:$F=A16),0)), "")</f>
        <v/>
      </c>
      <c r="C16" t="str" cm="1">
        <f t="array" ref="C16">IFERROR(INDEX('PROSES ENJEKSİYON'!$L:$L,MATCH(1,('PROSES ENJEKSİYON'!$A:$A=$C$1)*('PROSES ENJEKSİYON'!$F:$F=A16),0)),"")</f>
        <v/>
      </c>
      <c r="D16" t="str" cm="1">
        <f t="array" ref="D16">IFERROR(INDEX('PROSES ENJEKSİYON'!$L:$L,MATCH(1,('PROSES ENJEKSİYON'!$A:$A=$D$1)*('PROSES ENJEKSİYON'!$F:$F=A16),0)),"")</f>
        <v/>
      </c>
      <c r="E16" t="str" cm="1">
        <f t="array" ref="E16">IFERROR(INDEX('PROSES ENJEKSİYON'!$L:$L,MATCH(1,('PROSES ENJEKSİYON'!$A:$A=$E$1)*('PROSES ENJEKSİYON'!$F:$F=A16),0)),"")</f>
        <v/>
      </c>
      <c r="F16" t="str" cm="1">
        <f t="array" ref="F16">IFERROR(INDEX('PROSES ENJEKSİYON'!$L:$L,MATCH(1,('PROSES ENJEKSİYON'!$A:$A=$F$1)*('PROSES ENJEKSİYON'!$F:$F=A16),0)),"")</f>
        <v/>
      </c>
      <c r="G16" t="str" cm="1">
        <f t="array" ref="G16">IFERROR(INDEX('PROSES ENJEKSİYON'!$L:$L,MATCH(1,('PROSES ENJEKSİYON'!$A:$A=$G$1)*('PROSES ENJEKSİYON'!$F:$F=A16),0)),"")</f>
        <v/>
      </c>
      <c r="H16" t="str" cm="1">
        <f t="array" ref="H16">IFERROR(INDEX('PROSES ENJEKSİYON'!$L:$L,MATCH(1,('PROSES ENJEKSİYON'!$A:$A=$H$1)*('PROSES ENJEKSİYON'!$F:$F=A16),0)),"")</f>
        <v/>
      </c>
      <c r="I16" t="str" cm="1">
        <f t="array" ref="I16">IFERROR(INDEX('PROSES ENJEKSİYON'!$L:$L,MATCH(1,('PROSES ENJEKSİYON'!$A:$A=$I$1)*('PROSES ENJEKSİYON'!$F:$F=A16),0)),"")</f>
        <v/>
      </c>
      <c r="J16" t="str" cm="1">
        <f t="array" ref="J16">IFERROR(INDEX('PROSES ENJEKSİYON'!$L:$L,MATCH(1,('PROSES ENJEKSİYON'!$A:$A=$J$1)*('PROSES ENJEKSİYON'!$F:$F=A16),0)),"")</f>
        <v/>
      </c>
      <c r="K16" t="str" cm="1">
        <f t="array" ref="K16">IFERROR(INDEX('PROSES ENJEKSİYON'!$L:$L,MATCH(1,('PROSES ENJEKSİYON'!$A:$A=$K$1)*('PROSES ENJEKSİYON'!$F:$F=A16),0)),"")</f>
        <v/>
      </c>
      <c r="L16" t="str" cm="1">
        <f t="array" ref="L16">IFERROR(INDEX('PROSES ENJEKSİYON'!$L:$L,MATCH(1,('PROSES ENJEKSİYON'!$A:$A=$L$1)*('PROSES ENJEKSİYON'!$F:$F=A16),0)),"")</f>
        <v/>
      </c>
    </row>
    <row r="17" spans="1:12" hidden="1" x14ac:dyDescent="0.3">
      <c r="A17" s="3">
        <v>171</v>
      </c>
      <c r="B17" t="str" cm="1">
        <f t="array" ref="B17">IFERROR(INDEX('PROSES ENJEKSİYON'!$L:$L, MATCH(1,('PROSES ENJEKSİYON'!$A:$A=$B$1)*('PROSES ENJEKSİYON'!$F:$F=A17),0)), "")</f>
        <v/>
      </c>
      <c r="C17" t="str" cm="1">
        <f t="array" ref="C17">IFERROR(INDEX('PROSES ENJEKSİYON'!$L:$L,MATCH(1,('PROSES ENJEKSİYON'!$A:$A=$C$1)*('PROSES ENJEKSİYON'!$F:$F=A17),0)),"")</f>
        <v/>
      </c>
      <c r="D17" t="str" cm="1">
        <f t="array" ref="D17">IFERROR(INDEX('PROSES ENJEKSİYON'!$L:$L,MATCH(1,('PROSES ENJEKSİYON'!$A:$A=$D$1)*('PROSES ENJEKSİYON'!$F:$F=A17),0)),"")</f>
        <v/>
      </c>
      <c r="E17" t="str" cm="1">
        <f t="array" ref="E17">IFERROR(INDEX('PROSES ENJEKSİYON'!$L:$L,MATCH(1,('PROSES ENJEKSİYON'!$A:$A=$E$1)*('PROSES ENJEKSİYON'!$F:$F=A17),0)),"")</f>
        <v/>
      </c>
      <c r="F17" t="str" cm="1">
        <f t="array" ref="F17">IFERROR(INDEX('PROSES ENJEKSİYON'!$L:$L,MATCH(1,('PROSES ENJEKSİYON'!$A:$A=$F$1)*('PROSES ENJEKSİYON'!$F:$F=A17),0)),"")</f>
        <v/>
      </c>
      <c r="G17" t="str" cm="1">
        <f t="array" ref="G17">IFERROR(INDEX('PROSES ENJEKSİYON'!$L:$L,MATCH(1,('PROSES ENJEKSİYON'!$A:$A=$G$1)*('PROSES ENJEKSİYON'!$F:$F=A17),0)),"")</f>
        <v/>
      </c>
      <c r="H17" t="str" cm="1">
        <f t="array" ref="H17">IFERROR(INDEX('PROSES ENJEKSİYON'!$L:$L,MATCH(1,('PROSES ENJEKSİYON'!$A:$A=$H$1)*('PROSES ENJEKSİYON'!$F:$F=A17),0)),"")</f>
        <v/>
      </c>
      <c r="I17" t="str" cm="1">
        <f t="array" ref="I17">IFERROR(INDEX('PROSES ENJEKSİYON'!$L:$L,MATCH(1,('PROSES ENJEKSİYON'!$A:$A=$I$1)*('PROSES ENJEKSİYON'!$F:$F=A17),0)),"")</f>
        <v/>
      </c>
      <c r="J17" t="str" cm="1">
        <f t="array" ref="J17">IFERROR(INDEX('PROSES ENJEKSİYON'!$L:$L,MATCH(1,('PROSES ENJEKSİYON'!$A:$A=$J$1)*('PROSES ENJEKSİYON'!$F:$F=A17),0)),"")</f>
        <v/>
      </c>
      <c r="K17" t="str" cm="1">
        <f t="array" ref="K17">IFERROR(INDEX('PROSES ENJEKSİYON'!$L:$L,MATCH(1,('PROSES ENJEKSİYON'!$A:$A=$K$1)*('PROSES ENJEKSİYON'!$F:$F=A17),0)),"")</f>
        <v/>
      </c>
      <c r="L17" t="str" cm="1">
        <f t="array" ref="L17">IFERROR(INDEX('PROSES ENJEKSİYON'!$L:$L,MATCH(1,('PROSES ENJEKSİYON'!$A:$A=$L$1)*('PROSES ENJEKSİYON'!$F:$F=A17),0)),"")</f>
        <v/>
      </c>
    </row>
    <row r="18" spans="1:12" hidden="1" x14ac:dyDescent="0.3">
      <c r="A18" s="3">
        <v>172</v>
      </c>
      <c r="B18" t="str" cm="1">
        <f t="array" ref="B18">IFERROR(INDEX('PROSES ENJEKSİYON'!$L:$L, MATCH(1,('PROSES ENJEKSİYON'!$A:$A=$B$1)*('PROSES ENJEKSİYON'!$F:$F=A18),0)), "")</f>
        <v/>
      </c>
      <c r="C18" t="str" cm="1">
        <f t="array" ref="C18">IFERROR(INDEX('PROSES ENJEKSİYON'!$L:$L,MATCH(1,('PROSES ENJEKSİYON'!$A:$A=$C$1)*('PROSES ENJEKSİYON'!$F:$F=A18),0)),"")</f>
        <v/>
      </c>
      <c r="D18" t="str" cm="1">
        <f t="array" ref="D18">IFERROR(INDEX('PROSES ENJEKSİYON'!$L:$L,MATCH(1,('PROSES ENJEKSİYON'!$A:$A=$D$1)*('PROSES ENJEKSİYON'!$F:$F=A18),0)),"")</f>
        <v/>
      </c>
      <c r="E18" t="str" cm="1">
        <f t="array" ref="E18">IFERROR(INDEX('PROSES ENJEKSİYON'!$L:$L,MATCH(1,('PROSES ENJEKSİYON'!$A:$A=$E$1)*('PROSES ENJEKSİYON'!$F:$F=A18),0)),"")</f>
        <v/>
      </c>
      <c r="F18" t="str" cm="1">
        <f t="array" ref="F18">IFERROR(INDEX('PROSES ENJEKSİYON'!$L:$L,MATCH(1,('PROSES ENJEKSİYON'!$A:$A=$F$1)*('PROSES ENJEKSİYON'!$F:$F=A18),0)),"")</f>
        <v/>
      </c>
      <c r="G18" t="str" cm="1">
        <f t="array" ref="G18">IFERROR(INDEX('PROSES ENJEKSİYON'!$L:$L,MATCH(1,('PROSES ENJEKSİYON'!$A:$A=$G$1)*('PROSES ENJEKSİYON'!$F:$F=A18),0)),"")</f>
        <v/>
      </c>
      <c r="H18" t="str" cm="1">
        <f t="array" ref="H18">IFERROR(INDEX('PROSES ENJEKSİYON'!$L:$L,MATCH(1,('PROSES ENJEKSİYON'!$A:$A=$H$1)*('PROSES ENJEKSİYON'!$F:$F=A18),0)),"")</f>
        <v/>
      </c>
      <c r="I18" t="str" cm="1">
        <f t="array" ref="I18">IFERROR(INDEX('PROSES ENJEKSİYON'!$L:$L,MATCH(1,('PROSES ENJEKSİYON'!$A:$A=$I$1)*('PROSES ENJEKSİYON'!$F:$F=A18),0)),"")</f>
        <v/>
      </c>
      <c r="J18" t="str" cm="1">
        <f t="array" ref="J18">IFERROR(INDEX('PROSES ENJEKSİYON'!$L:$L,MATCH(1,('PROSES ENJEKSİYON'!$A:$A=$J$1)*('PROSES ENJEKSİYON'!$F:$F=A18),0)),"")</f>
        <v/>
      </c>
      <c r="K18" t="str" cm="1">
        <f t="array" ref="K18">IFERROR(INDEX('PROSES ENJEKSİYON'!$L:$L,MATCH(1,('PROSES ENJEKSİYON'!$A:$A=$K$1)*('PROSES ENJEKSİYON'!$F:$F=A18),0)),"")</f>
        <v/>
      </c>
      <c r="L18" t="str" cm="1">
        <f t="array" ref="L18">IFERROR(INDEX('PROSES ENJEKSİYON'!$L:$L,MATCH(1,('PROSES ENJEKSİYON'!$A:$A=$L$1)*('PROSES ENJEKSİYON'!$F:$F=A18),0)),"")</f>
        <v/>
      </c>
    </row>
    <row r="19" spans="1:12" hidden="1" x14ac:dyDescent="0.3">
      <c r="A19" s="3">
        <v>173</v>
      </c>
      <c r="B19" t="str" cm="1">
        <f t="array" ref="B19">IFERROR(INDEX('PROSES ENJEKSİYON'!$L:$L, MATCH(1,('PROSES ENJEKSİYON'!$A:$A=$B$1)*('PROSES ENJEKSİYON'!$F:$F=A19),0)), "")</f>
        <v/>
      </c>
      <c r="C19" t="str" cm="1">
        <f t="array" ref="C19">IFERROR(INDEX('PROSES ENJEKSİYON'!$L:$L,MATCH(1,('PROSES ENJEKSİYON'!$A:$A=$C$1)*('PROSES ENJEKSİYON'!$F:$F=A19),0)),"")</f>
        <v/>
      </c>
      <c r="D19" t="str" cm="1">
        <f t="array" ref="D19">IFERROR(INDEX('PROSES ENJEKSİYON'!$L:$L,MATCH(1,('PROSES ENJEKSİYON'!$A:$A=$D$1)*('PROSES ENJEKSİYON'!$F:$F=A19),0)),"")</f>
        <v/>
      </c>
      <c r="E19" t="str" cm="1">
        <f t="array" ref="E19">IFERROR(INDEX('PROSES ENJEKSİYON'!$L:$L,MATCH(1,('PROSES ENJEKSİYON'!$A:$A=$E$1)*('PROSES ENJEKSİYON'!$F:$F=A19),0)),"")</f>
        <v/>
      </c>
      <c r="F19" t="str" cm="1">
        <f t="array" ref="F19">IFERROR(INDEX('PROSES ENJEKSİYON'!$L:$L,MATCH(1,('PROSES ENJEKSİYON'!$A:$A=$F$1)*('PROSES ENJEKSİYON'!$F:$F=A19),0)),"")</f>
        <v/>
      </c>
      <c r="G19" t="str" cm="1">
        <f t="array" ref="G19">IFERROR(INDEX('PROSES ENJEKSİYON'!$L:$L,MATCH(1,('PROSES ENJEKSİYON'!$A:$A=$G$1)*('PROSES ENJEKSİYON'!$F:$F=A19),0)),"")</f>
        <v/>
      </c>
      <c r="H19" t="str" cm="1">
        <f t="array" ref="H19">IFERROR(INDEX('PROSES ENJEKSİYON'!$L:$L,MATCH(1,('PROSES ENJEKSİYON'!$A:$A=$H$1)*('PROSES ENJEKSİYON'!$F:$F=A19),0)),"")</f>
        <v/>
      </c>
      <c r="I19" t="str" cm="1">
        <f t="array" ref="I19">IFERROR(INDEX('PROSES ENJEKSİYON'!$L:$L,MATCH(1,('PROSES ENJEKSİYON'!$A:$A=$I$1)*('PROSES ENJEKSİYON'!$F:$F=A19),0)),"")</f>
        <v/>
      </c>
      <c r="J19" t="str" cm="1">
        <f t="array" ref="J19">IFERROR(INDEX('PROSES ENJEKSİYON'!$L:$L,MATCH(1,('PROSES ENJEKSİYON'!$A:$A=$J$1)*('PROSES ENJEKSİYON'!$F:$F=A19),0)),"")</f>
        <v/>
      </c>
      <c r="K19" t="str" cm="1">
        <f t="array" ref="K19">IFERROR(INDEX('PROSES ENJEKSİYON'!$L:$L,MATCH(1,('PROSES ENJEKSİYON'!$A:$A=$K$1)*('PROSES ENJEKSİYON'!$F:$F=A19),0)),"")</f>
        <v/>
      </c>
      <c r="L19" t="str" cm="1">
        <f t="array" ref="L19">IFERROR(INDEX('PROSES ENJEKSİYON'!$L:$L,MATCH(1,('PROSES ENJEKSİYON'!$A:$A=$L$1)*('PROSES ENJEKSİYON'!$F:$F=A19),0)),"")</f>
        <v/>
      </c>
    </row>
    <row r="20" spans="1:12" hidden="1" x14ac:dyDescent="0.3">
      <c r="A20" s="3">
        <v>174</v>
      </c>
      <c r="B20" t="str" cm="1">
        <f t="array" ref="B20">IFERROR(INDEX('PROSES ENJEKSİYON'!$L:$L, MATCH(1,('PROSES ENJEKSİYON'!$A:$A=$B$1)*('PROSES ENJEKSİYON'!$F:$F=A20),0)), "")</f>
        <v/>
      </c>
      <c r="C20" t="str" cm="1">
        <f t="array" ref="C20">IFERROR(INDEX('PROSES ENJEKSİYON'!$L:$L,MATCH(1,('PROSES ENJEKSİYON'!$A:$A=$C$1)*('PROSES ENJEKSİYON'!$F:$F=A20),0)),"")</f>
        <v/>
      </c>
      <c r="D20" t="str" cm="1">
        <f t="array" ref="D20">IFERROR(INDEX('PROSES ENJEKSİYON'!$L:$L,MATCH(1,('PROSES ENJEKSİYON'!$A:$A=$D$1)*('PROSES ENJEKSİYON'!$F:$F=A20),0)),"")</f>
        <v/>
      </c>
      <c r="E20" t="str" cm="1">
        <f t="array" ref="E20">IFERROR(INDEX('PROSES ENJEKSİYON'!$L:$L,MATCH(1,('PROSES ENJEKSİYON'!$A:$A=$E$1)*('PROSES ENJEKSİYON'!$F:$F=A20),0)),"")</f>
        <v/>
      </c>
      <c r="F20" t="str" cm="1">
        <f t="array" ref="F20">IFERROR(INDEX('PROSES ENJEKSİYON'!$L:$L,MATCH(1,('PROSES ENJEKSİYON'!$A:$A=$F$1)*('PROSES ENJEKSİYON'!$F:$F=A20),0)),"")</f>
        <v/>
      </c>
      <c r="G20" t="str" cm="1">
        <f t="array" ref="G20">IFERROR(INDEX('PROSES ENJEKSİYON'!$L:$L,MATCH(1,('PROSES ENJEKSİYON'!$A:$A=$G$1)*('PROSES ENJEKSİYON'!$F:$F=A20),0)),"")</f>
        <v/>
      </c>
      <c r="H20" t="str" cm="1">
        <f t="array" ref="H20">IFERROR(INDEX('PROSES ENJEKSİYON'!$L:$L,MATCH(1,('PROSES ENJEKSİYON'!$A:$A=$H$1)*('PROSES ENJEKSİYON'!$F:$F=A20),0)),"")</f>
        <v/>
      </c>
      <c r="I20" t="str" cm="1">
        <f t="array" ref="I20">IFERROR(INDEX('PROSES ENJEKSİYON'!$L:$L,MATCH(1,('PROSES ENJEKSİYON'!$A:$A=$I$1)*('PROSES ENJEKSİYON'!$F:$F=A20),0)),"")</f>
        <v/>
      </c>
      <c r="J20" t="str" cm="1">
        <f t="array" ref="J20">IFERROR(INDEX('PROSES ENJEKSİYON'!$L:$L,MATCH(1,('PROSES ENJEKSİYON'!$A:$A=$J$1)*('PROSES ENJEKSİYON'!$F:$F=A20),0)),"")</f>
        <v/>
      </c>
      <c r="K20" t="str" cm="1">
        <f t="array" ref="K20">IFERROR(INDEX('PROSES ENJEKSİYON'!$L:$L,MATCH(1,('PROSES ENJEKSİYON'!$A:$A=$K$1)*('PROSES ENJEKSİYON'!$F:$F=A20),0)),"")</f>
        <v/>
      </c>
      <c r="L20" t="str" cm="1">
        <f t="array" ref="L20">IFERROR(INDEX('PROSES ENJEKSİYON'!$L:$L,MATCH(1,('PROSES ENJEKSİYON'!$A:$A=$L$1)*('PROSES ENJEKSİYON'!$F:$F=A20),0)),"")</f>
        <v/>
      </c>
    </row>
    <row r="21" spans="1:12" hidden="1" x14ac:dyDescent="0.3">
      <c r="A21" s="3">
        <v>175</v>
      </c>
      <c r="B21" t="str" cm="1">
        <f t="array" ref="B21">IFERROR(INDEX('PROSES ENJEKSİYON'!$L:$L, MATCH(1,('PROSES ENJEKSİYON'!$A:$A=$B$1)*('PROSES ENJEKSİYON'!$F:$F=A21),0)), "")</f>
        <v/>
      </c>
      <c r="C21" t="str" cm="1">
        <f t="array" ref="C21">IFERROR(INDEX('PROSES ENJEKSİYON'!$L:$L,MATCH(1,('PROSES ENJEKSİYON'!$A:$A=$C$1)*('PROSES ENJEKSİYON'!$F:$F=A21),0)),"")</f>
        <v/>
      </c>
      <c r="D21" t="str" cm="1">
        <f t="array" ref="D21">IFERROR(INDEX('PROSES ENJEKSİYON'!$L:$L,MATCH(1,('PROSES ENJEKSİYON'!$A:$A=$D$1)*('PROSES ENJEKSİYON'!$F:$F=A21),0)),"")</f>
        <v/>
      </c>
      <c r="E21" t="str" cm="1">
        <f t="array" ref="E21">IFERROR(INDEX('PROSES ENJEKSİYON'!$L:$L,MATCH(1,('PROSES ENJEKSİYON'!$A:$A=$E$1)*('PROSES ENJEKSİYON'!$F:$F=A21),0)),"")</f>
        <v/>
      </c>
      <c r="F21" t="str" cm="1">
        <f t="array" ref="F21">IFERROR(INDEX('PROSES ENJEKSİYON'!$L:$L,MATCH(1,('PROSES ENJEKSİYON'!$A:$A=$F$1)*('PROSES ENJEKSİYON'!$F:$F=A21),0)),"")</f>
        <v/>
      </c>
      <c r="G21" t="str" cm="1">
        <f t="array" ref="G21">IFERROR(INDEX('PROSES ENJEKSİYON'!$L:$L,MATCH(1,('PROSES ENJEKSİYON'!$A:$A=$G$1)*('PROSES ENJEKSİYON'!$F:$F=A21),0)),"")</f>
        <v/>
      </c>
      <c r="H21" t="str" cm="1">
        <f t="array" ref="H21">IFERROR(INDEX('PROSES ENJEKSİYON'!$L:$L,MATCH(1,('PROSES ENJEKSİYON'!$A:$A=$H$1)*('PROSES ENJEKSİYON'!$F:$F=A21),0)),"")</f>
        <v/>
      </c>
      <c r="I21" t="str" cm="1">
        <f t="array" ref="I21">IFERROR(INDEX('PROSES ENJEKSİYON'!$L:$L,MATCH(1,('PROSES ENJEKSİYON'!$A:$A=$I$1)*('PROSES ENJEKSİYON'!$F:$F=A21),0)),"")</f>
        <v/>
      </c>
      <c r="J21" t="str" cm="1">
        <f t="array" ref="J21">IFERROR(INDEX('PROSES ENJEKSİYON'!$L:$L,MATCH(1,('PROSES ENJEKSİYON'!$A:$A=$J$1)*('PROSES ENJEKSİYON'!$F:$F=A21),0)),"")</f>
        <v/>
      </c>
      <c r="K21" t="str" cm="1">
        <f t="array" ref="K21">IFERROR(INDEX('PROSES ENJEKSİYON'!$L:$L,MATCH(1,('PROSES ENJEKSİYON'!$A:$A=$K$1)*('PROSES ENJEKSİYON'!$F:$F=A21),0)),"")</f>
        <v/>
      </c>
      <c r="L21" t="str" cm="1">
        <f t="array" ref="L21">IFERROR(INDEX('PROSES ENJEKSİYON'!$L:$L,MATCH(1,('PROSES ENJEKSİYON'!$A:$A=$L$1)*('PROSES ENJEKSİYON'!$F:$F=A21),0)),"")</f>
        <v/>
      </c>
    </row>
    <row r="22" spans="1:12" hidden="1" x14ac:dyDescent="0.3">
      <c r="A22" s="3">
        <v>176</v>
      </c>
      <c r="B22" t="str" cm="1">
        <f t="array" ref="B22">IFERROR(INDEX('PROSES ENJEKSİYON'!$L:$L, MATCH(1,('PROSES ENJEKSİYON'!$A:$A=$B$1)*('PROSES ENJEKSİYON'!$F:$F=A22),0)), "")</f>
        <v/>
      </c>
      <c r="C22" t="str" cm="1">
        <f t="array" ref="C22">IFERROR(INDEX('PROSES ENJEKSİYON'!$L:$L,MATCH(1,('PROSES ENJEKSİYON'!$A:$A=$C$1)*('PROSES ENJEKSİYON'!$F:$F=A22),0)),"")</f>
        <v/>
      </c>
      <c r="D22" t="str" cm="1">
        <f t="array" ref="D22">IFERROR(INDEX('PROSES ENJEKSİYON'!$L:$L,MATCH(1,('PROSES ENJEKSİYON'!$A:$A=$D$1)*('PROSES ENJEKSİYON'!$F:$F=A22),0)),"")</f>
        <v/>
      </c>
      <c r="E22" t="str" cm="1">
        <f t="array" ref="E22">IFERROR(INDEX('PROSES ENJEKSİYON'!$L:$L,MATCH(1,('PROSES ENJEKSİYON'!$A:$A=$E$1)*('PROSES ENJEKSİYON'!$F:$F=A22),0)),"")</f>
        <v/>
      </c>
      <c r="F22" t="str" cm="1">
        <f t="array" ref="F22">IFERROR(INDEX('PROSES ENJEKSİYON'!$L:$L,MATCH(1,('PROSES ENJEKSİYON'!$A:$A=$F$1)*('PROSES ENJEKSİYON'!$F:$F=A22),0)),"")</f>
        <v/>
      </c>
      <c r="G22" t="str" cm="1">
        <f t="array" ref="G22">IFERROR(INDEX('PROSES ENJEKSİYON'!$L:$L,MATCH(1,('PROSES ENJEKSİYON'!$A:$A=$G$1)*('PROSES ENJEKSİYON'!$F:$F=A22),0)),"")</f>
        <v/>
      </c>
      <c r="H22" t="str" cm="1">
        <f t="array" ref="H22">IFERROR(INDEX('PROSES ENJEKSİYON'!$L:$L,MATCH(1,('PROSES ENJEKSİYON'!$A:$A=$H$1)*('PROSES ENJEKSİYON'!$F:$F=A22),0)),"")</f>
        <v/>
      </c>
      <c r="I22" t="str" cm="1">
        <f t="array" ref="I22">IFERROR(INDEX('PROSES ENJEKSİYON'!$L:$L,MATCH(1,('PROSES ENJEKSİYON'!$A:$A=$I$1)*('PROSES ENJEKSİYON'!$F:$F=A22),0)),"")</f>
        <v/>
      </c>
      <c r="J22" t="str" cm="1">
        <f t="array" ref="J22">IFERROR(INDEX('PROSES ENJEKSİYON'!$L:$L,MATCH(1,('PROSES ENJEKSİYON'!$A:$A=$J$1)*('PROSES ENJEKSİYON'!$F:$F=A22),0)),"")</f>
        <v/>
      </c>
      <c r="K22" t="str" cm="1">
        <f t="array" ref="K22">IFERROR(INDEX('PROSES ENJEKSİYON'!$L:$L,MATCH(1,('PROSES ENJEKSİYON'!$A:$A=$K$1)*('PROSES ENJEKSİYON'!$F:$F=A22),0)),"")</f>
        <v/>
      </c>
      <c r="L22" t="str" cm="1">
        <f t="array" ref="L22">IFERROR(INDEX('PROSES ENJEKSİYON'!$L:$L,MATCH(1,('PROSES ENJEKSİYON'!$A:$A=$L$1)*('PROSES ENJEKSİYON'!$F:$F=A22),0)),"")</f>
        <v/>
      </c>
    </row>
    <row r="23" spans="1:12" hidden="1" x14ac:dyDescent="0.3">
      <c r="A23" s="3">
        <v>177</v>
      </c>
      <c r="B23" t="str" cm="1">
        <f t="array" ref="B23">IFERROR(INDEX('PROSES ENJEKSİYON'!$L:$L, MATCH(1,('PROSES ENJEKSİYON'!$A:$A=$B$1)*('PROSES ENJEKSİYON'!$F:$F=A23),0)), "")</f>
        <v/>
      </c>
      <c r="C23" t="str" cm="1">
        <f t="array" ref="C23">IFERROR(INDEX('PROSES ENJEKSİYON'!$L:$L,MATCH(1,('PROSES ENJEKSİYON'!$A:$A=$C$1)*('PROSES ENJEKSİYON'!$F:$F=A23),0)),"")</f>
        <v/>
      </c>
      <c r="D23" t="str" cm="1">
        <f t="array" ref="D23">IFERROR(INDEX('PROSES ENJEKSİYON'!$L:$L,MATCH(1,('PROSES ENJEKSİYON'!$A:$A=$D$1)*('PROSES ENJEKSİYON'!$F:$F=A23),0)),"")</f>
        <v/>
      </c>
      <c r="E23" t="str" cm="1">
        <f t="array" ref="E23">IFERROR(INDEX('PROSES ENJEKSİYON'!$L:$L,MATCH(1,('PROSES ENJEKSİYON'!$A:$A=$E$1)*('PROSES ENJEKSİYON'!$F:$F=A23),0)),"")</f>
        <v/>
      </c>
      <c r="F23" t="str" cm="1">
        <f t="array" ref="F23">IFERROR(INDEX('PROSES ENJEKSİYON'!$L:$L,MATCH(1,('PROSES ENJEKSİYON'!$A:$A=$F$1)*('PROSES ENJEKSİYON'!$F:$F=A23),0)),"")</f>
        <v/>
      </c>
      <c r="G23" t="str" cm="1">
        <f t="array" ref="G23">IFERROR(INDEX('PROSES ENJEKSİYON'!$L:$L,MATCH(1,('PROSES ENJEKSİYON'!$A:$A=$G$1)*('PROSES ENJEKSİYON'!$F:$F=A23),0)),"")</f>
        <v/>
      </c>
      <c r="H23" t="str" cm="1">
        <f t="array" ref="H23">IFERROR(INDEX('PROSES ENJEKSİYON'!$L:$L,MATCH(1,('PROSES ENJEKSİYON'!$A:$A=$H$1)*('PROSES ENJEKSİYON'!$F:$F=A23),0)),"")</f>
        <v/>
      </c>
      <c r="I23" t="str" cm="1">
        <f t="array" ref="I23">IFERROR(INDEX('PROSES ENJEKSİYON'!$L:$L,MATCH(1,('PROSES ENJEKSİYON'!$A:$A=$I$1)*('PROSES ENJEKSİYON'!$F:$F=A23),0)),"")</f>
        <v/>
      </c>
      <c r="J23" t="str" cm="1">
        <f t="array" ref="J23">IFERROR(INDEX('PROSES ENJEKSİYON'!$L:$L,MATCH(1,('PROSES ENJEKSİYON'!$A:$A=$J$1)*('PROSES ENJEKSİYON'!$F:$F=A23),0)),"")</f>
        <v/>
      </c>
      <c r="K23" t="str" cm="1">
        <f t="array" ref="K23">IFERROR(INDEX('PROSES ENJEKSİYON'!$L:$L,MATCH(1,('PROSES ENJEKSİYON'!$A:$A=$K$1)*('PROSES ENJEKSİYON'!$F:$F=A23),0)),"")</f>
        <v/>
      </c>
      <c r="L23" t="str" cm="1">
        <f t="array" ref="L23">IFERROR(INDEX('PROSES ENJEKSİYON'!$L:$L,MATCH(1,('PROSES ENJEKSİYON'!$A:$A=$L$1)*('PROSES ENJEKSİYON'!$F:$F=A23),0)),"")</f>
        <v/>
      </c>
    </row>
    <row r="24" spans="1:12" hidden="1" x14ac:dyDescent="0.3">
      <c r="A24" s="3">
        <v>178</v>
      </c>
      <c r="B24" t="str" cm="1">
        <f t="array" ref="B24">IFERROR(INDEX('PROSES ENJEKSİYON'!$L:$L, MATCH(1,('PROSES ENJEKSİYON'!$A:$A=$B$1)*('PROSES ENJEKSİYON'!$F:$F=A24),0)), "")</f>
        <v/>
      </c>
      <c r="C24" t="str" cm="1">
        <f t="array" ref="C24">IFERROR(INDEX('PROSES ENJEKSİYON'!$L:$L,MATCH(1,('PROSES ENJEKSİYON'!$A:$A=$C$1)*('PROSES ENJEKSİYON'!$F:$F=A24),0)),"")</f>
        <v/>
      </c>
      <c r="D24" t="str" cm="1">
        <f t="array" ref="D24">IFERROR(INDEX('PROSES ENJEKSİYON'!$L:$L,MATCH(1,('PROSES ENJEKSİYON'!$A:$A=$D$1)*('PROSES ENJEKSİYON'!$F:$F=A24),0)),"")</f>
        <v/>
      </c>
      <c r="E24" t="str" cm="1">
        <f t="array" ref="E24">IFERROR(INDEX('PROSES ENJEKSİYON'!$L:$L,MATCH(1,('PROSES ENJEKSİYON'!$A:$A=$E$1)*('PROSES ENJEKSİYON'!$F:$F=A24),0)),"")</f>
        <v/>
      </c>
      <c r="F24" t="str" cm="1">
        <f t="array" ref="F24">IFERROR(INDEX('PROSES ENJEKSİYON'!$L:$L,MATCH(1,('PROSES ENJEKSİYON'!$A:$A=$F$1)*('PROSES ENJEKSİYON'!$F:$F=A24),0)),"")</f>
        <v/>
      </c>
      <c r="G24" t="str" cm="1">
        <f t="array" ref="G24">IFERROR(INDEX('PROSES ENJEKSİYON'!$L:$L,MATCH(1,('PROSES ENJEKSİYON'!$A:$A=$G$1)*('PROSES ENJEKSİYON'!$F:$F=A24),0)),"")</f>
        <v/>
      </c>
      <c r="H24" t="str" cm="1">
        <f t="array" ref="H24">IFERROR(INDEX('PROSES ENJEKSİYON'!$L:$L,MATCH(1,('PROSES ENJEKSİYON'!$A:$A=$H$1)*('PROSES ENJEKSİYON'!$F:$F=A24),0)),"")</f>
        <v/>
      </c>
      <c r="I24" t="str" cm="1">
        <f t="array" ref="I24">IFERROR(INDEX('PROSES ENJEKSİYON'!$L:$L,MATCH(1,('PROSES ENJEKSİYON'!$A:$A=$I$1)*('PROSES ENJEKSİYON'!$F:$F=A24),0)),"")</f>
        <v/>
      </c>
      <c r="J24" t="str" cm="1">
        <f t="array" ref="J24">IFERROR(INDEX('PROSES ENJEKSİYON'!$L:$L,MATCH(1,('PROSES ENJEKSİYON'!$A:$A=$J$1)*('PROSES ENJEKSİYON'!$F:$F=A24),0)),"")</f>
        <v/>
      </c>
      <c r="K24" t="str" cm="1">
        <f t="array" ref="K24">IFERROR(INDEX('PROSES ENJEKSİYON'!$L:$L,MATCH(1,('PROSES ENJEKSİYON'!$A:$A=$K$1)*('PROSES ENJEKSİYON'!$F:$F=A24),0)),"")</f>
        <v/>
      </c>
      <c r="L24" t="str" cm="1">
        <f t="array" ref="L24">IFERROR(INDEX('PROSES ENJEKSİYON'!$L:$L,MATCH(1,('PROSES ENJEKSİYON'!$A:$A=$L$1)*('PROSES ENJEKSİYON'!$F:$F=A24),0)),"")</f>
        <v/>
      </c>
    </row>
    <row r="25" spans="1:12" hidden="1" x14ac:dyDescent="0.3">
      <c r="A25" s="3">
        <v>131</v>
      </c>
      <c r="B25" t="str" cm="1">
        <f t="array" ref="B25">IFERROR(INDEX('PROSES ENJEKSİYON'!$L:$L, MATCH(1,('PROSES ENJEKSİYON'!$A:$A=$B$1)*('PROSES ENJEKSİYON'!$F:$F=A25),0)), "")</f>
        <v/>
      </c>
      <c r="C25" t="str" cm="1">
        <f t="array" ref="C25">IFERROR(INDEX('PROSES ENJEKSİYON'!$L:$L,MATCH(1,('PROSES ENJEKSİYON'!$A:$A=$C$1)*('PROSES ENJEKSİYON'!$F:$F=A25),0)),"")</f>
        <v/>
      </c>
      <c r="D25" t="str" cm="1">
        <f t="array" ref="D25">IFERROR(INDEX('PROSES ENJEKSİYON'!$L:$L,MATCH(1,('PROSES ENJEKSİYON'!$A:$A=$D$1)*('PROSES ENJEKSİYON'!$F:$F=A25),0)),"")</f>
        <v/>
      </c>
      <c r="E25" t="str" cm="1">
        <f t="array" ref="E25">IFERROR(INDEX('PROSES ENJEKSİYON'!$L:$L,MATCH(1,('PROSES ENJEKSİYON'!$A:$A=$E$1)*('PROSES ENJEKSİYON'!$F:$F=A25),0)),"")</f>
        <v/>
      </c>
      <c r="F25" t="str" cm="1">
        <f t="array" ref="F25">IFERROR(INDEX('PROSES ENJEKSİYON'!$L:$L,MATCH(1,('PROSES ENJEKSİYON'!$A:$A=$F$1)*('PROSES ENJEKSİYON'!$F:$F=A25),0)),"")</f>
        <v/>
      </c>
      <c r="G25" t="str" cm="1">
        <f t="array" ref="G25">IFERROR(INDEX('PROSES ENJEKSİYON'!$L:$L,MATCH(1,('PROSES ENJEKSİYON'!$A:$A=$G$1)*('PROSES ENJEKSİYON'!$F:$F=A25),0)),"")</f>
        <v/>
      </c>
      <c r="H25" t="str" cm="1">
        <f t="array" ref="H25">IFERROR(INDEX('PROSES ENJEKSİYON'!$L:$L,MATCH(1,('PROSES ENJEKSİYON'!$A:$A=$H$1)*('PROSES ENJEKSİYON'!$F:$F=A25),0)),"")</f>
        <v/>
      </c>
      <c r="I25" t="str" cm="1">
        <f t="array" ref="I25">IFERROR(INDEX('PROSES ENJEKSİYON'!$L:$L,MATCH(1,('PROSES ENJEKSİYON'!$A:$A=$I$1)*('PROSES ENJEKSİYON'!$F:$F=A25),0)),"")</f>
        <v/>
      </c>
      <c r="J25" t="str" cm="1">
        <f t="array" ref="J25">IFERROR(INDEX('PROSES ENJEKSİYON'!$L:$L,MATCH(1,('PROSES ENJEKSİYON'!$A:$A=$J$1)*('PROSES ENJEKSİYON'!$F:$F=A25),0)),"")</f>
        <v/>
      </c>
      <c r="K25" t="str" cm="1">
        <f t="array" ref="K25">IFERROR(INDEX('PROSES ENJEKSİYON'!$L:$L,MATCH(1,('PROSES ENJEKSİYON'!$A:$A=$K$1)*('PROSES ENJEKSİYON'!$F:$F=A25),0)),"")</f>
        <v/>
      </c>
      <c r="L25" t="str" cm="1">
        <f t="array" ref="L25">IFERROR(INDEX('PROSES ENJEKSİYON'!$L:$L,MATCH(1,('PROSES ENJEKSİYON'!$A:$A=$L$1)*('PROSES ENJEKSİYON'!$F:$F=A25),0)),"")</f>
        <v/>
      </c>
    </row>
    <row r="26" spans="1:12" hidden="1" x14ac:dyDescent="0.3">
      <c r="A26" s="3">
        <v>132</v>
      </c>
      <c r="B26" t="str" cm="1">
        <f t="array" ref="B26">IFERROR(INDEX('PROSES ENJEKSİYON'!$L:$L, MATCH(1,('PROSES ENJEKSİYON'!$A:$A=$B$1)*('PROSES ENJEKSİYON'!$F:$F=A26),0)), "")</f>
        <v/>
      </c>
      <c r="C26" t="str" cm="1">
        <f t="array" ref="C26">IFERROR(INDEX('PROSES ENJEKSİYON'!$L:$L,MATCH(1,('PROSES ENJEKSİYON'!$A:$A=$C$1)*('PROSES ENJEKSİYON'!$F:$F=A26),0)),"")</f>
        <v/>
      </c>
      <c r="D26" t="str" cm="1">
        <f t="array" ref="D26">IFERROR(INDEX('PROSES ENJEKSİYON'!$L:$L,MATCH(1,('PROSES ENJEKSİYON'!$A:$A=$D$1)*('PROSES ENJEKSİYON'!$F:$F=A26),0)),"")</f>
        <v/>
      </c>
      <c r="E26" t="str" cm="1">
        <f t="array" ref="E26">IFERROR(INDEX('PROSES ENJEKSİYON'!$L:$L,MATCH(1,('PROSES ENJEKSİYON'!$A:$A=$E$1)*('PROSES ENJEKSİYON'!$F:$F=A26),0)),"")</f>
        <v/>
      </c>
      <c r="F26" t="str" cm="1">
        <f t="array" ref="F26">IFERROR(INDEX('PROSES ENJEKSİYON'!$L:$L,MATCH(1,('PROSES ENJEKSİYON'!$A:$A=$F$1)*('PROSES ENJEKSİYON'!$F:$F=A26),0)),"")</f>
        <v/>
      </c>
      <c r="G26" t="str" cm="1">
        <f t="array" ref="G26">IFERROR(INDEX('PROSES ENJEKSİYON'!$L:$L,MATCH(1,('PROSES ENJEKSİYON'!$A:$A=$G$1)*('PROSES ENJEKSİYON'!$F:$F=A26),0)),"")</f>
        <v/>
      </c>
      <c r="H26" t="str" cm="1">
        <f t="array" ref="H26">IFERROR(INDEX('PROSES ENJEKSİYON'!$L:$L,MATCH(1,('PROSES ENJEKSİYON'!$A:$A=$H$1)*('PROSES ENJEKSİYON'!$F:$F=A26),0)),"")</f>
        <v/>
      </c>
      <c r="I26" t="str" cm="1">
        <f t="array" ref="I26">IFERROR(INDEX('PROSES ENJEKSİYON'!$L:$L,MATCH(1,('PROSES ENJEKSİYON'!$A:$A=$I$1)*('PROSES ENJEKSİYON'!$F:$F=A26),0)),"")</f>
        <v/>
      </c>
      <c r="J26" t="str" cm="1">
        <f t="array" ref="J26">IFERROR(INDEX('PROSES ENJEKSİYON'!$L:$L,MATCH(1,('PROSES ENJEKSİYON'!$A:$A=$J$1)*('PROSES ENJEKSİYON'!$F:$F=A26),0)),"")</f>
        <v/>
      </c>
      <c r="K26" t="str" cm="1">
        <f t="array" ref="K26">IFERROR(INDEX('PROSES ENJEKSİYON'!$L:$L,MATCH(1,('PROSES ENJEKSİYON'!$A:$A=$K$1)*('PROSES ENJEKSİYON'!$F:$F=A26),0)),"")</f>
        <v/>
      </c>
      <c r="L26" t="str" cm="1">
        <f t="array" ref="L26">IFERROR(INDEX('PROSES ENJEKSİYON'!$L:$L,MATCH(1,('PROSES ENJEKSİYON'!$A:$A=$L$1)*('PROSES ENJEKSİYON'!$F:$F=A26),0)),"")</f>
        <v/>
      </c>
    </row>
    <row r="27" spans="1:12" hidden="1" x14ac:dyDescent="0.3">
      <c r="A27" s="3">
        <v>133</v>
      </c>
      <c r="B27" t="str" cm="1">
        <f t="array" ref="B27">IFERROR(INDEX('PROSES ENJEKSİYON'!$L:$L, MATCH(1,('PROSES ENJEKSİYON'!$A:$A=$B$1)*('PROSES ENJEKSİYON'!$F:$F=A27),0)), "")</f>
        <v/>
      </c>
      <c r="C27" t="str" cm="1">
        <f t="array" ref="C27">IFERROR(INDEX('PROSES ENJEKSİYON'!$L:$L,MATCH(1,('PROSES ENJEKSİYON'!$A:$A=$C$1)*('PROSES ENJEKSİYON'!$F:$F=A27),0)),"")</f>
        <v/>
      </c>
      <c r="D27" t="str" cm="1">
        <f t="array" ref="D27">IFERROR(INDEX('PROSES ENJEKSİYON'!$L:$L,MATCH(1,('PROSES ENJEKSİYON'!$A:$A=$D$1)*('PROSES ENJEKSİYON'!$F:$F=A27),0)),"")</f>
        <v/>
      </c>
      <c r="E27" t="str" cm="1">
        <f t="array" ref="E27">IFERROR(INDEX('PROSES ENJEKSİYON'!$L:$L,MATCH(1,('PROSES ENJEKSİYON'!$A:$A=$E$1)*('PROSES ENJEKSİYON'!$F:$F=A27),0)),"")</f>
        <v/>
      </c>
      <c r="F27" t="str" cm="1">
        <f t="array" ref="F27">IFERROR(INDEX('PROSES ENJEKSİYON'!$L:$L,MATCH(1,('PROSES ENJEKSİYON'!$A:$A=$F$1)*('PROSES ENJEKSİYON'!$F:$F=A27),0)),"")</f>
        <v/>
      </c>
      <c r="G27" t="str" cm="1">
        <f t="array" ref="G27">IFERROR(INDEX('PROSES ENJEKSİYON'!$L:$L,MATCH(1,('PROSES ENJEKSİYON'!$A:$A=$G$1)*('PROSES ENJEKSİYON'!$F:$F=A27),0)),"")</f>
        <v/>
      </c>
      <c r="H27" t="str" cm="1">
        <f t="array" ref="H27">IFERROR(INDEX('PROSES ENJEKSİYON'!$L:$L,MATCH(1,('PROSES ENJEKSİYON'!$A:$A=$H$1)*('PROSES ENJEKSİYON'!$F:$F=A27),0)),"")</f>
        <v/>
      </c>
      <c r="I27" t="str" cm="1">
        <f t="array" ref="I27">IFERROR(INDEX('PROSES ENJEKSİYON'!$L:$L,MATCH(1,('PROSES ENJEKSİYON'!$A:$A=$I$1)*('PROSES ENJEKSİYON'!$F:$F=A27),0)),"")</f>
        <v/>
      </c>
      <c r="J27" t="str" cm="1">
        <f t="array" ref="J27">IFERROR(INDEX('PROSES ENJEKSİYON'!$L:$L,MATCH(1,('PROSES ENJEKSİYON'!$A:$A=$J$1)*('PROSES ENJEKSİYON'!$F:$F=A27),0)),"")</f>
        <v/>
      </c>
      <c r="K27" t="str" cm="1">
        <f t="array" ref="K27">IFERROR(INDEX('PROSES ENJEKSİYON'!$L:$L,MATCH(1,('PROSES ENJEKSİYON'!$A:$A=$K$1)*('PROSES ENJEKSİYON'!$F:$F=A27),0)),"")</f>
        <v/>
      </c>
      <c r="L27" t="str" cm="1">
        <f t="array" ref="L27">IFERROR(INDEX('PROSES ENJEKSİYON'!$L:$L,MATCH(1,('PROSES ENJEKSİYON'!$A:$A=$L$1)*('PROSES ENJEKSİYON'!$F:$F=A27),0)),"")</f>
        <v/>
      </c>
    </row>
    <row r="28" spans="1:12" hidden="1" x14ac:dyDescent="0.3">
      <c r="A28" s="3">
        <v>134</v>
      </c>
      <c r="B28" t="str" cm="1">
        <f t="array" ref="B28">IFERROR(INDEX('PROSES ENJEKSİYON'!$L:$L, MATCH(1,('PROSES ENJEKSİYON'!$A:$A=$B$1)*('PROSES ENJEKSİYON'!$F:$F=A28),0)), "")</f>
        <v/>
      </c>
      <c r="C28" t="str" cm="1">
        <f t="array" ref="C28">IFERROR(INDEX('PROSES ENJEKSİYON'!$L:$L,MATCH(1,('PROSES ENJEKSİYON'!$A:$A=$C$1)*('PROSES ENJEKSİYON'!$F:$F=A28),0)),"")</f>
        <v/>
      </c>
      <c r="D28" t="str" cm="1">
        <f t="array" ref="D28">IFERROR(INDEX('PROSES ENJEKSİYON'!$L:$L,MATCH(1,('PROSES ENJEKSİYON'!$A:$A=$D$1)*('PROSES ENJEKSİYON'!$F:$F=A28),0)),"")</f>
        <v/>
      </c>
      <c r="E28" t="str" cm="1">
        <f t="array" ref="E28">IFERROR(INDEX('PROSES ENJEKSİYON'!$L:$L,MATCH(1,('PROSES ENJEKSİYON'!$A:$A=$E$1)*('PROSES ENJEKSİYON'!$F:$F=A28),0)),"")</f>
        <v/>
      </c>
      <c r="F28" t="str" cm="1">
        <f t="array" ref="F28">IFERROR(INDEX('PROSES ENJEKSİYON'!$L:$L,MATCH(1,('PROSES ENJEKSİYON'!$A:$A=$F$1)*('PROSES ENJEKSİYON'!$F:$F=A28),0)),"")</f>
        <v/>
      </c>
      <c r="G28" t="str" cm="1">
        <f t="array" ref="G28">IFERROR(INDEX('PROSES ENJEKSİYON'!$L:$L,MATCH(1,('PROSES ENJEKSİYON'!$A:$A=$G$1)*('PROSES ENJEKSİYON'!$F:$F=A28),0)),"")</f>
        <v/>
      </c>
      <c r="H28" t="str" cm="1">
        <f t="array" ref="H28">IFERROR(INDEX('PROSES ENJEKSİYON'!$L:$L,MATCH(1,('PROSES ENJEKSİYON'!$A:$A=$H$1)*('PROSES ENJEKSİYON'!$F:$F=A28),0)),"")</f>
        <v/>
      </c>
      <c r="I28" t="str" cm="1">
        <f t="array" ref="I28">IFERROR(INDEX('PROSES ENJEKSİYON'!$L:$L,MATCH(1,('PROSES ENJEKSİYON'!$A:$A=$I$1)*('PROSES ENJEKSİYON'!$F:$F=A28),0)),"")</f>
        <v/>
      </c>
      <c r="J28" t="str" cm="1">
        <f t="array" ref="J28">IFERROR(INDEX('PROSES ENJEKSİYON'!$L:$L,MATCH(1,('PROSES ENJEKSİYON'!$A:$A=$J$1)*('PROSES ENJEKSİYON'!$F:$F=A28),0)),"")</f>
        <v/>
      </c>
      <c r="K28" t="str" cm="1">
        <f t="array" ref="K28">IFERROR(INDEX('PROSES ENJEKSİYON'!$L:$L,MATCH(1,('PROSES ENJEKSİYON'!$A:$A=$K$1)*('PROSES ENJEKSİYON'!$F:$F=A28),0)),"")</f>
        <v/>
      </c>
      <c r="L28" t="str" cm="1">
        <f t="array" ref="L28">IFERROR(INDEX('PROSES ENJEKSİYON'!$L:$L,MATCH(1,('PROSES ENJEKSİYON'!$A:$A=$L$1)*('PROSES ENJEKSİYON'!$F:$F=A28),0)),"")</f>
        <v/>
      </c>
    </row>
    <row r="29" spans="1:12" hidden="1" x14ac:dyDescent="0.3">
      <c r="A29" s="3">
        <v>135</v>
      </c>
      <c r="B29" t="str" cm="1">
        <f t="array" ref="B29">IFERROR(INDEX('PROSES ENJEKSİYON'!$L:$L, MATCH(1,('PROSES ENJEKSİYON'!$A:$A=$B$1)*('PROSES ENJEKSİYON'!$F:$F=A29),0)), "")</f>
        <v/>
      </c>
      <c r="C29" t="str" cm="1">
        <f t="array" ref="C29">IFERROR(INDEX('PROSES ENJEKSİYON'!$L:$L,MATCH(1,('PROSES ENJEKSİYON'!$A:$A=$C$1)*('PROSES ENJEKSİYON'!$F:$F=A29),0)),"")</f>
        <v/>
      </c>
      <c r="D29" t="str" cm="1">
        <f t="array" ref="D29">IFERROR(INDEX('PROSES ENJEKSİYON'!$L:$L,MATCH(1,('PROSES ENJEKSİYON'!$A:$A=$D$1)*('PROSES ENJEKSİYON'!$F:$F=A29),0)),"")</f>
        <v/>
      </c>
      <c r="E29" t="str" cm="1">
        <f t="array" ref="E29">IFERROR(INDEX('PROSES ENJEKSİYON'!$L:$L,MATCH(1,('PROSES ENJEKSİYON'!$A:$A=$E$1)*('PROSES ENJEKSİYON'!$F:$F=A29),0)),"")</f>
        <v/>
      </c>
      <c r="F29" t="str" cm="1">
        <f t="array" ref="F29">IFERROR(INDEX('PROSES ENJEKSİYON'!$L:$L,MATCH(1,('PROSES ENJEKSİYON'!$A:$A=$F$1)*('PROSES ENJEKSİYON'!$F:$F=A29),0)),"")</f>
        <v/>
      </c>
      <c r="G29" t="str" cm="1">
        <f t="array" ref="G29">IFERROR(INDEX('PROSES ENJEKSİYON'!$L:$L,MATCH(1,('PROSES ENJEKSİYON'!$A:$A=$G$1)*('PROSES ENJEKSİYON'!$F:$F=A29),0)),"")</f>
        <v/>
      </c>
      <c r="H29" t="str" cm="1">
        <f t="array" ref="H29">IFERROR(INDEX('PROSES ENJEKSİYON'!$L:$L,MATCH(1,('PROSES ENJEKSİYON'!$A:$A=$H$1)*('PROSES ENJEKSİYON'!$F:$F=A29),0)),"")</f>
        <v/>
      </c>
      <c r="I29" t="str" cm="1">
        <f t="array" ref="I29">IFERROR(INDEX('PROSES ENJEKSİYON'!$L:$L,MATCH(1,('PROSES ENJEKSİYON'!$A:$A=$I$1)*('PROSES ENJEKSİYON'!$F:$F=A29),0)),"")</f>
        <v/>
      </c>
      <c r="J29" t="str" cm="1">
        <f t="array" ref="J29">IFERROR(INDEX('PROSES ENJEKSİYON'!$L:$L,MATCH(1,('PROSES ENJEKSİYON'!$A:$A=$J$1)*('PROSES ENJEKSİYON'!$F:$F=A29),0)),"")</f>
        <v/>
      </c>
      <c r="K29" t="str" cm="1">
        <f t="array" ref="K29">IFERROR(INDEX('PROSES ENJEKSİYON'!$L:$L,MATCH(1,('PROSES ENJEKSİYON'!$A:$A=$K$1)*('PROSES ENJEKSİYON'!$F:$F=A29),0)),"")</f>
        <v/>
      </c>
      <c r="L29" t="str" cm="1">
        <f t="array" ref="L29">IFERROR(INDEX('PROSES ENJEKSİYON'!$L:$L,MATCH(1,('PROSES ENJEKSİYON'!$A:$A=$L$1)*('PROSES ENJEKSİYON'!$F:$F=A29),0)),"")</f>
        <v/>
      </c>
    </row>
    <row r="30" spans="1:12" x14ac:dyDescent="0.3">
      <c r="A30" s="3">
        <v>201</v>
      </c>
      <c r="B30" t="str" cm="1">
        <f t="array" ref="B30">IFERROR(INDEX('PROSES ENJEKSİYON'!$L:$L, MATCH(1,('PROSES ENJEKSİYON'!$A:$A=$B$1)*('PROSES ENJEKSİYON'!$F:$F=A30),0)), "")</f>
        <v/>
      </c>
      <c r="C30" t="str" cm="1">
        <f t="array" ref="C30">IFERROR(INDEX('PROSES ENJEKSİYON'!$L:$L,MATCH(1,('PROSES ENJEKSİYON'!$A:$A=$C$1)*('PROSES ENJEKSİYON'!$F:$F=A30),0)),"")</f>
        <v/>
      </c>
      <c r="D30" t="str" cm="1">
        <f t="array" ref="D30">IFERROR(INDEX('PROSES ENJEKSİYON'!$L:$L,MATCH(1,('PROSES ENJEKSİYON'!$A:$A=$D$1)*('PROSES ENJEKSİYON'!$F:$F=A30),0)),"")</f>
        <v/>
      </c>
      <c r="E30" t="str" cm="1">
        <f t="array" ref="E30">IFERROR(INDEX('PROSES ENJEKSİYON'!$L:$L,MATCH(1,('PROSES ENJEKSİYON'!$A:$A=$E$1)*('PROSES ENJEKSİYON'!$F:$F=A30),0)),"")</f>
        <v/>
      </c>
      <c r="F30" t="str" cm="1">
        <f t="array" ref="F30">IFERROR(INDEX('PROSES ENJEKSİYON'!$L:$L,MATCH(1,('PROSES ENJEKSİYON'!$A:$A=$F$1)*('PROSES ENJEKSİYON'!$F:$F=A30),0)),"")</f>
        <v/>
      </c>
      <c r="G30" t="str" cm="1">
        <f t="array" ref="G30">IFERROR(INDEX('PROSES ENJEKSİYON'!$L:$L,MATCH(1,('PROSES ENJEKSİYON'!$A:$A=$G$1)*('PROSES ENJEKSİYON'!$F:$F=A30),0)),"")</f>
        <v/>
      </c>
      <c r="H30" t="str" cm="1">
        <f t="array" ref="H30">IFERROR(INDEX('PROSES ENJEKSİYON'!$L:$L,MATCH(1,('PROSES ENJEKSİYON'!$A:$A=$H$1)*('PROSES ENJEKSİYON'!$F:$F=A30),0)),"")</f>
        <v/>
      </c>
      <c r="I30" t="str" cm="1">
        <f t="array" ref="I30">IFERROR(INDEX('PROSES ENJEKSİYON'!$L:$L,MATCH(1,('PROSES ENJEKSİYON'!$A:$A=$I$1)*('PROSES ENJEKSİYON'!$F:$F=A30),0)),"")</f>
        <v/>
      </c>
      <c r="J30" t="str" cm="1">
        <f t="array" ref="J30">IFERROR(INDEX('PROSES ENJEKSİYON'!$L:$L,MATCH(1,('PROSES ENJEKSİYON'!$A:$A=$J$1)*('PROSES ENJEKSİYON'!$F:$F=A30),0)),"")</f>
        <v/>
      </c>
      <c r="K30" t="str" cm="1">
        <f t="array" ref="K30">IFERROR(INDEX('PROSES ENJEKSİYON'!$L:$L,MATCH(1,('PROSES ENJEKSİYON'!$A:$A=$K$1)*('PROSES ENJEKSİYON'!$F:$F=A30),0)),"")</f>
        <v/>
      </c>
      <c r="L30" t="str" cm="1">
        <f t="array" ref="L30">IFERROR(INDEX('PROSES ENJEKSİYON'!$L:$L,MATCH(1,('PROSES ENJEKSİYON'!$A:$A=$L$1)*('PROSES ENJEKSİYON'!$F:$F=A30),0)),"")</f>
        <v/>
      </c>
    </row>
    <row r="31" spans="1:12" x14ac:dyDescent="0.3">
      <c r="A31" s="3">
        <v>202</v>
      </c>
      <c r="B31" t="str" cm="1">
        <f t="array" ref="B31">IFERROR(INDEX('PROSES ENJEKSİYON'!$L:$L, MATCH(1,('PROSES ENJEKSİYON'!$A:$A=$B$1)*('PROSES ENJEKSİYON'!$F:$F=A31),0)), "")</f>
        <v/>
      </c>
      <c r="C31" t="str" cm="1">
        <f t="array" ref="C31">IFERROR(INDEX('PROSES ENJEKSİYON'!$L:$L,MATCH(1,('PROSES ENJEKSİYON'!$A:$A=$C$1)*('PROSES ENJEKSİYON'!$F:$F=A31),0)),"")</f>
        <v/>
      </c>
      <c r="D31" t="str" cm="1">
        <f t="array" ref="D31">IFERROR(INDEX('PROSES ENJEKSİYON'!$L:$L,MATCH(1,('PROSES ENJEKSİYON'!$A:$A=$D$1)*('PROSES ENJEKSİYON'!$F:$F=A31),0)),"")</f>
        <v/>
      </c>
      <c r="E31" t="str" cm="1">
        <f t="array" ref="E31">IFERROR(INDEX('PROSES ENJEKSİYON'!$L:$L,MATCH(1,('PROSES ENJEKSİYON'!$A:$A=$E$1)*('PROSES ENJEKSİYON'!$F:$F=A31),0)),"")</f>
        <v/>
      </c>
      <c r="F31" t="str" cm="1">
        <f t="array" ref="F31">IFERROR(INDEX('PROSES ENJEKSİYON'!$L:$L,MATCH(1,('PROSES ENJEKSİYON'!$A:$A=$F$1)*('PROSES ENJEKSİYON'!$F:$F=A31),0)),"")</f>
        <v/>
      </c>
      <c r="G31" t="str" cm="1">
        <f t="array" ref="G31">IFERROR(INDEX('PROSES ENJEKSİYON'!$L:$L,MATCH(1,('PROSES ENJEKSİYON'!$A:$A=$G$1)*('PROSES ENJEKSİYON'!$F:$F=A31),0)),"")</f>
        <v/>
      </c>
      <c r="H31" t="str" cm="1">
        <f t="array" ref="H31">IFERROR(INDEX('PROSES ENJEKSİYON'!$L:$L,MATCH(1,('PROSES ENJEKSİYON'!$A:$A=$H$1)*('PROSES ENJEKSİYON'!$F:$F=A31),0)),"")</f>
        <v/>
      </c>
      <c r="I31" t="str" cm="1">
        <f t="array" ref="I31">IFERROR(INDEX('PROSES ENJEKSİYON'!$L:$L,MATCH(1,('PROSES ENJEKSİYON'!$A:$A=$I$1)*('PROSES ENJEKSİYON'!$F:$F=A31),0)),"")</f>
        <v/>
      </c>
      <c r="J31" t="str" cm="1">
        <f t="array" ref="J31">IFERROR(INDEX('PROSES ENJEKSİYON'!$L:$L,MATCH(1,('PROSES ENJEKSİYON'!$A:$A=$J$1)*('PROSES ENJEKSİYON'!$F:$F=A31),0)),"")</f>
        <v/>
      </c>
      <c r="K31" t="str" cm="1">
        <f t="array" ref="K31">IFERROR(INDEX('PROSES ENJEKSİYON'!$L:$L,MATCH(1,('PROSES ENJEKSİYON'!$A:$A=$K$1)*('PROSES ENJEKSİYON'!$F:$F=A31),0)),"")</f>
        <v/>
      </c>
      <c r="L31" t="str" cm="1">
        <f t="array" ref="L31">IFERROR(INDEX('PROSES ENJEKSİYON'!$L:$L,MATCH(1,('PROSES ENJEKSİYON'!$A:$A=$L$1)*('PROSES ENJEKSİYON'!$F:$F=A31),0)),"")</f>
        <v/>
      </c>
    </row>
    <row r="32" spans="1:12" x14ac:dyDescent="0.3">
      <c r="A32" s="3">
        <v>203</v>
      </c>
      <c r="B32" t="str" cm="1">
        <f t="array" ref="B32">IFERROR(INDEX('PROSES ENJEKSİYON'!$L:$L, MATCH(1,('PROSES ENJEKSİYON'!$A:$A=$B$1)*('PROSES ENJEKSİYON'!$F:$F=A32),0)), "")</f>
        <v/>
      </c>
      <c r="C32" t="str" cm="1">
        <f t="array" ref="C32">IFERROR(INDEX('PROSES ENJEKSİYON'!$L:$L,MATCH(1,('PROSES ENJEKSİYON'!$A:$A=$C$1)*('PROSES ENJEKSİYON'!$F:$F=A32),0)),"")</f>
        <v/>
      </c>
      <c r="D32" t="str" cm="1">
        <f t="array" ref="D32">IFERROR(INDEX('PROSES ENJEKSİYON'!$L:$L,MATCH(1,('PROSES ENJEKSİYON'!$A:$A=$D$1)*('PROSES ENJEKSİYON'!$F:$F=A32),0)),"")</f>
        <v/>
      </c>
      <c r="E32" t="str" cm="1">
        <f t="array" ref="E32">IFERROR(INDEX('PROSES ENJEKSİYON'!$L:$L,MATCH(1,('PROSES ENJEKSİYON'!$A:$A=$E$1)*('PROSES ENJEKSİYON'!$F:$F=A32),0)),"")</f>
        <v/>
      </c>
      <c r="F32" t="str" cm="1">
        <f t="array" ref="F32">IFERROR(INDEX('PROSES ENJEKSİYON'!$L:$L,MATCH(1,('PROSES ENJEKSİYON'!$A:$A=$F$1)*('PROSES ENJEKSİYON'!$F:$F=A32),0)),"")</f>
        <v/>
      </c>
      <c r="G32" t="str" cm="1">
        <f t="array" ref="G32">IFERROR(INDEX('PROSES ENJEKSİYON'!$L:$L,MATCH(1,('PROSES ENJEKSİYON'!$A:$A=$G$1)*('PROSES ENJEKSİYON'!$F:$F=A32),0)),"")</f>
        <v/>
      </c>
      <c r="H32" t="str" cm="1">
        <f t="array" ref="H32">IFERROR(INDEX('PROSES ENJEKSİYON'!$L:$L,MATCH(1,('PROSES ENJEKSİYON'!$A:$A=$H$1)*('PROSES ENJEKSİYON'!$F:$F=A32),0)),"")</f>
        <v/>
      </c>
      <c r="I32" t="str" cm="1">
        <f t="array" ref="I32">IFERROR(INDEX('PROSES ENJEKSİYON'!$L:$L,MATCH(1,('PROSES ENJEKSİYON'!$A:$A=$I$1)*('PROSES ENJEKSİYON'!$F:$F=A32),0)),"")</f>
        <v/>
      </c>
      <c r="J32" t="str" cm="1">
        <f t="array" ref="J32">IFERROR(INDEX('PROSES ENJEKSİYON'!$L:$L,MATCH(1,('PROSES ENJEKSİYON'!$A:$A=$J$1)*('PROSES ENJEKSİYON'!$F:$F=A32),0)),"")</f>
        <v/>
      </c>
      <c r="K32" t="str" cm="1">
        <f t="array" ref="K32">IFERROR(INDEX('PROSES ENJEKSİYON'!$L:$L,MATCH(1,('PROSES ENJEKSİYON'!$A:$A=$K$1)*('PROSES ENJEKSİYON'!$F:$F=A32),0)),"")</f>
        <v/>
      </c>
      <c r="L32" t="str" cm="1">
        <f t="array" ref="L32">IFERROR(INDEX('PROSES ENJEKSİYON'!$L:$L,MATCH(1,('PROSES ENJEKSİYON'!$A:$A=$L$1)*('PROSES ENJEKSİYON'!$F:$F=A32),0)),"")</f>
        <v/>
      </c>
    </row>
    <row r="33" spans="1:12" x14ac:dyDescent="0.3">
      <c r="A33" s="3">
        <v>204</v>
      </c>
      <c r="B33" t="str" cm="1">
        <f t="array" ref="B33">IFERROR(INDEX('PROSES ENJEKSİYON'!$L:$L, MATCH(1,('PROSES ENJEKSİYON'!$A:$A=$B$1)*('PROSES ENJEKSİYON'!$F:$F=A33),0)), "")</f>
        <v/>
      </c>
      <c r="C33" t="str" cm="1">
        <f t="array" ref="C33">IFERROR(INDEX('PROSES ENJEKSİYON'!$L:$L,MATCH(1,('PROSES ENJEKSİYON'!$A:$A=$C$1)*('PROSES ENJEKSİYON'!$F:$F=A33),0)),"")</f>
        <v/>
      </c>
      <c r="D33" t="str" cm="1">
        <f t="array" ref="D33">IFERROR(INDEX('PROSES ENJEKSİYON'!$L:$L,MATCH(1,('PROSES ENJEKSİYON'!$A:$A=$D$1)*('PROSES ENJEKSİYON'!$F:$F=A33),0)),"")</f>
        <v/>
      </c>
      <c r="E33" t="str" cm="1">
        <f t="array" ref="E33">IFERROR(INDEX('PROSES ENJEKSİYON'!$L:$L,MATCH(1,('PROSES ENJEKSİYON'!$A:$A=$E$1)*('PROSES ENJEKSİYON'!$F:$F=A33),0)),"")</f>
        <v/>
      </c>
      <c r="F33" t="str" cm="1">
        <f t="array" ref="F33">IFERROR(INDEX('PROSES ENJEKSİYON'!$L:$L,MATCH(1,('PROSES ENJEKSİYON'!$A:$A=$F$1)*('PROSES ENJEKSİYON'!$F:$F=A33),0)),"")</f>
        <v/>
      </c>
      <c r="G33" t="str" cm="1">
        <f t="array" ref="G33">IFERROR(INDEX('PROSES ENJEKSİYON'!$L:$L,MATCH(1,('PROSES ENJEKSİYON'!$A:$A=$G$1)*('PROSES ENJEKSİYON'!$F:$F=A33),0)),"")</f>
        <v/>
      </c>
      <c r="H33" t="str" cm="1">
        <f t="array" ref="H33">IFERROR(INDEX('PROSES ENJEKSİYON'!$L:$L,MATCH(1,('PROSES ENJEKSİYON'!$A:$A=$H$1)*('PROSES ENJEKSİYON'!$F:$F=A33),0)),"")</f>
        <v/>
      </c>
      <c r="I33" t="str" cm="1">
        <f t="array" ref="I33">IFERROR(INDEX('PROSES ENJEKSİYON'!$L:$L,MATCH(1,('PROSES ENJEKSİYON'!$A:$A=$I$1)*('PROSES ENJEKSİYON'!$F:$F=A33),0)),"")</f>
        <v/>
      </c>
      <c r="J33" t="str" cm="1">
        <f t="array" ref="J33">IFERROR(INDEX('PROSES ENJEKSİYON'!$L:$L,MATCH(1,('PROSES ENJEKSİYON'!$A:$A=$J$1)*('PROSES ENJEKSİYON'!$F:$F=A33),0)),"")</f>
        <v/>
      </c>
      <c r="K33" t="str" cm="1">
        <f t="array" ref="K33">IFERROR(INDEX('PROSES ENJEKSİYON'!$L:$L,MATCH(1,('PROSES ENJEKSİYON'!$A:$A=$K$1)*('PROSES ENJEKSİYON'!$F:$F=A33),0)),"")</f>
        <v/>
      </c>
      <c r="L33" t="str" cm="1">
        <f t="array" ref="L33">IFERROR(INDEX('PROSES ENJEKSİYON'!$L:$L,MATCH(1,('PROSES ENJEKSİYON'!$A:$A=$L$1)*('PROSES ENJEKSİYON'!$F:$F=A33),0)),"")</f>
        <v/>
      </c>
    </row>
    <row r="34" spans="1:12" x14ac:dyDescent="0.3">
      <c r="A34" s="3">
        <v>205</v>
      </c>
      <c r="B34" t="str" cm="1">
        <f t="array" ref="B34">IFERROR(INDEX('PROSES ENJEKSİYON'!$L:$L, MATCH(1,('PROSES ENJEKSİYON'!$A:$A=$B$1)*('PROSES ENJEKSİYON'!$F:$F=A34),0)), "")</f>
        <v/>
      </c>
      <c r="C34" t="str" cm="1">
        <f t="array" ref="C34">IFERROR(INDEX('PROSES ENJEKSİYON'!$L:$L,MATCH(1,('PROSES ENJEKSİYON'!$A:$A=$C$1)*('PROSES ENJEKSİYON'!$F:$F=A34),0)),"")</f>
        <v/>
      </c>
      <c r="D34" t="str" cm="1">
        <f t="array" ref="D34">IFERROR(INDEX('PROSES ENJEKSİYON'!$L:$L,MATCH(1,('PROSES ENJEKSİYON'!$A:$A=$D$1)*('PROSES ENJEKSİYON'!$F:$F=A34),0)),"")</f>
        <v/>
      </c>
      <c r="E34" t="str" cm="1">
        <f t="array" ref="E34">IFERROR(INDEX('PROSES ENJEKSİYON'!$L:$L,MATCH(1,('PROSES ENJEKSİYON'!$A:$A=$E$1)*('PROSES ENJEKSİYON'!$F:$F=A34),0)),"")</f>
        <v/>
      </c>
      <c r="F34" t="str" cm="1">
        <f t="array" ref="F34">IFERROR(INDEX('PROSES ENJEKSİYON'!$L:$L,MATCH(1,('PROSES ENJEKSİYON'!$A:$A=$F$1)*('PROSES ENJEKSİYON'!$F:$F=A34),0)),"")</f>
        <v/>
      </c>
      <c r="G34" t="str" cm="1">
        <f t="array" ref="G34">IFERROR(INDEX('PROSES ENJEKSİYON'!$L:$L,MATCH(1,('PROSES ENJEKSİYON'!$A:$A=$G$1)*('PROSES ENJEKSİYON'!$F:$F=A34),0)),"")</f>
        <v/>
      </c>
      <c r="H34" t="str" cm="1">
        <f t="array" ref="H34">IFERROR(INDEX('PROSES ENJEKSİYON'!$L:$L,MATCH(1,('PROSES ENJEKSİYON'!$A:$A=$H$1)*('PROSES ENJEKSİYON'!$F:$F=A34),0)),"")</f>
        <v/>
      </c>
      <c r="I34" t="str" cm="1">
        <f t="array" ref="I34">IFERROR(INDEX('PROSES ENJEKSİYON'!$L:$L,MATCH(1,('PROSES ENJEKSİYON'!$A:$A=$I$1)*('PROSES ENJEKSİYON'!$F:$F=A34),0)),"")</f>
        <v/>
      </c>
      <c r="J34" t="str" cm="1">
        <f t="array" ref="J34">IFERROR(INDEX('PROSES ENJEKSİYON'!$L:$L,MATCH(1,('PROSES ENJEKSİYON'!$A:$A=$J$1)*('PROSES ENJEKSİYON'!$F:$F=A34),0)),"")</f>
        <v/>
      </c>
      <c r="K34" t="str" cm="1">
        <f t="array" ref="K34">IFERROR(INDEX('PROSES ENJEKSİYON'!$L:$L,MATCH(1,('PROSES ENJEKSİYON'!$A:$A=$K$1)*('PROSES ENJEKSİYON'!$F:$F=A34),0)),"")</f>
        <v/>
      </c>
      <c r="L34" t="str" cm="1">
        <f t="array" ref="L34">IFERROR(INDEX('PROSES ENJEKSİYON'!$L:$L,MATCH(1,('PROSES ENJEKSİYON'!$A:$A=$L$1)*('PROSES ENJEKSİYON'!$F:$F=A34),0)),"")</f>
        <v/>
      </c>
    </row>
    <row r="35" spans="1:12" x14ac:dyDescent="0.3">
      <c r="A35" s="3">
        <v>206</v>
      </c>
      <c r="B35" t="str" cm="1">
        <f t="array" ref="B35">IFERROR(INDEX('PROSES ENJEKSİYON'!$L:$L, MATCH(1,('PROSES ENJEKSİYON'!$A:$A=$B$1)*('PROSES ENJEKSİYON'!$F:$F=A35),0)), "")</f>
        <v/>
      </c>
      <c r="C35" t="str" cm="1">
        <f t="array" ref="C35">IFERROR(INDEX('PROSES ENJEKSİYON'!$L:$L,MATCH(1,('PROSES ENJEKSİYON'!$A:$A=$C$1)*('PROSES ENJEKSİYON'!$F:$F=A35),0)),"")</f>
        <v/>
      </c>
      <c r="D35" t="str" cm="1">
        <f t="array" ref="D35">IFERROR(INDEX('PROSES ENJEKSİYON'!$L:$L,MATCH(1,('PROSES ENJEKSİYON'!$A:$A=$D$1)*('PROSES ENJEKSİYON'!$F:$F=A35),0)),"")</f>
        <v/>
      </c>
      <c r="E35" t="str" cm="1">
        <f t="array" ref="E35">IFERROR(INDEX('PROSES ENJEKSİYON'!$L:$L,MATCH(1,('PROSES ENJEKSİYON'!$A:$A=$E$1)*('PROSES ENJEKSİYON'!$F:$F=A35),0)),"")</f>
        <v/>
      </c>
      <c r="F35" t="str" cm="1">
        <f t="array" ref="F35">IFERROR(INDEX('PROSES ENJEKSİYON'!$L:$L,MATCH(1,('PROSES ENJEKSİYON'!$A:$A=$F$1)*('PROSES ENJEKSİYON'!$F:$F=A35),0)),"")</f>
        <v/>
      </c>
      <c r="G35" t="str" cm="1">
        <f t="array" ref="G35">IFERROR(INDEX('PROSES ENJEKSİYON'!$L:$L,MATCH(1,('PROSES ENJEKSİYON'!$A:$A=$G$1)*('PROSES ENJEKSİYON'!$F:$F=A35),0)),"")</f>
        <v/>
      </c>
      <c r="H35" t="str" cm="1">
        <f t="array" ref="H35">IFERROR(INDEX('PROSES ENJEKSİYON'!$L:$L,MATCH(1,('PROSES ENJEKSİYON'!$A:$A=$H$1)*('PROSES ENJEKSİYON'!$F:$F=A35),0)),"")</f>
        <v/>
      </c>
      <c r="I35" t="str" cm="1">
        <f t="array" ref="I35">IFERROR(INDEX('PROSES ENJEKSİYON'!$L:$L,MATCH(1,('PROSES ENJEKSİYON'!$A:$A=$I$1)*('PROSES ENJEKSİYON'!$F:$F=A35),0)),"")</f>
        <v/>
      </c>
      <c r="J35" t="str" cm="1">
        <f t="array" ref="J35">IFERROR(INDEX('PROSES ENJEKSİYON'!$L:$L,MATCH(1,('PROSES ENJEKSİYON'!$A:$A=$J$1)*('PROSES ENJEKSİYON'!$F:$F=A35),0)),"")</f>
        <v/>
      </c>
      <c r="K35" t="str" cm="1">
        <f t="array" ref="K35">IFERROR(INDEX('PROSES ENJEKSİYON'!$L:$L,MATCH(1,('PROSES ENJEKSİYON'!$A:$A=$K$1)*('PROSES ENJEKSİYON'!$F:$F=A35),0)),"")</f>
        <v/>
      </c>
      <c r="L35" t="str" cm="1">
        <f t="array" ref="L35">IFERROR(INDEX('PROSES ENJEKSİYON'!$L:$L,MATCH(1,('PROSES ENJEKSİYON'!$A:$A=$L$1)*('PROSES ENJEKSİYON'!$F:$F=A35),0)),"")</f>
        <v/>
      </c>
    </row>
    <row r="36" spans="1:12" x14ac:dyDescent="0.3">
      <c r="A36" s="3">
        <v>207</v>
      </c>
      <c r="B36" t="str" cm="1">
        <f t="array" ref="B36">IFERROR(INDEX('PROSES ENJEKSİYON'!$L:$L, MATCH(1,('PROSES ENJEKSİYON'!$A:$A=$B$1)*('PROSES ENJEKSİYON'!$F:$F=A36),0)), "")</f>
        <v/>
      </c>
      <c r="C36" t="str" cm="1">
        <f t="array" ref="C36">IFERROR(INDEX('PROSES ENJEKSİYON'!$L:$L,MATCH(1,('PROSES ENJEKSİYON'!$A:$A=$C$1)*('PROSES ENJEKSİYON'!$F:$F=A36),0)),"")</f>
        <v/>
      </c>
      <c r="D36" t="str" cm="1">
        <f t="array" ref="D36">IFERROR(INDEX('PROSES ENJEKSİYON'!$L:$L,MATCH(1,('PROSES ENJEKSİYON'!$A:$A=$D$1)*('PROSES ENJEKSİYON'!$F:$F=A36),0)),"")</f>
        <v/>
      </c>
      <c r="E36" t="str" cm="1">
        <f t="array" ref="E36">IFERROR(INDEX('PROSES ENJEKSİYON'!$L:$L,MATCH(1,('PROSES ENJEKSİYON'!$A:$A=$E$1)*('PROSES ENJEKSİYON'!$F:$F=A36),0)),"")</f>
        <v/>
      </c>
      <c r="F36" t="str" cm="1">
        <f t="array" ref="F36">IFERROR(INDEX('PROSES ENJEKSİYON'!$L:$L,MATCH(1,('PROSES ENJEKSİYON'!$A:$A=$F$1)*('PROSES ENJEKSİYON'!$F:$F=A36),0)),"")</f>
        <v/>
      </c>
      <c r="G36" t="str" cm="1">
        <f t="array" ref="G36">IFERROR(INDEX('PROSES ENJEKSİYON'!$L:$L,MATCH(1,('PROSES ENJEKSİYON'!$A:$A=$G$1)*('PROSES ENJEKSİYON'!$F:$F=A36),0)),"")</f>
        <v/>
      </c>
      <c r="H36" t="str" cm="1">
        <f t="array" ref="H36">IFERROR(INDEX('PROSES ENJEKSİYON'!$L:$L,MATCH(1,('PROSES ENJEKSİYON'!$A:$A=$H$1)*('PROSES ENJEKSİYON'!$F:$F=A36),0)),"")</f>
        <v/>
      </c>
      <c r="I36" t="str" cm="1">
        <f t="array" ref="I36">IFERROR(INDEX('PROSES ENJEKSİYON'!$L:$L,MATCH(1,('PROSES ENJEKSİYON'!$A:$A=$I$1)*('PROSES ENJEKSİYON'!$F:$F=A36),0)),"")</f>
        <v/>
      </c>
      <c r="J36" t="str" cm="1">
        <f t="array" ref="J36">IFERROR(INDEX('PROSES ENJEKSİYON'!$L:$L,MATCH(1,('PROSES ENJEKSİYON'!$A:$A=$J$1)*('PROSES ENJEKSİYON'!$F:$F=A36),0)),"")</f>
        <v/>
      </c>
      <c r="K36" t="str" cm="1">
        <f t="array" ref="K36">IFERROR(INDEX('PROSES ENJEKSİYON'!$L:$L,MATCH(1,('PROSES ENJEKSİYON'!$A:$A=$K$1)*('PROSES ENJEKSİYON'!$F:$F=A36),0)),"")</f>
        <v/>
      </c>
      <c r="L36" t="str" cm="1">
        <f t="array" ref="L36">IFERROR(INDEX('PROSES ENJEKSİYON'!$L:$L,MATCH(1,('PROSES ENJEKSİYON'!$A:$A=$L$1)*('PROSES ENJEKSİYON'!$F:$F=A36),0)),"")</f>
        <v/>
      </c>
    </row>
    <row r="37" spans="1:12" x14ac:dyDescent="0.3">
      <c r="A37" s="3">
        <v>208</v>
      </c>
      <c r="B37" t="str" cm="1">
        <f t="array" ref="B37">IFERROR(INDEX('PROSES ENJEKSİYON'!$L:$L, MATCH(1,('PROSES ENJEKSİYON'!$A:$A=$B$1)*('PROSES ENJEKSİYON'!$F:$F=A37),0)), "")</f>
        <v/>
      </c>
      <c r="C37" t="str" cm="1">
        <f t="array" ref="C37">IFERROR(INDEX('PROSES ENJEKSİYON'!$L:$L,MATCH(1,('PROSES ENJEKSİYON'!$A:$A=$C$1)*('PROSES ENJEKSİYON'!$F:$F=A37),0)),"")</f>
        <v/>
      </c>
      <c r="D37" t="str" cm="1">
        <f t="array" ref="D37">IFERROR(INDEX('PROSES ENJEKSİYON'!$L:$L,MATCH(1,('PROSES ENJEKSİYON'!$A:$A=$D$1)*('PROSES ENJEKSİYON'!$F:$F=A37),0)),"")</f>
        <v/>
      </c>
      <c r="E37" t="str" cm="1">
        <f t="array" ref="E37">IFERROR(INDEX('PROSES ENJEKSİYON'!$L:$L,MATCH(1,('PROSES ENJEKSİYON'!$A:$A=$E$1)*('PROSES ENJEKSİYON'!$F:$F=A37),0)),"")</f>
        <v/>
      </c>
      <c r="F37" t="str" cm="1">
        <f t="array" ref="F37">IFERROR(INDEX('PROSES ENJEKSİYON'!$L:$L,MATCH(1,('PROSES ENJEKSİYON'!$A:$A=$F$1)*('PROSES ENJEKSİYON'!$F:$F=A37),0)),"")</f>
        <v/>
      </c>
      <c r="G37" t="str" cm="1">
        <f t="array" ref="G37">IFERROR(INDEX('PROSES ENJEKSİYON'!$L:$L,MATCH(1,('PROSES ENJEKSİYON'!$A:$A=$G$1)*('PROSES ENJEKSİYON'!$F:$F=A37),0)),"")</f>
        <v/>
      </c>
      <c r="H37" t="str" cm="1">
        <f t="array" ref="H37">IFERROR(INDEX('PROSES ENJEKSİYON'!$L:$L,MATCH(1,('PROSES ENJEKSİYON'!$A:$A=$H$1)*('PROSES ENJEKSİYON'!$F:$F=A37),0)),"")</f>
        <v/>
      </c>
      <c r="I37" t="str" cm="1">
        <f t="array" ref="I37">IFERROR(INDEX('PROSES ENJEKSİYON'!$L:$L,MATCH(1,('PROSES ENJEKSİYON'!$A:$A=$I$1)*('PROSES ENJEKSİYON'!$F:$F=A37),0)),"")</f>
        <v/>
      </c>
      <c r="J37" t="str" cm="1">
        <f t="array" ref="J37">IFERROR(INDEX('PROSES ENJEKSİYON'!$L:$L,MATCH(1,('PROSES ENJEKSİYON'!$A:$A=$J$1)*('PROSES ENJEKSİYON'!$F:$F=A37),0)),"")</f>
        <v/>
      </c>
      <c r="K37" t="str" cm="1">
        <f t="array" ref="K37">IFERROR(INDEX('PROSES ENJEKSİYON'!$L:$L,MATCH(1,('PROSES ENJEKSİYON'!$A:$A=$K$1)*('PROSES ENJEKSİYON'!$F:$F=A37),0)),"")</f>
        <v/>
      </c>
      <c r="L37" t="str" cm="1">
        <f t="array" ref="L37">IFERROR(INDEX('PROSES ENJEKSİYON'!$L:$L,MATCH(1,('PROSES ENJEKSİYON'!$A:$A=$L$1)*('PROSES ENJEKSİYON'!$F:$F=A37),0)),"")</f>
        <v/>
      </c>
    </row>
    <row r="38" spans="1:12" x14ac:dyDescent="0.3">
      <c r="A38" s="3">
        <v>209</v>
      </c>
      <c r="B38" t="str" cm="1">
        <f t="array" ref="B38">IFERROR(INDEX('PROSES ENJEKSİYON'!$L:$L, MATCH(1,('PROSES ENJEKSİYON'!$A:$A=$B$1)*('PROSES ENJEKSİYON'!$F:$F=A38),0)), "")</f>
        <v/>
      </c>
      <c r="C38" t="str" cm="1">
        <f t="array" ref="C38">IFERROR(INDEX('PROSES ENJEKSİYON'!$L:$L,MATCH(1,('PROSES ENJEKSİYON'!$A:$A=$C$1)*('PROSES ENJEKSİYON'!$F:$F=A38),0)),"")</f>
        <v/>
      </c>
      <c r="D38" t="str" cm="1">
        <f t="array" ref="D38">IFERROR(INDEX('PROSES ENJEKSİYON'!$L:$L,MATCH(1,('PROSES ENJEKSİYON'!$A:$A=$D$1)*('PROSES ENJEKSİYON'!$F:$F=A38),0)),"")</f>
        <v/>
      </c>
      <c r="E38" t="str" cm="1">
        <f t="array" ref="E38">IFERROR(INDEX('PROSES ENJEKSİYON'!$L:$L,MATCH(1,('PROSES ENJEKSİYON'!$A:$A=$E$1)*('PROSES ENJEKSİYON'!$F:$F=A38),0)),"")</f>
        <v/>
      </c>
      <c r="F38" t="str" cm="1">
        <f t="array" ref="F38">IFERROR(INDEX('PROSES ENJEKSİYON'!$L:$L,MATCH(1,('PROSES ENJEKSİYON'!$A:$A=$F$1)*('PROSES ENJEKSİYON'!$F:$F=A38),0)),"")</f>
        <v/>
      </c>
      <c r="G38" t="str" cm="1">
        <f t="array" ref="G38">IFERROR(INDEX('PROSES ENJEKSİYON'!$L:$L,MATCH(1,('PROSES ENJEKSİYON'!$A:$A=$G$1)*('PROSES ENJEKSİYON'!$F:$F=A38),0)),"")</f>
        <v/>
      </c>
      <c r="H38" t="str" cm="1">
        <f t="array" ref="H38">IFERROR(INDEX('PROSES ENJEKSİYON'!$L:$L,MATCH(1,('PROSES ENJEKSİYON'!$A:$A=$H$1)*('PROSES ENJEKSİYON'!$F:$F=A38),0)),"")</f>
        <v/>
      </c>
      <c r="I38" t="str" cm="1">
        <f t="array" ref="I38">IFERROR(INDEX('PROSES ENJEKSİYON'!$L:$L,MATCH(1,('PROSES ENJEKSİYON'!$A:$A=$I$1)*('PROSES ENJEKSİYON'!$F:$F=A38),0)),"")</f>
        <v/>
      </c>
      <c r="J38" t="str" cm="1">
        <f t="array" ref="J38">IFERROR(INDEX('PROSES ENJEKSİYON'!$L:$L,MATCH(1,('PROSES ENJEKSİYON'!$A:$A=$J$1)*('PROSES ENJEKSİYON'!$F:$F=A38),0)),"")</f>
        <v/>
      </c>
      <c r="K38" t="str" cm="1">
        <f t="array" ref="K38">IFERROR(INDEX('PROSES ENJEKSİYON'!$L:$L,MATCH(1,('PROSES ENJEKSİYON'!$A:$A=$K$1)*('PROSES ENJEKSİYON'!$F:$F=A38),0)),"")</f>
        <v/>
      </c>
      <c r="L38" t="str" cm="1">
        <f t="array" ref="L38">IFERROR(INDEX('PROSES ENJEKSİYON'!$L:$L,MATCH(1,('PROSES ENJEKSİYON'!$A:$A=$L$1)*('PROSES ENJEKSİYON'!$F:$F=A38),0)),"")</f>
        <v/>
      </c>
    </row>
    <row r="39" spans="1:12" x14ac:dyDescent="0.3">
      <c r="A39" s="3">
        <v>210</v>
      </c>
      <c r="B39" t="str" cm="1">
        <f t="array" ref="B39">IFERROR(INDEX('PROSES ENJEKSİYON'!$L:$L, MATCH(1,('PROSES ENJEKSİYON'!$A:$A=$B$1)*('PROSES ENJEKSİYON'!$F:$F=A39),0)), "")</f>
        <v/>
      </c>
      <c r="C39" t="str" cm="1">
        <f t="array" ref="C39">IFERROR(INDEX('PROSES ENJEKSİYON'!$L:$L,MATCH(1,('PROSES ENJEKSİYON'!$A:$A=$C$1)*('PROSES ENJEKSİYON'!$F:$F=A39),0)),"")</f>
        <v/>
      </c>
      <c r="D39" t="str" cm="1">
        <f t="array" ref="D39">IFERROR(INDEX('PROSES ENJEKSİYON'!$L:$L,MATCH(1,('PROSES ENJEKSİYON'!$A:$A=$D$1)*('PROSES ENJEKSİYON'!$F:$F=A39),0)),"")</f>
        <v/>
      </c>
      <c r="E39" t="str" cm="1">
        <f t="array" ref="E39">IFERROR(INDEX('PROSES ENJEKSİYON'!$L:$L,MATCH(1,('PROSES ENJEKSİYON'!$A:$A=$E$1)*('PROSES ENJEKSİYON'!$F:$F=A39),0)),"")</f>
        <v/>
      </c>
      <c r="F39" t="str" cm="1">
        <f t="array" ref="F39">IFERROR(INDEX('PROSES ENJEKSİYON'!$L:$L,MATCH(1,('PROSES ENJEKSİYON'!$A:$A=$F$1)*('PROSES ENJEKSİYON'!$F:$F=A39),0)),"")</f>
        <v/>
      </c>
      <c r="G39" t="str" cm="1">
        <f t="array" ref="G39">IFERROR(INDEX('PROSES ENJEKSİYON'!$L:$L,MATCH(1,('PROSES ENJEKSİYON'!$A:$A=$G$1)*('PROSES ENJEKSİYON'!$F:$F=A39),0)),"")</f>
        <v/>
      </c>
      <c r="H39" t="str" cm="1">
        <f t="array" ref="H39">IFERROR(INDEX('PROSES ENJEKSİYON'!$L:$L,MATCH(1,('PROSES ENJEKSİYON'!$A:$A=$H$1)*('PROSES ENJEKSİYON'!$F:$F=A39),0)),"")</f>
        <v/>
      </c>
      <c r="I39" t="str" cm="1">
        <f t="array" ref="I39">IFERROR(INDEX('PROSES ENJEKSİYON'!$L:$L,MATCH(1,('PROSES ENJEKSİYON'!$A:$A=$I$1)*('PROSES ENJEKSİYON'!$F:$F=A39),0)),"")</f>
        <v/>
      </c>
      <c r="J39" t="str" cm="1">
        <f t="array" ref="J39">IFERROR(INDEX('PROSES ENJEKSİYON'!$L:$L,MATCH(1,('PROSES ENJEKSİYON'!$A:$A=$J$1)*('PROSES ENJEKSİYON'!$F:$F=A39),0)),"")</f>
        <v/>
      </c>
      <c r="K39" t="str" cm="1">
        <f t="array" ref="K39">IFERROR(INDEX('PROSES ENJEKSİYON'!$L:$L,MATCH(1,('PROSES ENJEKSİYON'!$A:$A=$K$1)*('PROSES ENJEKSİYON'!$F:$F=A39),0)),"")</f>
        <v/>
      </c>
      <c r="L39" t="str" cm="1">
        <f t="array" ref="L39">IFERROR(INDEX('PROSES ENJEKSİYON'!$L:$L,MATCH(1,('PROSES ENJEKSİYON'!$A:$A=$L$1)*('PROSES ENJEKSİYON'!$F:$F=A39),0)),"")</f>
        <v/>
      </c>
    </row>
    <row r="40" spans="1:12" x14ac:dyDescent="0.3">
      <c r="A40" s="3">
        <v>301</v>
      </c>
      <c r="B40" t="str" cm="1">
        <f t="array" ref="B40">IFERROR(INDEX('PROSES ENJEKSİYON'!$L:$L, MATCH(1,('PROSES ENJEKSİYON'!$A:$A=$B$1)*('PROSES ENJEKSİYON'!$F:$F=A40),0)), "")</f>
        <v/>
      </c>
      <c r="C40" t="str" cm="1">
        <f t="array" ref="C40">IFERROR(INDEX('PROSES ENJEKSİYON'!$L:$L,MATCH(1,('PROSES ENJEKSİYON'!$A:$A=$C$1)*('PROSES ENJEKSİYON'!$F:$F=A40),0)),"")</f>
        <v/>
      </c>
      <c r="D40" t="str" cm="1">
        <f t="array" ref="D40">IFERROR(INDEX('PROSES ENJEKSİYON'!$L:$L,MATCH(1,('PROSES ENJEKSİYON'!$A:$A=$D$1)*('PROSES ENJEKSİYON'!$F:$F=A40),0)),"")</f>
        <v/>
      </c>
      <c r="E40" t="str" cm="1">
        <f t="array" ref="E40">IFERROR(INDEX('PROSES ENJEKSİYON'!$L:$L,MATCH(1,('PROSES ENJEKSİYON'!$A:$A=$E$1)*('PROSES ENJEKSİYON'!$F:$F=A40),0)),"")</f>
        <v/>
      </c>
      <c r="F40" t="str" cm="1">
        <f t="array" ref="F40">IFERROR(INDEX('PROSES ENJEKSİYON'!$L:$L,MATCH(1,('PROSES ENJEKSİYON'!$A:$A=$F$1)*('PROSES ENJEKSİYON'!$F:$F=A40),0)),"")</f>
        <v/>
      </c>
      <c r="G40" t="str" cm="1">
        <f t="array" ref="G40">IFERROR(INDEX('PROSES ENJEKSİYON'!$L:$L,MATCH(1,('PROSES ENJEKSİYON'!$A:$A=$G$1)*('PROSES ENJEKSİYON'!$F:$F=A40),0)),"")</f>
        <v/>
      </c>
      <c r="H40" t="str" cm="1">
        <f t="array" ref="H40">IFERROR(INDEX('PROSES ENJEKSİYON'!$L:$L,MATCH(1,('PROSES ENJEKSİYON'!$A:$A=$H$1)*('PROSES ENJEKSİYON'!$F:$F=A40),0)),"")</f>
        <v/>
      </c>
      <c r="I40" t="str" cm="1">
        <f t="array" ref="I40">IFERROR(INDEX('PROSES ENJEKSİYON'!$L:$L,MATCH(1,('PROSES ENJEKSİYON'!$A:$A=$I$1)*('PROSES ENJEKSİYON'!$F:$F=A40),0)),"")</f>
        <v/>
      </c>
      <c r="J40" t="str" cm="1">
        <f t="array" ref="J40">IFERROR(INDEX('PROSES ENJEKSİYON'!$L:$L,MATCH(1,('PROSES ENJEKSİYON'!$A:$A=$J$1)*('PROSES ENJEKSİYON'!$F:$F=A40),0)),"")</f>
        <v/>
      </c>
      <c r="K40" t="str" cm="1">
        <f t="array" ref="K40">IFERROR(INDEX('PROSES ENJEKSİYON'!$L:$L,MATCH(1,('PROSES ENJEKSİYON'!$A:$A=$K$1)*('PROSES ENJEKSİYON'!$F:$F=A40),0)),"")</f>
        <v/>
      </c>
      <c r="L40" t="str" cm="1">
        <f t="array" ref="L40">IFERROR(INDEX('PROSES ENJEKSİYON'!$L:$L,MATCH(1,('PROSES ENJEKSİYON'!$A:$A=$L$1)*('PROSES ENJEKSİYON'!$F:$F=A40),0)),"")</f>
        <v/>
      </c>
    </row>
    <row r="41" spans="1:12" x14ac:dyDescent="0.3">
      <c r="A41" s="3">
        <v>302</v>
      </c>
      <c r="B41" t="str" cm="1">
        <f t="array" ref="B41">IFERROR(INDEX('PROSES ENJEKSİYON'!$L:$L, MATCH(1,('PROSES ENJEKSİYON'!$A:$A=$B$1)*('PROSES ENJEKSİYON'!$F:$F=A41),0)), "")</f>
        <v/>
      </c>
      <c r="C41" t="str" cm="1">
        <f t="array" ref="C41">IFERROR(INDEX('PROSES ENJEKSİYON'!$L:$L,MATCH(1,('PROSES ENJEKSİYON'!$A:$A=$C$1)*('PROSES ENJEKSİYON'!$F:$F=A41),0)),"")</f>
        <v/>
      </c>
      <c r="D41" t="str" cm="1">
        <f t="array" ref="D41">IFERROR(INDEX('PROSES ENJEKSİYON'!$L:$L,MATCH(1,('PROSES ENJEKSİYON'!$A:$A=$D$1)*('PROSES ENJEKSİYON'!$F:$F=A41),0)),"")</f>
        <v/>
      </c>
      <c r="E41" t="str" cm="1">
        <f t="array" ref="E41">IFERROR(INDEX('PROSES ENJEKSİYON'!$L:$L,MATCH(1,('PROSES ENJEKSİYON'!$A:$A=$E$1)*('PROSES ENJEKSİYON'!$F:$F=A41),0)),"")</f>
        <v/>
      </c>
      <c r="F41" t="str" cm="1">
        <f t="array" ref="F41">IFERROR(INDEX('PROSES ENJEKSİYON'!$L:$L,MATCH(1,('PROSES ENJEKSİYON'!$A:$A=$F$1)*('PROSES ENJEKSİYON'!$F:$F=A41),0)),"")</f>
        <v/>
      </c>
      <c r="G41" t="str" cm="1">
        <f t="array" ref="G41">IFERROR(INDEX('PROSES ENJEKSİYON'!$L:$L,MATCH(1,('PROSES ENJEKSİYON'!$A:$A=$G$1)*('PROSES ENJEKSİYON'!$F:$F=A41),0)),"")</f>
        <v/>
      </c>
      <c r="H41" t="str" cm="1">
        <f t="array" ref="H41">IFERROR(INDEX('PROSES ENJEKSİYON'!$L:$L,MATCH(1,('PROSES ENJEKSİYON'!$A:$A=$H$1)*('PROSES ENJEKSİYON'!$F:$F=A41),0)),"")</f>
        <v/>
      </c>
      <c r="I41" t="str" cm="1">
        <f t="array" ref="I41">IFERROR(INDEX('PROSES ENJEKSİYON'!$L:$L,MATCH(1,('PROSES ENJEKSİYON'!$A:$A=$I$1)*('PROSES ENJEKSİYON'!$F:$F=A41),0)),"")</f>
        <v/>
      </c>
      <c r="J41" t="str" cm="1">
        <f t="array" ref="J41">IFERROR(INDEX('PROSES ENJEKSİYON'!$L:$L,MATCH(1,('PROSES ENJEKSİYON'!$A:$A=$J$1)*('PROSES ENJEKSİYON'!$F:$F=A41),0)),"")</f>
        <v/>
      </c>
      <c r="K41" t="str" cm="1">
        <f t="array" ref="K41">IFERROR(INDEX('PROSES ENJEKSİYON'!$L:$L,MATCH(1,('PROSES ENJEKSİYON'!$A:$A=$K$1)*('PROSES ENJEKSİYON'!$F:$F=A41),0)),"")</f>
        <v/>
      </c>
      <c r="L41" t="str" cm="1">
        <f t="array" ref="L41">IFERROR(INDEX('PROSES ENJEKSİYON'!$L:$L,MATCH(1,('PROSES ENJEKSİYON'!$A:$A=$L$1)*('PROSES ENJEKSİYON'!$F:$F=A41),0)),"")</f>
        <v/>
      </c>
    </row>
    <row r="42" spans="1:12" x14ac:dyDescent="0.3">
      <c r="A42" s="3">
        <v>303</v>
      </c>
      <c r="B42" t="str" cm="1">
        <f t="array" ref="B42">IFERROR(INDEX('PROSES ENJEKSİYON'!$L:$L, MATCH(1,('PROSES ENJEKSİYON'!$A:$A=$B$1)*('PROSES ENJEKSİYON'!$F:$F=A42),0)), "")</f>
        <v/>
      </c>
      <c r="C42" t="str" cm="1">
        <f t="array" ref="C42">IFERROR(INDEX('PROSES ENJEKSİYON'!$L:$L,MATCH(1,('PROSES ENJEKSİYON'!$A:$A=$C$1)*('PROSES ENJEKSİYON'!$F:$F=A42),0)),"")</f>
        <v/>
      </c>
      <c r="D42" t="str" cm="1">
        <f t="array" ref="D42">IFERROR(INDEX('PROSES ENJEKSİYON'!$L:$L,MATCH(1,('PROSES ENJEKSİYON'!$A:$A=$D$1)*('PROSES ENJEKSİYON'!$F:$F=A42),0)),"")</f>
        <v/>
      </c>
      <c r="E42" t="str" cm="1">
        <f t="array" ref="E42">IFERROR(INDEX('PROSES ENJEKSİYON'!$L:$L,MATCH(1,('PROSES ENJEKSİYON'!$A:$A=$E$1)*('PROSES ENJEKSİYON'!$F:$F=A42),0)),"")</f>
        <v/>
      </c>
      <c r="F42" t="str" cm="1">
        <f t="array" ref="F42">IFERROR(INDEX('PROSES ENJEKSİYON'!$L:$L,MATCH(1,('PROSES ENJEKSİYON'!$A:$A=$F$1)*('PROSES ENJEKSİYON'!$F:$F=A42),0)),"")</f>
        <v/>
      </c>
      <c r="G42" t="str" cm="1">
        <f t="array" ref="G42">IFERROR(INDEX('PROSES ENJEKSİYON'!$L:$L,MATCH(1,('PROSES ENJEKSİYON'!$A:$A=$G$1)*('PROSES ENJEKSİYON'!$F:$F=A42),0)),"")</f>
        <v/>
      </c>
      <c r="H42" t="str" cm="1">
        <f t="array" ref="H42">IFERROR(INDEX('PROSES ENJEKSİYON'!$L:$L,MATCH(1,('PROSES ENJEKSİYON'!$A:$A=$H$1)*('PROSES ENJEKSİYON'!$F:$F=A42),0)),"")</f>
        <v/>
      </c>
      <c r="I42" t="str" cm="1">
        <f t="array" ref="I42">IFERROR(INDEX('PROSES ENJEKSİYON'!$L:$L,MATCH(1,('PROSES ENJEKSİYON'!$A:$A=$I$1)*('PROSES ENJEKSİYON'!$F:$F=A42),0)),"")</f>
        <v/>
      </c>
      <c r="J42" t="str" cm="1">
        <f t="array" ref="J42">IFERROR(INDEX('PROSES ENJEKSİYON'!$L:$L,MATCH(1,('PROSES ENJEKSİYON'!$A:$A=$J$1)*('PROSES ENJEKSİYON'!$F:$F=A42),0)),"")</f>
        <v/>
      </c>
      <c r="K42" t="str" cm="1">
        <f t="array" ref="K42">IFERROR(INDEX('PROSES ENJEKSİYON'!$L:$L,MATCH(1,('PROSES ENJEKSİYON'!$A:$A=$K$1)*('PROSES ENJEKSİYON'!$F:$F=A42),0)),"")</f>
        <v/>
      </c>
      <c r="L42" t="str" cm="1">
        <f t="array" ref="L42">IFERROR(INDEX('PROSES ENJEKSİYON'!$L:$L,MATCH(1,('PROSES ENJEKSİYON'!$A:$A=$L$1)*('PROSES ENJEKSİYON'!$F:$F=A42),0)),"")</f>
        <v/>
      </c>
    </row>
    <row r="43" spans="1:12" x14ac:dyDescent="0.3">
      <c r="A43" s="3">
        <v>505</v>
      </c>
      <c r="B43" t="str" cm="1">
        <f t="array" ref="B43">IFERROR(INDEX('PROSES ENJEKSİYON'!$L:$L, MATCH(1,('PROSES ENJEKSİYON'!$A:$A=$B$1)*('PROSES ENJEKSİYON'!$F:$F=A43),0)), "")</f>
        <v/>
      </c>
      <c r="C43" t="str" cm="1">
        <f t="array" ref="C43">IFERROR(INDEX('PROSES ENJEKSİYON'!$L:$L,MATCH(1,('PROSES ENJEKSİYON'!$A:$A=$C$1)*('PROSES ENJEKSİYON'!$F:$F=A43),0)),"")</f>
        <v/>
      </c>
      <c r="D43" t="str" cm="1">
        <f t="array" ref="D43">IFERROR(INDEX('PROSES ENJEKSİYON'!$L:$L,MATCH(1,('PROSES ENJEKSİYON'!$A:$A=$D$1)*('PROSES ENJEKSİYON'!$F:$F=A43),0)),"")</f>
        <v/>
      </c>
      <c r="E43" t="str" cm="1">
        <f t="array" ref="E43">IFERROR(INDEX('PROSES ENJEKSİYON'!$L:$L,MATCH(1,('PROSES ENJEKSİYON'!$A:$A=$E$1)*('PROSES ENJEKSİYON'!$F:$F=A43),0)),"")</f>
        <v/>
      </c>
      <c r="F43" t="str" cm="1">
        <f t="array" ref="F43">IFERROR(INDEX('PROSES ENJEKSİYON'!$L:$L,MATCH(1,('PROSES ENJEKSİYON'!$A:$A=$F$1)*('PROSES ENJEKSİYON'!$F:$F=A43),0)),"")</f>
        <v/>
      </c>
      <c r="G43" t="str" cm="1">
        <f t="array" ref="G43">IFERROR(INDEX('PROSES ENJEKSİYON'!$L:$L,MATCH(1,('PROSES ENJEKSİYON'!$A:$A=$G$1)*('PROSES ENJEKSİYON'!$F:$F=A43),0)),"")</f>
        <v/>
      </c>
      <c r="H43" t="str" cm="1">
        <f t="array" ref="H43">IFERROR(INDEX('PROSES ENJEKSİYON'!$L:$L,MATCH(1,('PROSES ENJEKSİYON'!$A:$A=$H$1)*('PROSES ENJEKSİYON'!$F:$F=A43),0)),"")</f>
        <v/>
      </c>
      <c r="I43" t="str" cm="1">
        <f t="array" ref="I43">IFERROR(INDEX('PROSES ENJEKSİYON'!$L:$L,MATCH(1,('PROSES ENJEKSİYON'!$A:$A=$I$1)*('PROSES ENJEKSİYON'!$F:$F=A43),0)),"")</f>
        <v/>
      </c>
      <c r="J43" t="str" cm="1">
        <f t="array" ref="J43">IFERROR(INDEX('PROSES ENJEKSİYON'!$L:$L,MATCH(1,('PROSES ENJEKSİYON'!$A:$A=$J$1)*('PROSES ENJEKSİYON'!$F:$F=A43),0)),"")</f>
        <v/>
      </c>
      <c r="K43" t="str" cm="1">
        <f t="array" ref="K43">IFERROR(INDEX('PROSES ENJEKSİYON'!$L:$L,MATCH(1,('PROSES ENJEKSİYON'!$A:$A=$K$1)*('PROSES ENJEKSİYON'!$F:$F=A43),0)),"")</f>
        <v/>
      </c>
      <c r="L43" t="str" cm="1">
        <f t="array" ref="L43">IFERROR(INDEX('PROSES ENJEKSİYON'!$L:$L,MATCH(1,('PROSES ENJEKSİYON'!$A:$A=$L$1)*('PROSES ENJEKSİYON'!$F:$F=A43),0)),"")</f>
        <v/>
      </c>
    </row>
    <row r="44" spans="1:12" x14ac:dyDescent="0.3">
      <c r="A44" s="3">
        <v>501</v>
      </c>
      <c r="B44" t="str" cm="1">
        <f t="array" ref="B44">IFERROR(INDEX('PROSES ENJEKSİYON'!$L:$L, MATCH(1,('PROSES ENJEKSİYON'!$A:$A=$B$1)*('PROSES ENJEKSİYON'!$F:$F=A44),0)), "")</f>
        <v/>
      </c>
      <c r="C44" t="str" cm="1">
        <f t="array" ref="C44">IFERROR(INDEX('PROSES ENJEKSİYON'!$L:$L,MATCH(1,('PROSES ENJEKSİYON'!$A:$A=$C$1)*('PROSES ENJEKSİYON'!$F:$F=A44),0)),"")</f>
        <v/>
      </c>
      <c r="D44" t="str" cm="1">
        <f t="array" ref="D44">IFERROR(INDEX('PROSES ENJEKSİYON'!$L:$L,MATCH(1,('PROSES ENJEKSİYON'!$A:$A=$D$1)*('PROSES ENJEKSİYON'!$F:$F=A44),0)),"")</f>
        <v/>
      </c>
      <c r="E44" t="str" cm="1">
        <f t="array" ref="E44">IFERROR(INDEX('PROSES ENJEKSİYON'!$L:$L,MATCH(1,('PROSES ENJEKSİYON'!$A:$A=$E$1)*('PROSES ENJEKSİYON'!$F:$F=A44),0)),"")</f>
        <v/>
      </c>
      <c r="F44" t="str" cm="1">
        <f t="array" ref="F44">IFERROR(INDEX('PROSES ENJEKSİYON'!$L:$L,MATCH(1,('PROSES ENJEKSİYON'!$A:$A=$F$1)*('PROSES ENJEKSİYON'!$F:$F=A44),0)),"")</f>
        <v/>
      </c>
      <c r="G44" t="str" cm="1">
        <f t="array" ref="G44">IFERROR(INDEX('PROSES ENJEKSİYON'!$L:$L,MATCH(1,('PROSES ENJEKSİYON'!$A:$A=$G$1)*('PROSES ENJEKSİYON'!$F:$F=A44),0)),"")</f>
        <v/>
      </c>
      <c r="H44" t="str" cm="1">
        <f t="array" ref="H44">IFERROR(INDEX('PROSES ENJEKSİYON'!$L:$L,MATCH(1,('PROSES ENJEKSİYON'!$A:$A=$H$1)*('PROSES ENJEKSİYON'!$F:$F=A44),0)),"")</f>
        <v/>
      </c>
      <c r="I44" t="str" cm="1">
        <f t="array" ref="I44">IFERROR(INDEX('PROSES ENJEKSİYON'!$L:$L,MATCH(1,('PROSES ENJEKSİYON'!$A:$A=$I$1)*('PROSES ENJEKSİYON'!$F:$F=A44),0)),"")</f>
        <v/>
      </c>
      <c r="J44" t="str" cm="1">
        <f t="array" ref="J44">IFERROR(INDEX('PROSES ENJEKSİYON'!$L:$L,MATCH(1,('PROSES ENJEKSİYON'!$A:$A=$J$1)*('PROSES ENJEKSİYON'!$F:$F=A44),0)),"")</f>
        <v/>
      </c>
      <c r="K44" t="str" cm="1">
        <f t="array" ref="K44">IFERROR(INDEX('PROSES ENJEKSİYON'!$L:$L,MATCH(1,('PROSES ENJEKSİYON'!$A:$A=$K$1)*('PROSES ENJEKSİYON'!$F:$F=A44),0)),"")</f>
        <v/>
      </c>
      <c r="L44" t="str" cm="1">
        <f t="array" ref="L44">IFERROR(INDEX('PROSES ENJEKSİYON'!$L:$L,MATCH(1,('PROSES ENJEKSİYON'!$A:$A=$L$1)*('PROSES ENJEKSİYON'!$F:$F=A44),0)),"")</f>
        <v/>
      </c>
    </row>
    <row r="45" spans="1:12" x14ac:dyDescent="0.3">
      <c r="A45" s="3">
        <v>502</v>
      </c>
      <c r="B45" t="str" cm="1">
        <f t="array" ref="B45">IFERROR(INDEX('PROSES ENJEKSİYON'!$L:$L, MATCH(1,('PROSES ENJEKSİYON'!$A:$A=$B$1)*('PROSES ENJEKSİYON'!$F:$F=A45),0)), "")</f>
        <v/>
      </c>
      <c r="C45" t="str" cm="1">
        <f t="array" ref="C45">IFERROR(INDEX('PROSES ENJEKSİYON'!$L:$L,MATCH(1,('PROSES ENJEKSİYON'!$A:$A=$C$1)*('PROSES ENJEKSİYON'!$F:$F=A45),0)),"")</f>
        <v/>
      </c>
      <c r="D45" t="str" cm="1">
        <f t="array" ref="D45">IFERROR(INDEX('PROSES ENJEKSİYON'!$L:$L,MATCH(1,('PROSES ENJEKSİYON'!$A:$A=$D$1)*('PROSES ENJEKSİYON'!$F:$F=A45),0)),"")</f>
        <v/>
      </c>
      <c r="E45" t="str" cm="1">
        <f t="array" ref="E45">IFERROR(INDEX('PROSES ENJEKSİYON'!$L:$L,MATCH(1,('PROSES ENJEKSİYON'!$A:$A=$E$1)*('PROSES ENJEKSİYON'!$F:$F=A45),0)),"")</f>
        <v/>
      </c>
      <c r="F45" t="str" cm="1">
        <f t="array" ref="F45">IFERROR(INDEX('PROSES ENJEKSİYON'!$L:$L,MATCH(1,('PROSES ENJEKSİYON'!$A:$A=$F$1)*('PROSES ENJEKSİYON'!$F:$F=A45),0)),"")</f>
        <v/>
      </c>
      <c r="G45" t="str" cm="1">
        <f t="array" ref="G45">IFERROR(INDEX('PROSES ENJEKSİYON'!$L:$L,MATCH(1,('PROSES ENJEKSİYON'!$A:$A=$G$1)*('PROSES ENJEKSİYON'!$F:$F=A45),0)),"")</f>
        <v/>
      </c>
      <c r="H45" t="str" cm="1">
        <f t="array" ref="H45">IFERROR(INDEX('PROSES ENJEKSİYON'!$L:$L,MATCH(1,('PROSES ENJEKSİYON'!$A:$A=$H$1)*('PROSES ENJEKSİYON'!$F:$F=A45),0)),"")</f>
        <v/>
      </c>
      <c r="I45" t="str" cm="1">
        <f t="array" ref="I45">IFERROR(INDEX('PROSES ENJEKSİYON'!$L:$L,MATCH(1,('PROSES ENJEKSİYON'!$A:$A=$I$1)*('PROSES ENJEKSİYON'!$F:$F=A45),0)),"")</f>
        <v/>
      </c>
      <c r="J45" t="str" cm="1">
        <f t="array" ref="J45">IFERROR(INDEX('PROSES ENJEKSİYON'!$L:$L,MATCH(1,('PROSES ENJEKSİYON'!$A:$A=$J$1)*('PROSES ENJEKSİYON'!$F:$F=A45),0)),"")</f>
        <v/>
      </c>
      <c r="K45" t="str" cm="1">
        <f t="array" ref="K45">IFERROR(INDEX('PROSES ENJEKSİYON'!$L:$L,MATCH(1,('PROSES ENJEKSİYON'!$A:$A=$K$1)*('PROSES ENJEKSİYON'!$F:$F=A45),0)),"")</f>
        <v/>
      </c>
      <c r="L45" t="str" cm="1">
        <f t="array" ref="L45">IFERROR(INDEX('PROSES ENJEKSİYON'!$L:$L,MATCH(1,('PROSES ENJEKSİYON'!$A:$A=$L$1)*('PROSES ENJEKSİYON'!$F:$F=A45),0)),"")</f>
        <v/>
      </c>
    </row>
    <row r="46" spans="1:12" x14ac:dyDescent="0.3">
      <c r="A46" s="3">
        <v>503</v>
      </c>
      <c r="B46" t="str" cm="1">
        <f t="array" ref="B46">IFERROR(INDEX('PROSES ENJEKSİYON'!$L:$L, MATCH(1,('PROSES ENJEKSİYON'!$A:$A=$B$1)*('PROSES ENJEKSİYON'!$F:$F=A46),0)), "")</f>
        <v/>
      </c>
      <c r="C46" t="str" cm="1">
        <f t="array" ref="C46">IFERROR(INDEX('PROSES ENJEKSİYON'!$L:$L,MATCH(1,('PROSES ENJEKSİYON'!$A:$A=$C$1)*('PROSES ENJEKSİYON'!$F:$F=A46),0)),"")</f>
        <v/>
      </c>
      <c r="D46" t="str" cm="1">
        <f t="array" ref="D46">IFERROR(INDEX('PROSES ENJEKSİYON'!$L:$L,MATCH(1,('PROSES ENJEKSİYON'!$A:$A=$D$1)*('PROSES ENJEKSİYON'!$F:$F=A46),0)),"")</f>
        <v/>
      </c>
      <c r="E46" t="str" cm="1">
        <f t="array" ref="E46">IFERROR(INDEX('PROSES ENJEKSİYON'!$L:$L,MATCH(1,('PROSES ENJEKSİYON'!$A:$A=$E$1)*('PROSES ENJEKSİYON'!$F:$F=A46),0)),"")</f>
        <v/>
      </c>
      <c r="F46" t="str" cm="1">
        <f t="array" ref="F46">IFERROR(INDEX('PROSES ENJEKSİYON'!$L:$L,MATCH(1,('PROSES ENJEKSİYON'!$A:$A=$F$1)*('PROSES ENJEKSİYON'!$F:$F=A46),0)),"")</f>
        <v/>
      </c>
      <c r="G46" t="str" cm="1">
        <f t="array" ref="G46">IFERROR(INDEX('PROSES ENJEKSİYON'!$L:$L,MATCH(1,('PROSES ENJEKSİYON'!$A:$A=$G$1)*('PROSES ENJEKSİYON'!$F:$F=A46),0)),"")</f>
        <v/>
      </c>
      <c r="H46" t="str" cm="1">
        <f t="array" ref="H46">IFERROR(INDEX('PROSES ENJEKSİYON'!$L:$L,MATCH(1,('PROSES ENJEKSİYON'!$A:$A=$H$1)*('PROSES ENJEKSİYON'!$F:$F=A46),0)),"")</f>
        <v/>
      </c>
      <c r="I46" t="str" cm="1">
        <f t="array" ref="I46">IFERROR(INDEX('PROSES ENJEKSİYON'!$L:$L,MATCH(1,('PROSES ENJEKSİYON'!$A:$A=$I$1)*('PROSES ENJEKSİYON'!$F:$F=A46),0)),"")</f>
        <v/>
      </c>
      <c r="J46" t="str" cm="1">
        <f t="array" ref="J46">IFERROR(INDEX('PROSES ENJEKSİYON'!$L:$L,MATCH(1,('PROSES ENJEKSİYON'!$A:$A=$J$1)*('PROSES ENJEKSİYON'!$F:$F=A46),0)),"")</f>
        <v/>
      </c>
      <c r="K46" t="str" cm="1">
        <f t="array" ref="K46">IFERROR(INDEX('PROSES ENJEKSİYON'!$L:$L,MATCH(1,('PROSES ENJEKSİYON'!$A:$A=$K$1)*('PROSES ENJEKSİYON'!$F:$F=A46),0)),"")</f>
        <v/>
      </c>
      <c r="L46" t="str" cm="1">
        <f t="array" ref="L46">IFERROR(INDEX('PROSES ENJEKSİYON'!$L:$L,MATCH(1,('PROSES ENJEKSİYON'!$A:$A=$L$1)*('PROSES ENJEKSİYON'!$F:$F=A46),0)),"")</f>
        <v/>
      </c>
    </row>
  </sheetData>
  <autoFilter ref="A1:L1" xr:uid="{2183112B-A569-4266-B22A-E3B965AEA75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1BDE-584B-40D0-93AD-EF4421D7397D}">
  <dimension ref="A1:Z1482"/>
  <sheetViews>
    <sheetView zoomScale="80" zoomScaleNormal="80" zoomScaleSheetLayoutView="80" workbookViewId="0">
      <pane ySplit="1" topLeftCell="A1462" activePane="bottomLeft" state="frozen"/>
      <selection pane="bottomLeft" activeCell="A1483" sqref="A1483:XFD1483"/>
    </sheetView>
  </sheetViews>
  <sheetFormatPr defaultColWidth="8.88671875" defaultRowHeight="10.199999999999999" x14ac:dyDescent="0.3"/>
  <cols>
    <col min="1" max="1" width="9.6640625" style="4" bestFit="1" customWidth="1"/>
    <col min="2" max="2" width="7.6640625" style="4" customWidth="1"/>
    <col min="3" max="4" width="9" style="4" bestFit="1" customWidth="1"/>
    <col min="5" max="5" width="5.6640625" style="4" bestFit="1" customWidth="1"/>
    <col min="6" max="6" width="6.5546875" style="4" customWidth="1"/>
    <col min="7" max="7" width="47.6640625" style="8" bestFit="1" customWidth="1"/>
    <col min="8" max="8" width="10.33203125" style="4" customWidth="1"/>
    <col min="9" max="9" width="15.109375" style="8" bestFit="1" customWidth="1"/>
    <col min="10" max="10" width="8" style="4" customWidth="1"/>
    <col min="11" max="11" width="8.88671875" style="4" customWidth="1"/>
    <col min="12" max="12" width="10.44140625" style="4" customWidth="1"/>
    <col min="13" max="13" width="9.6640625" style="4" customWidth="1"/>
    <col min="14" max="14" width="10" style="4" customWidth="1"/>
    <col min="15" max="15" width="9.44140625" style="4" customWidth="1"/>
    <col min="16" max="16" width="10.6640625" style="4" customWidth="1"/>
    <col min="17" max="17" width="8.44140625" style="4" customWidth="1"/>
    <col min="18" max="18" width="16.6640625" style="4" customWidth="1"/>
    <col min="19" max="19" width="22.5546875" style="4" customWidth="1"/>
    <col min="20" max="20" width="8" style="4" customWidth="1"/>
    <col min="21" max="22" width="7.33203125" style="4" customWidth="1"/>
    <col min="23" max="23" width="8.109375" style="4" customWidth="1"/>
    <col min="24" max="24" width="23.6640625" style="4" customWidth="1"/>
    <col min="25" max="25" width="42.33203125" style="4" customWidth="1"/>
    <col min="26" max="16384" width="8.88671875" style="4"/>
  </cols>
  <sheetData>
    <row r="1" spans="1:25" ht="24" customHeight="1" x14ac:dyDescent="0.3">
      <c r="A1" s="1" t="s">
        <v>0</v>
      </c>
      <c r="B1" s="1" t="s">
        <v>270</v>
      </c>
      <c r="C1" s="1" t="s">
        <v>37</v>
      </c>
      <c r="D1" s="1" t="s">
        <v>35</v>
      </c>
      <c r="E1" s="1" t="s">
        <v>1</v>
      </c>
      <c r="F1" s="1" t="s">
        <v>3</v>
      </c>
      <c r="G1" s="2" t="s">
        <v>4</v>
      </c>
      <c r="H1" s="1" t="s">
        <v>2</v>
      </c>
      <c r="I1" s="2" t="s">
        <v>48</v>
      </c>
      <c r="J1" s="1" t="s">
        <v>42</v>
      </c>
      <c r="K1" s="1" t="s">
        <v>43</v>
      </c>
      <c r="L1" s="1" t="s">
        <v>41</v>
      </c>
      <c r="M1" s="1" t="s">
        <v>40</v>
      </c>
      <c r="N1" s="1" t="s">
        <v>56</v>
      </c>
      <c r="O1" s="1" t="s">
        <v>39</v>
      </c>
      <c r="P1" s="1" t="s">
        <v>44</v>
      </c>
      <c r="Q1" s="1" t="s">
        <v>45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46</v>
      </c>
      <c r="Y1" s="1" t="s">
        <v>47</v>
      </c>
    </row>
    <row r="2" spans="1:25" ht="15" customHeight="1" x14ac:dyDescent="0.3">
      <c r="A2" s="5">
        <v>45841</v>
      </c>
      <c r="B2" s="5"/>
      <c r="C2" s="3" t="s">
        <v>38</v>
      </c>
      <c r="D2" s="3" t="s">
        <v>36</v>
      </c>
      <c r="E2" s="3">
        <v>2</v>
      </c>
      <c r="F2" s="3">
        <v>101</v>
      </c>
      <c r="G2" s="6" t="s">
        <v>6</v>
      </c>
      <c r="H2" s="3">
        <v>18370</v>
      </c>
      <c r="I2" s="6" t="s">
        <v>5</v>
      </c>
      <c r="J2" s="3">
        <v>4</v>
      </c>
      <c r="K2" s="3">
        <v>4</v>
      </c>
      <c r="L2" s="3">
        <v>12.27</v>
      </c>
      <c r="M2" s="3">
        <v>3.6</v>
      </c>
      <c r="N2" s="3">
        <v>5.5</v>
      </c>
      <c r="O2" s="3">
        <v>4</v>
      </c>
      <c r="P2" s="3">
        <v>56</v>
      </c>
      <c r="Q2" s="3">
        <v>170</v>
      </c>
      <c r="R2" s="3"/>
      <c r="S2" s="3"/>
      <c r="T2" s="3"/>
      <c r="U2" s="3"/>
      <c r="V2" s="3"/>
      <c r="W2" s="3"/>
      <c r="X2" s="3" t="s">
        <v>78</v>
      </c>
      <c r="Y2" s="3" t="s">
        <v>79</v>
      </c>
    </row>
    <row r="3" spans="1:25" ht="15" customHeight="1" x14ac:dyDescent="0.3">
      <c r="A3" s="5">
        <v>45841</v>
      </c>
      <c r="B3" s="5"/>
      <c r="C3" s="3" t="s">
        <v>38</v>
      </c>
      <c r="D3" s="3" t="s">
        <v>36</v>
      </c>
      <c r="E3" s="3">
        <v>2</v>
      </c>
      <c r="F3" s="3">
        <v>161</v>
      </c>
      <c r="G3" s="6" t="s">
        <v>8</v>
      </c>
      <c r="H3" s="3">
        <v>18367</v>
      </c>
      <c r="I3" s="6" t="s">
        <v>49</v>
      </c>
      <c r="J3" s="3">
        <v>2</v>
      </c>
      <c r="K3" s="3">
        <v>2</v>
      </c>
      <c r="L3" s="3">
        <v>21</v>
      </c>
      <c r="M3" s="3">
        <v>8</v>
      </c>
      <c r="N3" s="3">
        <v>8.5</v>
      </c>
      <c r="O3" s="3">
        <v>2.8</v>
      </c>
      <c r="P3" s="3"/>
      <c r="Q3" s="3">
        <v>170</v>
      </c>
      <c r="R3" s="3"/>
      <c r="S3" s="3"/>
      <c r="T3" s="3"/>
      <c r="U3" s="3"/>
      <c r="V3" s="3"/>
      <c r="W3" s="3"/>
      <c r="X3" s="3" t="s">
        <v>80</v>
      </c>
      <c r="Y3" s="3" t="s">
        <v>81</v>
      </c>
    </row>
    <row r="4" spans="1:25" ht="15" customHeight="1" x14ac:dyDescent="0.3">
      <c r="A4" s="5">
        <v>45841</v>
      </c>
      <c r="B4" s="5"/>
      <c r="C4" s="3" t="s">
        <v>38</v>
      </c>
      <c r="D4" s="3" t="s">
        <v>36</v>
      </c>
      <c r="E4" s="3">
        <v>2</v>
      </c>
      <c r="F4" s="3">
        <v>162</v>
      </c>
      <c r="G4" s="7" t="s">
        <v>9</v>
      </c>
      <c r="H4" s="3">
        <v>18356</v>
      </c>
      <c r="I4" s="6" t="s">
        <v>49</v>
      </c>
      <c r="J4" s="3">
        <v>2</v>
      </c>
      <c r="K4" s="3">
        <v>2</v>
      </c>
      <c r="L4" s="3">
        <v>21.3</v>
      </c>
      <c r="M4" s="3">
        <v>3.5</v>
      </c>
      <c r="N4" s="3">
        <v>6</v>
      </c>
      <c r="O4" s="3">
        <v>3.25</v>
      </c>
      <c r="P4" s="3">
        <v>20</v>
      </c>
      <c r="Q4" s="3">
        <v>170</v>
      </c>
      <c r="R4" s="3"/>
      <c r="S4" s="3"/>
      <c r="T4" s="3"/>
      <c r="U4" s="3"/>
      <c r="V4" s="3"/>
      <c r="W4" s="3"/>
      <c r="X4" s="3" t="s">
        <v>82</v>
      </c>
      <c r="Y4" s="3" t="s">
        <v>83</v>
      </c>
    </row>
    <row r="5" spans="1:25" ht="15" customHeight="1" x14ac:dyDescent="0.3">
      <c r="A5" s="5">
        <v>45841</v>
      </c>
      <c r="B5" s="5"/>
      <c r="C5" s="3" t="s">
        <v>38</v>
      </c>
      <c r="D5" s="3" t="s">
        <v>36</v>
      </c>
      <c r="E5" s="3">
        <v>2</v>
      </c>
      <c r="F5" s="3">
        <v>163</v>
      </c>
      <c r="G5" s="6" t="s">
        <v>10</v>
      </c>
      <c r="H5" s="3">
        <v>18360</v>
      </c>
      <c r="I5" s="6" t="s">
        <v>49</v>
      </c>
      <c r="J5" s="3">
        <v>2</v>
      </c>
      <c r="K5" s="3">
        <v>2</v>
      </c>
      <c r="L5" s="3">
        <v>23.09</v>
      </c>
      <c r="M5" s="3">
        <v>5.4</v>
      </c>
      <c r="N5" s="3">
        <v>7.5</v>
      </c>
      <c r="O5" s="3">
        <v>4</v>
      </c>
      <c r="P5" s="3">
        <v>28</v>
      </c>
      <c r="Q5" s="3">
        <v>170</v>
      </c>
      <c r="R5" s="3"/>
      <c r="S5" s="3"/>
      <c r="T5" s="3"/>
      <c r="U5" s="3"/>
      <c r="V5" s="3"/>
      <c r="W5" s="3"/>
      <c r="X5" s="3" t="s">
        <v>84</v>
      </c>
      <c r="Y5" s="3" t="s">
        <v>85</v>
      </c>
    </row>
    <row r="6" spans="1:25" ht="15" customHeight="1" x14ac:dyDescent="0.3">
      <c r="A6" s="5">
        <v>45841</v>
      </c>
      <c r="B6" s="5"/>
      <c r="C6" s="3" t="s">
        <v>38</v>
      </c>
      <c r="D6" s="3" t="s">
        <v>36</v>
      </c>
      <c r="E6" s="3">
        <v>2</v>
      </c>
      <c r="F6" s="3">
        <v>164</v>
      </c>
      <c r="G6" s="6" t="s">
        <v>11</v>
      </c>
      <c r="H6" s="3">
        <v>18351</v>
      </c>
      <c r="I6" s="6" t="s">
        <v>49</v>
      </c>
      <c r="J6" s="3">
        <v>2</v>
      </c>
      <c r="K6" s="3">
        <v>2</v>
      </c>
      <c r="L6" s="3">
        <v>23.39</v>
      </c>
      <c r="M6" s="3">
        <v>6.1</v>
      </c>
      <c r="N6" s="3">
        <v>12</v>
      </c>
      <c r="O6" s="3">
        <v>4</v>
      </c>
      <c r="P6" s="3">
        <v>25</v>
      </c>
      <c r="Q6" s="3">
        <v>185</v>
      </c>
      <c r="R6" s="3"/>
      <c r="S6" s="3"/>
      <c r="T6" s="3"/>
      <c r="U6" s="3"/>
      <c r="V6" s="3"/>
      <c r="W6" s="3"/>
      <c r="X6" s="3" t="s">
        <v>80</v>
      </c>
      <c r="Y6" s="3" t="s">
        <v>86</v>
      </c>
    </row>
    <row r="7" spans="1:25" ht="15" customHeight="1" x14ac:dyDescent="0.3">
      <c r="A7" s="5">
        <v>45841</v>
      </c>
      <c r="B7" s="5"/>
      <c r="C7" s="3" t="s">
        <v>38</v>
      </c>
      <c r="D7" s="3" t="s">
        <v>36</v>
      </c>
      <c r="E7" s="3">
        <v>2</v>
      </c>
      <c r="F7" s="3">
        <v>404</v>
      </c>
      <c r="G7" s="6" t="s">
        <v>13</v>
      </c>
      <c r="H7" s="3">
        <v>18304</v>
      </c>
      <c r="I7" s="6" t="s">
        <v>49</v>
      </c>
      <c r="J7" s="3">
        <v>2</v>
      </c>
      <c r="K7" s="3">
        <v>2</v>
      </c>
      <c r="L7" s="3">
        <v>7</v>
      </c>
      <c r="M7" s="3"/>
      <c r="N7" s="3"/>
      <c r="O7" s="3">
        <v>3.2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customHeight="1" x14ac:dyDescent="0.3">
      <c r="A8" s="5">
        <v>45841</v>
      </c>
      <c r="B8" s="5"/>
      <c r="C8" s="3" t="s">
        <v>38</v>
      </c>
      <c r="D8" s="3" t="s">
        <v>36</v>
      </c>
      <c r="E8" s="3">
        <v>2</v>
      </c>
      <c r="F8" s="3">
        <v>405</v>
      </c>
      <c r="G8" s="6" t="s">
        <v>14</v>
      </c>
      <c r="H8" s="3">
        <v>18326</v>
      </c>
      <c r="I8" s="6" t="s">
        <v>49</v>
      </c>
      <c r="J8" s="3">
        <v>2</v>
      </c>
      <c r="K8" s="3">
        <v>2</v>
      </c>
      <c r="L8" s="3">
        <v>8</v>
      </c>
      <c r="M8" s="3"/>
      <c r="N8" s="3"/>
      <c r="O8" s="3">
        <v>3.5</v>
      </c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" customHeight="1" x14ac:dyDescent="0.3">
      <c r="A9" s="5">
        <v>45841</v>
      </c>
      <c r="B9" s="5"/>
      <c r="C9" s="3" t="s">
        <v>38</v>
      </c>
      <c r="D9" s="3" t="s">
        <v>36</v>
      </c>
      <c r="E9" s="3">
        <v>2</v>
      </c>
      <c r="F9" s="3">
        <v>172</v>
      </c>
      <c r="G9" s="6" t="s">
        <v>15</v>
      </c>
      <c r="H9" s="3">
        <v>18350</v>
      </c>
      <c r="I9" s="6" t="s">
        <v>49</v>
      </c>
      <c r="J9" s="3">
        <v>4</v>
      </c>
      <c r="K9" s="3">
        <v>4</v>
      </c>
      <c r="L9" s="3">
        <v>16.77</v>
      </c>
      <c r="M9" s="3">
        <v>0.9</v>
      </c>
      <c r="N9" s="3">
        <v>9</v>
      </c>
      <c r="O9" s="3">
        <v>6</v>
      </c>
      <c r="P9" s="3" t="s">
        <v>60</v>
      </c>
      <c r="Q9" s="3">
        <v>170</v>
      </c>
      <c r="R9" s="3"/>
      <c r="S9" s="3"/>
      <c r="T9" s="3"/>
      <c r="U9" s="3"/>
      <c r="V9" s="3"/>
      <c r="W9" s="3"/>
      <c r="X9" s="3" t="s">
        <v>87</v>
      </c>
      <c r="Y9" s="3" t="s">
        <v>88</v>
      </c>
    </row>
    <row r="10" spans="1:25" ht="15" customHeight="1" x14ac:dyDescent="0.3">
      <c r="A10" s="5">
        <v>45841</v>
      </c>
      <c r="B10" s="5"/>
      <c r="C10" s="3" t="s">
        <v>38</v>
      </c>
      <c r="D10" s="3" t="s">
        <v>36</v>
      </c>
      <c r="E10" s="3">
        <v>2</v>
      </c>
      <c r="F10" s="3">
        <v>174</v>
      </c>
      <c r="G10" s="6" t="s">
        <v>16</v>
      </c>
      <c r="H10" s="3">
        <v>18358</v>
      </c>
      <c r="I10" s="6" t="s">
        <v>49</v>
      </c>
      <c r="J10" s="3">
        <v>5</v>
      </c>
      <c r="K10" s="3">
        <v>5</v>
      </c>
      <c r="L10" s="3">
        <v>13.73</v>
      </c>
      <c r="M10" s="3">
        <v>0.7</v>
      </c>
      <c r="N10" s="3">
        <v>8.6</v>
      </c>
      <c r="O10" s="3">
        <v>6</v>
      </c>
      <c r="P10" s="3" t="s">
        <v>61</v>
      </c>
      <c r="Q10" s="3">
        <v>170</v>
      </c>
      <c r="R10" s="3"/>
      <c r="S10" s="3"/>
      <c r="T10" s="3"/>
      <c r="U10" s="3"/>
      <c r="V10" s="3"/>
      <c r="W10" s="3"/>
      <c r="X10" s="3" t="s">
        <v>84</v>
      </c>
      <c r="Y10" s="3" t="s">
        <v>87</v>
      </c>
    </row>
    <row r="11" spans="1:25" ht="15" customHeight="1" x14ac:dyDescent="0.3">
      <c r="A11" s="5">
        <v>45841</v>
      </c>
      <c r="B11" s="5"/>
      <c r="C11" s="3" t="s">
        <v>38</v>
      </c>
      <c r="D11" s="3" t="s">
        <v>36</v>
      </c>
      <c r="E11" s="3">
        <v>2</v>
      </c>
      <c r="F11" s="3">
        <v>176</v>
      </c>
      <c r="G11" s="6" t="s">
        <v>17</v>
      </c>
      <c r="H11" s="3">
        <v>18279</v>
      </c>
      <c r="I11" s="6" t="s">
        <v>49</v>
      </c>
      <c r="J11" s="3">
        <v>5</v>
      </c>
      <c r="K11" s="3">
        <v>5</v>
      </c>
      <c r="L11" s="3">
        <v>18.02</v>
      </c>
      <c r="M11" s="3">
        <v>1.7</v>
      </c>
      <c r="N11" s="3">
        <v>12.5</v>
      </c>
      <c r="O11" s="3">
        <v>9</v>
      </c>
      <c r="P11" s="3" t="s">
        <v>62</v>
      </c>
      <c r="Q11" s="3">
        <v>175</v>
      </c>
      <c r="R11" s="3"/>
      <c r="S11" s="3"/>
      <c r="T11" s="3"/>
      <c r="U11" s="3"/>
      <c r="V11" s="3"/>
      <c r="W11" s="3"/>
      <c r="X11" s="3" t="s">
        <v>80</v>
      </c>
      <c r="Y11" s="3" t="s">
        <v>80</v>
      </c>
    </row>
    <row r="12" spans="1:25" ht="15" customHeight="1" x14ac:dyDescent="0.3">
      <c r="A12" s="5">
        <v>45841</v>
      </c>
      <c r="B12" s="5"/>
      <c r="C12" s="3" t="s">
        <v>38</v>
      </c>
      <c r="D12" s="3" t="s">
        <v>36</v>
      </c>
      <c r="E12" s="3">
        <v>2</v>
      </c>
      <c r="F12" s="3">
        <v>177</v>
      </c>
      <c r="G12" s="6" t="s">
        <v>18</v>
      </c>
      <c r="H12" s="3">
        <v>18327</v>
      </c>
      <c r="I12" s="6" t="s">
        <v>49</v>
      </c>
      <c r="J12" s="3">
        <v>3</v>
      </c>
      <c r="K12" s="3">
        <v>3</v>
      </c>
      <c r="L12" s="3">
        <v>13.35</v>
      </c>
      <c r="M12" s="3">
        <v>3.8</v>
      </c>
      <c r="N12" s="3">
        <v>6</v>
      </c>
      <c r="O12" s="3">
        <v>4.2</v>
      </c>
      <c r="P12" s="3"/>
      <c r="Q12" s="3">
        <v>170</v>
      </c>
      <c r="R12" s="3"/>
      <c r="S12" s="3"/>
      <c r="T12" s="3"/>
      <c r="U12" s="3"/>
      <c r="V12" s="3"/>
      <c r="W12" s="3"/>
      <c r="X12" s="3" t="s">
        <v>87</v>
      </c>
      <c r="Y12" s="3" t="s">
        <v>89</v>
      </c>
    </row>
    <row r="13" spans="1:25" ht="15" customHeight="1" x14ac:dyDescent="0.3">
      <c r="A13" s="5">
        <v>45841</v>
      </c>
      <c r="B13" s="5"/>
      <c r="C13" s="3" t="s">
        <v>38</v>
      </c>
      <c r="D13" s="3" t="s">
        <v>36</v>
      </c>
      <c r="E13" s="3">
        <v>2</v>
      </c>
      <c r="F13" s="3">
        <v>133</v>
      </c>
      <c r="G13" s="6" t="s">
        <v>20</v>
      </c>
      <c r="H13" s="3">
        <v>18375</v>
      </c>
      <c r="I13" s="6" t="s">
        <v>49</v>
      </c>
      <c r="J13" s="3">
        <v>4</v>
      </c>
      <c r="K13" s="3">
        <v>4</v>
      </c>
      <c r="L13" s="3">
        <v>16.190000000000001</v>
      </c>
      <c r="M13" s="3">
        <v>3.85</v>
      </c>
      <c r="N13" s="3">
        <v>6.8</v>
      </c>
      <c r="O13" s="3">
        <v>5</v>
      </c>
      <c r="P13" s="3"/>
      <c r="Q13" s="3">
        <v>170</v>
      </c>
      <c r="R13" s="3"/>
      <c r="S13" s="3"/>
      <c r="T13" s="3"/>
      <c r="U13" s="3"/>
      <c r="V13" s="3"/>
      <c r="W13" s="3"/>
      <c r="X13" s="3" t="s">
        <v>80</v>
      </c>
      <c r="Y13" s="3" t="s">
        <v>90</v>
      </c>
    </row>
    <row r="14" spans="1:25" ht="15" customHeight="1" x14ac:dyDescent="0.3">
      <c r="A14" s="5">
        <v>45841</v>
      </c>
      <c r="B14" s="5"/>
      <c r="C14" s="3" t="s">
        <v>38</v>
      </c>
      <c r="D14" s="3" t="s">
        <v>36</v>
      </c>
      <c r="E14" s="3">
        <v>2</v>
      </c>
      <c r="F14" s="3">
        <v>135</v>
      </c>
      <c r="G14" s="6" t="s">
        <v>21</v>
      </c>
      <c r="H14" s="3">
        <v>18265</v>
      </c>
      <c r="I14" s="6" t="s">
        <v>49</v>
      </c>
      <c r="J14" s="3">
        <v>2</v>
      </c>
      <c r="K14" s="3">
        <v>2</v>
      </c>
      <c r="L14" s="3">
        <v>21.58</v>
      </c>
      <c r="M14" s="3">
        <v>5.2</v>
      </c>
      <c r="N14" s="3">
        <v>10.8</v>
      </c>
      <c r="O14" s="3">
        <v>6</v>
      </c>
      <c r="P14" s="3"/>
      <c r="Q14" s="3"/>
      <c r="R14" s="3"/>
      <c r="S14" s="3"/>
      <c r="T14" s="3"/>
      <c r="U14" s="3"/>
      <c r="V14" s="3"/>
      <c r="W14" s="3"/>
      <c r="X14" s="3" t="s">
        <v>91</v>
      </c>
      <c r="Y14" s="3" t="s">
        <v>92</v>
      </c>
    </row>
    <row r="15" spans="1:25" ht="15" customHeight="1" x14ac:dyDescent="0.3">
      <c r="A15" s="5">
        <v>45841</v>
      </c>
      <c r="B15" s="5"/>
      <c r="C15" s="3" t="s">
        <v>38</v>
      </c>
      <c r="D15" s="3" t="s">
        <v>36</v>
      </c>
      <c r="E15" s="3">
        <v>2</v>
      </c>
      <c r="F15" s="3">
        <v>201</v>
      </c>
      <c r="G15" s="6" t="s">
        <v>22</v>
      </c>
      <c r="H15" s="3">
        <v>18378</v>
      </c>
      <c r="I15" s="6" t="s">
        <v>110</v>
      </c>
      <c r="J15" s="3">
        <v>16</v>
      </c>
      <c r="K15" s="3">
        <v>16</v>
      </c>
      <c r="L15" s="3">
        <v>16.5</v>
      </c>
      <c r="M15" s="3">
        <v>5</v>
      </c>
      <c r="N15" s="3">
        <v>3</v>
      </c>
      <c r="O15" s="3"/>
      <c r="P15" s="3"/>
      <c r="Q15" s="3"/>
      <c r="R15" s="3" t="s">
        <v>63</v>
      </c>
      <c r="S15" s="3" t="s">
        <v>71</v>
      </c>
      <c r="T15" s="3">
        <v>0.5</v>
      </c>
      <c r="U15" s="3">
        <v>15</v>
      </c>
      <c r="V15" s="3">
        <v>20</v>
      </c>
      <c r="W15" s="3">
        <v>110</v>
      </c>
      <c r="X15" s="3" t="s">
        <v>93</v>
      </c>
      <c r="Y15" s="3"/>
    </row>
    <row r="16" spans="1:25" ht="15" customHeight="1" x14ac:dyDescent="0.3">
      <c r="A16" s="5">
        <v>45841</v>
      </c>
      <c r="B16" s="5"/>
      <c r="C16" s="3" t="s">
        <v>38</v>
      </c>
      <c r="D16" s="3" t="s">
        <v>36</v>
      </c>
      <c r="E16" s="3">
        <v>2</v>
      </c>
      <c r="F16" s="3">
        <v>202</v>
      </c>
      <c r="G16" s="6" t="s">
        <v>58</v>
      </c>
      <c r="H16" s="3">
        <v>18364</v>
      </c>
      <c r="I16" s="6" t="s">
        <v>111</v>
      </c>
      <c r="J16" s="3">
        <v>8</v>
      </c>
      <c r="K16" s="23">
        <v>5</v>
      </c>
      <c r="L16" s="3">
        <v>35.1</v>
      </c>
      <c r="M16" s="3">
        <v>20</v>
      </c>
      <c r="N16" s="3">
        <v>3</v>
      </c>
      <c r="O16" s="3"/>
      <c r="P16" s="3"/>
      <c r="Q16" s="3"/>
      <c r="R16" s="3" t="s">
        <v>64</v>
      </c>
      <c r="S16" s="3" t="s">
        <v>72</v>
      </c>
      <c r="T16" s="3">
        <v>1.3</v>
      </c>
      <c r="U16" s="3">
        <v>25</v>
      </c>
      <c r="V16" s="3">
        <v>30</v>
      </c>
      <c r="W16" s="3">
        <v>140</v>
      </c>
      <c r="X16" s="3" t="s">
        <v>94</v>
      </c>
      <c r="Y16" s="3"/>
    </row>
    <row r="17" spans="1:26" ht="15" customHeight="1" x14ac:dyDescent="0.3">
      <c r="A17" s="5">
        <v>45841</v>
      </c>
      <c r="B17" s="5"/>
      <c r="C17" s="3" t="s">
        <v>38</v>
      </c>
      <c r="D17" s="3" t="s">
        <v>36</v>
      </c>
      <c r="E17" s="3">
        <v>2</v>
      </c>
      <c r="F17" s="3">
        <v>203</v>
      </c>
      <c r="G17" s="6" t="s">
        <v>23</v>
      </c>
      <c r="H17" s="3">
        <v>18241</v>
      </c>
      <c r="I17" s="6" t="s">
        <v>111</v>
      </c>
      <c r="J17" s="3">
        <v>8</v>
      </c>
      <c r="K17" s="3">
        <v>8</v>
      </c>
      <c r="L17" s="3">
        <v>15.9</v>
      </c>
      <c r="M17" s="3">
        <v>5</v>
      </c>
      <c r="N17" s="3">
        <v>3</v>
      </c>
      <c r="O17" s="3"/>
      <c r="P17" s="3"/>
      <c r="Q17" s="3"/>
      <c r="R17" s="3" t="s">
        <v>65</v>
      </c>
      <c r="S17" s="3" t="s">
        <v>73</v>
      </c>
      <c r="T17" s="3">
        <v>1</v>
      </c>
      <c r="U17" s="3">
        <v>20</v>
      </c>
      <c r="V17" s="3">
        <v>25</v>
      </c>
      <c r="W17" s="3">
        <v>115</v>
      </c>
      <c r="X17" s="3" t="s">
        <v>95</v>
      </c>
      <c r="Y17" s="3" t="s">
        <v>96</v>
      </c>
    </row>
    <row r="18" spans="1:26" ht="15" customHeight="1" x14ac:dyDescent="0.3">
      <c r="A18" s="5">
        <v>45841</v>
      </c>
      <c r="B18" s="5"/>
      <c r="C18" s="3" t="s">
        <v>38</v>
      </c>
      <c r="D18" s="3" t="s">
        <v>36</v>
      </c>
      <c r="E18" s="3">
        <v>2</v>
      </c>
      <c r="F18" s="3">
        <v>206</v>
      </c>
      <c r="G18" s="6" t="s">
        <v>24</v>
      </c>
      <c r="H18" s="3">
        <v>18340</v>
      </c>
      <c r="I18" s="6" t="s">
        <v>111</v>
      </c>
      <c r="J18" s="3">
        <v>12</v>
      </c>
      <c r="K18" s="23">
        <v>11</v>
      </c>
      <c r="L18" s="3">
        <v>22.9</v>
      </c>
      <c r="M18" s="3">
        <v>14</v>
      </c>
      <c r="N18" s="3">
        <v>1.2</v>
      </c>
      <c r="O18" s="3"/>
      <c r="P18" s="3"/>
      <c r="Q18" s="3"/>
      <c r="R18" s="3" t="s">
        <v>66</v>
      </c>
      <c r="S18" s="3" t="s">
        <v>74</v>
      </c>
      <c r="T18" s="3">
        <v>0.6</v>
      </c>
      <c r="U18" s="3">
        <v>30</v>
      </c>
      <c r="V18" s="3">
        <v>35</v>
      </c>
      <c r="W18" s="3">
        <v>115</v>
      </c>
      <c r="X18" s="3" t="s">
        <v>97</v>
      </c>
      <c r="Y18" s="6" t="s">
        <v>100</v>
      </c>
    </row>
    <row r="19" spans="1:26" ht="15" customHeight="1" x14ac:dyDescent="0.3">
      <c r="A19" s="5">
        <v>45841</v>
      </c>
      <c r="B19" s="5"/>
      <c r="C19" s="3" t="s">
        <v>38</v>
      </c>
      <c r="D19" s="3" t="s">
        <v>36</v>
      </c>
      <c r="E19" s="3">
        <v>2</v>
      </c>
      <c r="F19" s="3">
        <v>207</v>
      </c>
      <c r="G19" s="6" t="s">
        <v>25</v>
      </c>
      <c r="H19" s="3">
        <v>18310</v>
      </c>
      <c r="I19" s="6" t="s">
        <v>111</v>
      </c>
      <c r="J19" s="3">
        <v>12</v>
      </c>
      <c r="K19" s="23">
        <v>9</v>
      </c>
      <c r="L19" s="3">
        <v>33.29</v>
      </c>
      <c r="M19" s="3">
        <v>13.5</v>
      </c>
      <c r="N19" s="3">
        <v>8.5</v>
      </c>
      <c r="O19" s="3"/>
      <c r="P19" s="3"/>
      <c r="Q19" s="3"/>
      <c r="R19" s="3" t="s">
        <v>67</v>
      </c>
      <c r="S19" s="3" t="s">
        <v>75</v>
      </c>
      <c r="T19" s="3">
        <v>2.5</v>
      </c>
      <c r="U19" s="3">
        <v>15</v>
      </c>
      <c r="V19" s="3">
        <v>30</v>
      </c>
      <c r="W19" s="3">
        <v>140</v>
      </c>
      <c r="X19" s="3" t="s">
        <v>98</v>
      </c>
      <c r="Y19" s="3" t="s">
        <v>99</v>
      </c>
    </row>
    <row r="20" spans="1:26" ht="15" customHeight="1" x14ac:dyDescent="0.3">
      <c r="A20" s="5">
        <v>45841</v>
      </c>
      <c r="B20" s="5"/>
      <c r="C20" s="3" t="s">
        <v>38</v>
      </c>
      <c r="D20" s="3" t="s">
        <v>36</v>
      </c>
      <c r="E20" s="3">
        <v>2</v>
      </c>
      <c r="F20" s="3">
        <v>208</v>
      </c>
      <c r="G20" s="6" t="s">
        <v>26</v>
      </c>
      <c r="H20" s="3">
        <v>18353</v>
      </c>
      <c r="I20" s="6" t="s">
        <v>112</v>
      </c>
      <c r="J20" s="3">
        <v>2</v>
      </c>
      <c r="K20" s="3">
        <v>2</v>
      </c>
      <c r="L20" s="3">
        <v>35.81</v>
      </c>
      <c r="M20" s="3">
        <v>19</v>
      </c>
      <c r="N20" s="3">
        <v>5.5</v>
      </c>
      <c r="O20" s="3"/>
      <c r="P20" s="3"/>
      <c r="Q20" s="3"/>
      <c r="R20" s="3" t="s">
        <v>68</v>
      </c>
      <c r="S20" s="3" t="s">
        <v>64</v>
      </c>
      <c r="T20" s="3">
        <v>1</v>
      </c>
      <c r="U20" s="3">
        <v>25</v>
      </c>
      <c r="V20" s="3">
        <v>30</v>
      </c>
      <c r="W20" s="3">
        <v>120</v>
      </c>
      <c r="X20" s="3" t="s">
        <v>101</v>
      </c>
      <c r="Y20" s="3"/>
    </row>
    <row r="21" spans="1:26" ht="15" customHeight="1" x14ac:dyDescent="0.3">
      <c r="A21" s="5">
        <v>45841</v>
      </c>
      <c r="B21" s="5"/>
      <c r="C21" s="3" t="s">
        <v>38</v>
      </c>
      <c r="D21" s="3" t="s">
        <v>36</v>
      </c>
      <c r="E21" s="3">
        <v>2</v>
      </c>
      <c r="F21" s="3">
        <v>209</v>
      </c>
      <c r="G21" s="6" t="s">
        <v>27</v>
      </c>
      <c r="H21" s="3">
        <v>18297</v>
      </c>
      <c r="I21" s="6" t="s">
        <v>111</v>
      </c>
      <c r="J21" s="3">
        <v>12</v>
      </c>
      <c r="K21" s="23">
        <v>11</v>
      </c>
      <c r="L21" s="3">
        <v>27.9</v>
      </c>
      <c r="M21" s="3">
        <v>11</v>
      </c>
      <c r="N21" s="3">
        <v>1.3</v>
      </c>
      <c r="O21" s="3"/>
      <c r="P21" s="3"/>
      <c r="Q21" s="3"/>
      <c r="R21" s="3" t="s">
        <v>69</v>
      </c>
      <c r="S21" s="3" t="s">
        <v>76</v>
      </c>
      <c r="T21" s="3">
        <v>3</v>
      </c>
      <c r="U21" s="3">
        <v>33</v>
      </c>
      <c r="V21" s="3">
        <v>40</v>
      </c>
      <c r="W21" s="3">
        <v>115</v>
      </c>
      <c r="X21" s="3" t="s">
        <v>102</v>
      </c>
      <c r="Y21" s="6" t="s">
        <v>103</v>
      </c>
    </row>
    <row r="22" spans="1:26" ht="15" customHeight="1" x14ac:dyDescent="0.3">
      <c r="A22" s="5">
        <v>45841</v>
      </c>
      <c r="B22" s="5"/>
      <c r="C22" s="3" t="s">
        <v>38</v>
      </c>
      <c r="D22" s="3" t="s">
        <v>36</v>
      </c>
      <c r="E22" s="3">
        <v>2</v>
      </c>
      <c r="F22" s="3">
        <v>210</v>
      </c>
      <c r="G22" s="6" t="s">
        <v>28</v>
      </c>
      <c r="H22" s="3">
        <v>18365</v>
      </c>
      <c r="I22" s="6" t="s">
        <v>111</v>
      </c>
      <c r="J22" s="3">
        <v>4</v>
      </c>
      <c r="K22" s="3">
        <v>4</v>
      </c>
      <c r="L22" s="3">
        <v>21.1</v>
      </c>
      <c r="M22" s="3">
        <v>7</v>
      </c>
      <c r="N22" s="3">
        <v>4</v>
      </c>
      <c r="O22" s="3"/>
      <c r="P22" s="3"/>
      <c r="Q22" s="3"/>
      <c r="R22" s="3" t="s">
        <v>70</v>
      </c>
      <c r="S22" s="3" t="s">
        <v>77</v>
      </c>
      <c r="T22" s="3">
        <v>1</v>
      </c>
      <c r="U22" s="3">
        <v>20</v>
      </c>
      <c r="V22" s="3">
        <v>30</v>
      </c>
      <c r="W22" s="3">
        <v>101</v>
      </c>
      <c r="X22" s="3" t="s">
        <v>104</v>
      </c>
      <c r="Y22" s="3" t="s">
        <v>105</v>
      </c>
    </row>
    <row r="23" spans="1:26" ht="15" customHeight="1" x14ac:dyDescent="0.3">
      <c r="A23" s="5">
        <v>45841</v>
      </c>
      <c r="B23" s="5"/>
      <c r="C23" s="3" t="s">
        <v>38</v>
      </c>
      <c r="D23" s="3" t="s">
        <v>36</v>
      </c>
      <c r="E23" s="3">
        <v>2</v>
      </c>
      <c r="F23" s="3">
        <v>401</v>
      </c>
      <c r="G23" s="6" t="s">
        <v>29</v>
      </c>
      <c r="H23" s="3">
        <v>18361</v>
      </c>
      <c r="I23" s="6" t="s">
        <v>49</v>
      </c>
      <c r="J23" s="3">
        <v>1</v>
      </c>
      <c r="K23" s="3">
        <v>1</v>
      </c>
      <c r="L23" s="3">
        <v>10.199999999999999</v>
      </c>
      <c r="M23" s="3"/>
      <c r="N23" s="3"/>
      <c r="O23" s="3">
        <v>3</v>
      </c>
      <c r="P23" s="3"/>
      <c r="Q23" s="3"/>
      <c r="R23" s="3"/>
      <c r="S23" s="3"/>
      <c r="T23" s="3"/>
      <c r="U23" s="3"/>
      <c r="V23" s="3"/>
      <c r="W23" s="3"/>
      <c r="X23" s="9" t="s">
        <v>106</v>
      </c>
      <c r="Y23" s="3"/>
      <c r="Z23" s="4" t="s">
        <v>109</v>
      </c>
    </row>
    <row r="24" spans="1:26" ht="15" customHeight="1" x14ac:dyDescent="0.3">
      <c r="A24" s="5">
        <v>45841</v>
      </c>
      <c r="B24" s="5"/>
      <c r="C24" s="3" t="s">
        <v>38</v>
      </c>
      <c r="D24" s="3" t="s">
        <v>36</v>
      </c>
      <c r="E24" s="3">
        <v>2</v>
      </c>
      <c r="F24" s="3">
        <v>501</v>
      </c>
      <c r="G24" s="6" t="s">
        <v>59</v>
      </c>
      <c r="H24" s="3">
        <v>18333</v>
      </c>
      <c r="I24" s="6" t="s">
        <v>110</v>
      </c>
      <c r="J24" s="3">
        <v>6</v>
      </c>
      <c r="K24" s="3">
        <v>6</v>
      </c>
      <c r="L24" s="3">
        <v>16.02</v>
      </c>
      <c r="M24" s="3"/>
      <c r="N24" s="3"/>
      <c r="O24" s="3">
        <v>10</v>
      </c>
      <c r="P24" s="3"/>
      <c r="Q24" s="3"/>
      <c r="R24" s="3"/>
      <c r="S24" s="3"/>
      <c r="T24" s="3"/>
      <c r="U24" s="3"/>
      <c r="V24" s="3"/>
      <c r="W24" s="3">
        <v>300</v>
      </c>
      <c r="X24" s="3" t="s">
        <v>107</v>
      </c>
      <c r="Y24" s="3"/>
    </row>
    <row r="25" spans="1:26" ht="15" customHeight="1" x14ac:dyDescent="0.3">
      <c r="A25" s="5">
        <v>45841</v>
      </c>
      <c r="B25" s="5"/>
      <c r="C25" s="3" t="s">
        <v>38</v>
      </c>
      <c r="D25" s="3" t="s">
        <v>36</v>
      </c>
      <c r="E25" s="3">
        <v>2</v>
      </c>
      <c r="F25" s="3">
        <v>503</v>
      </c>
      <c r="G25" s="6" t="s">
        <v>34</v>
      </c>
      <c r="H25" s="3">
        <v>18238</v>
      </c>
      <c r="I25" s="6" t="s">
        <v>113</v>
      </c>
      <c r="J25" s="3">
        <v>2</v>
      </c>
      <c r="K25" s="3">
        <v>2</v>
      </c>
      <c r="L25" s="3">
        <v>26</v>
      </c>
      <c r="M25" s="3"/>
      <c r="N25" s="3"/>
      <c r="O25" s="3">
        <v>17</v>
      </c>
      <c r="P25" s="3"/>
      <c r="Q25" s="3"/>
      <c r="R25" s="3"/>
      <c r="S25" s="3"/>
      <c r="T25" s="3"/>
      <c r="U25" s="3"/>
      <c r="V25" s="3"/>
      <c r="W25" s="3"/>
      <c r="X25" s="3" t="s">
        <v>108</v>
      </c>
      <c r="Y25" s="3"/>
    </row>
    <row r="26" spans="1:26" ht="15" customHeight="1" x14ac:dyDescent="0.3">
      <c r="A26" s="27">
        <v>45842</v>
      </c>
      <c r="B26" s="5"/>
      <c r="C26" s="3" t="s">
        <v>38</v>
      </c>
      <c r="D26" s="3" t="s">
        <v>36</v>
      </c>
      <c r="E26" s="3">
        <v>2</v>
      </c>
      <c r="F26" s="3">
        <v>101</v>
      </c>
      <c r="G26" s="6" t="s">
        <v>6</v>
      </c>
      <c r="H26" s="3">
        <v>18370</v>
      </c>
      <c r="I26" s="6" t="s">
        <v>5</v>
      </c>
      <c r="J26" s="3">
        <v>4</v>
      </c>
      <c r="K26" s="3">
        <v>4</v>
      </c>
      <c r="L26" s="3">
        <v>12.28</v>
      </c>
      <c r="M26" s="3">
        <v>3.6</v>
      </c>
      <c r="N26" s="3">
        <v>5.5</v>
      </c>
      <c r="O26" s="3">
        <v>4</v>
      </c>
      <c r="P26" s="3">
        <v>56</v>
      </c>
      <c r="Q26" s="3">
        <v>170</v>
      </c>
      <c r="R26" s="3"/>
      <c r="S26" s="3"/>
      <c r="T26" s="3"/>
      <c r="U26" s="3"/>
      <c r="V26" s="3"/>
      <c r="W26" s="3"/>
      <c r="X26" s="3" t="s">
        <v>78</v>
      </c>
      <c r="Y26" s="3" t="s">
        <v>84</v>
      </c>
    </row>
    <row r="27" spans="1:26" ht="15" customHeight="1" x14ac:dyDescent="0.3">
      <c r="A27" s="27">
        <v>45842</v>
      </c>
      <c r="B27" s="5"/>
      <c r="C27" s="3" t="s">
        <v>38</v>
      </c>
      <c r="D27" s="3" t="s">
        <v>36</v>
      </c>
      <c r="E27" s="3">
        <v>2</v>
      </c>
      <c r="F27" s="3">
        <v>102</v>
      </c>
      <c r="G27" s="6" t="s">
        <v>7</v>
      </c>
      <c r="H27" s="3">
        <v>18371</v>
      </c>
      <c r="I27" s="6" t="s">
        <v>5</v>
      </c>
      <c r="J27" s="3">
        <v>6</v>
      </c>
      <c r="K27" s="3">
        <v>6</v>
      </c>
      <c r="L27" s="3">
        <v>12.6</v>
      </c>
      <c r="M27" s="3">
        <v>3.2</v>
      </c>
      <c r="N27" s="3">
        <v>5.0999999999999996</v>
      </c>
      <c r="O27" s="3">
        <v>4</v>
      </c>
      <c r="P27" s="3">
        <v>50</v>
      </c>
      <c r="Q27" s="3">
        <v>170</v>
      </c>
      <c r="R27" s="3"/>
      <c r="S27" s="3"/>
      <c r="T27" s="3"/>
      <c r="U27" s="3"/>
      <c r="V27" s="3"/>
      <c r="W27" s="3"/>
      <c r="X27" s="3" t="s">
        <v>138</v>
      </c>
      <c r="Y27" s="3" t="s">
        <v>138</v>
      </c>
    </row>
    <row r="28" spans="1:26" ht="15" customHeight="1" x14ac:dyDescent="0.3">
      <c r="A28" s="27">
        <v>45842</v>
      </c>
      <c r="B28" s="5"/>
      <c r="C28" s="3" t="s">
        <v>38</v>
      </c>
      <c r="D28" s="3" t="s">
        <v>36</v>
      </c>
      <c r="E28" s="3">
        <v>2</v>
      </c>
      <c r="F28" s="3">
        <v>103</v>
      </c>
      <c r="G28" s="6" t="s">
        <v>163</v>
      </c>
      <c r="H28" s="3">
        <v>18390</v>
      </c>
      <c r="I28" s="6" t="s">
        <v>5</v>
      </c>
      <c r="J28" s="3">
        <v>5</v>
      </c>
      <c r="K28" s="3">
        <v>5</v>
      </c>
      <c r="L28" s="3">
        <v>14.6</v>
      </c>
      <c r="M28" s="3">
        <v>3.4</v>
      </c>
      <c r="N28" s="3">
        <v>7</v>
      </c>
      <c r="O28" s="3">
        <v>7</v>
      </c>
      <c r="P28" s="3">
        <v>35</v>
      </c>
      <c r="Q28" s="3">
        <v>175</v>
      </c>
      <c r="R28" s="3"/>
      <c r="S28" s="3"/>
      <c r="T28" s="3"/>
      <c r="U28" s="3"/>
      <c r="V28" s="3"/>
      <c r="W28" s="3"/>
      <c r="X28" s="3" t="s">
        <v>87</v>
      </c>
      <c r="Y28" s="3" t="s">
        <v>80</v>
      </c>
    </row>
    <row r="29" spans="1:26" ht="15" customHeight="1" x14ac:dyDescent="0.3">
      <c r="A29" s="27">
        <v>45842</v>
      </c>
      <c r="B29" s="5"/>
      <c r="C29" s="3" t="s">
        <v>38</v>
      </c>
      <c r="D29" s="3" t="s">
        <v>36</v>
      </c>
      <c r="E29" s="3">
        <v>2</v>
      </c>
      <c r="F29" s="3">
        <v>162</v>
      </c>
      <c r="G29" s="7" t="s">
        <v>114</v>
      </c>
      <c r="H29" s="3">
        <v>18369</v>
      </c>
      <c r="I29" s="6" t="s">
        <v>49</v>
      </c>
      <c r="J29" s="3">
        <v>2</v>
      </c>
      <c r="K29" s="3">
        <v>2</v>
      </c>
      <c r="L29" s="3">
        <v>21.3</v>
      </c>
      <c r="M29" s="3">
        <v>3.5</v>
      </c>
      <c r="N29" s="3">
        <v>6</v>
      </c>
      <c r="O29" s="3">
        <v>3.25</v>
      </c>
      <c r="P29" s="3">
        <v>20</v>
      </c>
      <c r="Q29" s="3">
        <v>170</v>
      </c>
      <c r="R29" s="3"/>
      <c r="S29" s="3"/>
      <c r="T29" s="3"/>
      <c r="U29" s="3"/>
      <c r="V29" s="3"/>
      <c r="W29" s="3"/>
      <c r="X29" s="3" t="s">
        <v>84</v>
      </c>
      <c r="Y29" s="3" t="s">
        <v>83</v>
      </c>
    </row>
    <row r="30" spans="1:26" ht="15" customHeight="1" x14ac:dyDescent="0.3">
      <c r="A30" s="27">
        <v>45842</v>
      </c>
      <c r="B30" s="5"/>
      <c r="C30" s="3" t="s">
        <v>38</v>
      </c>
      <c r="D30" s="3" t="s">
        <v>36</v>
      </c>
      <c r="E30" s="3">
        <v>2</v>
      </c>
      <c r="F30" s="3">
        <v>163</v>
      </c>
      <c r="G30" s="6" t="s">
        <v>10</v>
      </c>
      <c r="H30" s="3">
        <v>18360</v>
      </c>
      <c r="I30" s="6" t="s">
        <v>49</v>
      </c>
      <c r="J30" s="3">
        <v>2</v>
      </c>
      <c r="K30" s="3">
        <v>2</v>
      </c>
      <c r="L30" s="3">
        <v>23.09</v>
      </c>
      <c r="M30" s="3">
        <v>5.4</v>
      </c>
      <c r="N30" s="3">
        <v>7.5</v>
      </c>
      <c r="O30" s="3">
        <v>4</v>
      </c>
      <c r="P30" s="3">
        <v>28</v>
      </c>
      <c r="Q30" s="3">
        <v>170</v>
      </c>
      <c r="R30" s="3"/>
      <c r="S30" s="3"/>
      <c r="T30" s="3"/>
      <c r="U30" s="3"/>
      <c r="V30" s="3"/>
      <c r="W30" s="3"/>
      <c r="X30" s="3" t="s">
        <v>139</v>
      </c>
      <c r="Y30" s="3" t="s">
        <v>152</v>
      </c>
    </row>
    <row r="31" spans="1:26" ht="15" customHeight="1" x14ac:dyDescent="0.3">
      <c r="A31" s="27">
        <v>45842</v>
      </c>
      <c r="B31" s="5"/>
      <c r="C31" s="3" t="s">
        <v>38</v>
      </c>
      <c r="D31" s="3" t="s">
        <v>36</v>
      </c>
      <c r="E31" s="3">
        <v>2</v>
      </c>
      <c r="F31" s="3">
        <v>164</v>
      </c>
      <c r="G31" s="6" t="s">
        <v>11</v>
      </c>
      <c r="H31" s="3">
        <v>18351</v>
      </c>
      <c r="I31" s="6" t="s">
        <v>49</v>
      </c>
      <c r="J31" s="3">
        <v>2</v>
      </c>
      <c r="K31" s="3">
        <v>2</v>
      </c>
      <c r="L31" s="3">
        <v>23.39</v>
      </c>
      <c r="M31" s="3">
        <v>6.1</v>
      </c>
      <c r="N31" s="3">
        <v>12</v>
      </c>
      <c r="O31" s="3">
        <v>4</v>
      </c>
      <c r="P31" s="3">
        <v>30</v>
      </c>
      <c r="Q31" s="3">
        <v>185</v>
      </c>
      <c r="R31" s="3"/>
      <c r="S31" s="3"/>
      <c r="T31" s="3"/>
      <c r="U31" s="3"/>
      <c r="V31" s="3"/>
      <c r="W31" s="3"/>
      <c r="X31" s="3" t="s">
        <v>81</v>
      </c>
      <c r="Y31" s="3" t="s">
        <v>153</v>
      </c>
    </row>
    <row r="32" spans="1:26" ht="15" customHeight="1" x14ac:dyDescent="0.3">
      <c r="A32" s="27">
        <v>45842</v>
      </c>
      <c r="B32" s="5"/>
      <c r="C32" s="3" t="s">
        <v>38</v>
      </c>
      <c r="D32" s="3" t="s">
        <v>36</v>
      </c>
      <c r="E32" s="3">
        <v>2</v>
      </c>
      <c r="F32" s="3">
        <v>182</v>
      </c>
      <c r="G32" s="6" t="s">
        <v>57</v>
      </c>
      <c r="H32" s="3">
        <v>18374</v>
      </c>
      <c r="I32" s="6" t="s">
        <v>49</v>
      </c>
      <c r="J32" s="3">
        <v>4</v>
      </c>
      <c r="K32" s="3">
        <v>4</v>
      </c>
      <c r="L32" s="3">
        <v>14.2</v>
      </c>
      <c r="M32" s="3">
        <v>3</v>
      </c>
      <c r="N32" s="3">
        <v>6</v>
      </c>
      <c r="O32" s="3">
        <v>3.5</v>
      </c>
      <c r="P32" s="3">
        <v>45</v>
      </c>
      <c r="Q32" s="3">
        <v>170</v>
      </c>
      <c r="R32" s="3"/>
      <c r="S32" s="3"/>
      <c r="T32" s="3"/>
      <c r="U32" s="3"/>
      <c r="V32" s="3"/>
      <c r="W32" s="3"/>
      <c r="X32" s="3" t="s">
        <v>139</v>
      </c>
      <c r="Y32" s="3" t="s">
        <v>153</v>
      </c>
    </row>
    <row r="33" spans="1:25" ht="15" customHeight="1" x14ac:dyDescent="0.3">
      <c r="A33" s="27">
        <v>45842</v>
      </c>
      <c r="B33" s="5"/>
      <c r="C33" s="3" t="s">
        <v>38</v>
      </c>
      <c r="D33" s="3" t="s">
        <v>36</v>
      </c>
      <c r="E33" s="3">
        <v>2</v>
      </c>
      <c r="F33" s="3">
        <v>402</v>
      </c>
      <c r="G33" s="6" t="s">
        <v>12</v>
      </c>
      <c r="H33" s="3">
        <v>18331</v>
      </c>
      <c r="I33" s="6" t="s">
        <v>49</v>
      </c>
      <c r="J33" s="3">
        <v>2</v>
      </c>
      <c r="K33" s="3">
        <v>2</v>
      </c>
      <c r="L33" s="3">
        <v>10.199999999999999</v>
      </c>
      <c r="M33" s="3"/>
      <c r="N33" s="3"/>
      <c r="O33" s="3">
        <v>4</v>
      </c>
      <c r="P33" s="3"/>
      <c r="Q33" s="3"/>
      <c r="R33" s="3"/>
      <c r="S33" s="3"/>
      <c r="T33" s="3"/>
      <c r="U33" s="3"/>
      <c r="V33" s="3"/>
      <c r="W33" s="3"/>
      <c r="X33" s="22" t="s">
        <v>140</v>
      </c>
      <c r="Y33" s="3"/>
    </row>
    <row r="34" spans="1:25" ht="15" customHeight="1" x14ac:dyDescent="0.3">
      <c r="A34" s="27">
        <v>45842</v>
      </c>
      <c r="B34" s="5"/>
      <c r="C34" s="3" t="s">
        <v>38</v>
      </c>
      <c r="D34" s="3" t="s">
        <v>36</v>
      </c>
      <c r="E34" s="3">
        <v>2</v>
      </c>
      <c r="F34" s="3">
        <v>405</v>
      </c>
      <c r="G34" s="6" t="s">
        <v>14</v>
      </c>
      <c r="H34" s="3">
        <v>18326</v>
      </c>
      <c r="I34" s="6" t="s">
        <v>49</v>
      </c>
      <c r="J34" s="3">
        <v>2</v>
      </c>
      <c r="K34" s="3">
        <v>2</v>
      </c>
      <c r="L34" s="3">
        <v>8</v>
      </c>
      <c r="M34" s="3"/>
      <c r="N34" s="3"/>
      <c r="O34" s="3">
        <v>3.8</v>
      </c>
      <c r="P34" s="3"/>
      <c r="Q34" s="3"/>
      <c r="R34" s="3"/>
      <c r="S34" s="3"/>
      <c r="T34" s="3"/>
      <c r="U34" s="3"/>
      <c r="V34" s="3"/>
      <c r="W34" s="3"/>
      <c r="X34" s="22" t="s">
        <v>141</v>
      </c>
      <c r="Y34" s="3"/>
    </row>
    <row r="35" spans="1:25" ht="15" customHeight="1" x14ac:dyDescent="0.3">
      <c r="A35" s="27">
        <v>45842</v>
      </c>
      <c r="B35" s="5"/>
      <c r="C35" s="3" t="s">
        <v>38</v>
      </c>
      <c r="D35" s="3" t="s">
        <v>36</v>
      </c>
      <c r="E35" s="3">
        <v>2</v>
      </c>
      <c r="F35" s="3">
        <v>172</v>
      </c>
      <c r="G35" s="6" t="s">
        <v>15</v>
      </c>
      <c r="H35" s="3">
        <v>18350</v>
      </c>
      <c r="I35" s="6" t="s">
        <v>49</v>
      </c>
      <c r="J35" s="3">
        <v>4</v>
      </c>
      <c r="K35" s="3">
        <v>4</v>
      </c>
      <c r="L35" s="3">
        <v>17.53</v>
      </c>
      <c r="M35" s="3">
        <v>0.9</v>
      </c>
      <c r="N35" s="3">
        <v>9</v>
      </c>
      <c r="O35" s="3">
        <v>6</v>
      </c>
      <c r="P35" s="3" t="s">
        <v>60</v>
      </c>
      <c r="Q35" s="3">
        <v>170</v>
      </c>
      <c r="R35" s="3"/>
      <c r="S35" s="3"/>
      <c r="T35" s="3"/>
      <c r="U35" s="3"/>
      <c r="V35" s="3"/>
      <c r="W35" s="3"/>
      <c r="X35" s="3" t="s">
        <v>87</v>
      </c>
      <c r="Y35" s="3" t="s">
        <v>88</v>
      </c>
    </row>
    <row r="36" spans="1:25" ht="15" customHeight="1" x14ac:dyDescent="0.3">
      <c r="A36" s="27">
        <v>45842</v>
      </c>
      <c r="B36" s="5"/>
      <c r="C36" s="3" t="s">
        <v>38</v>
      </c>
      <c r="D36" s="3" t="s">
        <v>36</v>
      </c>
      <c r="E36" s="3">
        <v>2</v>
      </c>
      <c r="F36" s="3">
        <v>174</v>
      </c>
      <c r="G36" s="6" t="s">
        <v>16</v>
      </c>
      <c r="H36" s="3">
        <v>18358</v>
      </c>
      <c r="I36" s="6" t="s">
        <v>49</v>
      </c>
      <c r="J36" s="3">
        <v>5</v>
      </c>
      <c r="K36" s="3">
        <v>5</v>
      </c>
      <c r="L36" s="3">
        <v>13.71</v>
      </c>
      <c r="M36" s="3">
        <v>0.7</v>
      </c>
      <c r="N36" s="3">
        <v>8.6</v>
      </c>
      <c r="O36" s="3">
        <v>6</v>
      </c>
      <c r="P36" s="3" t="s">
        <v>125</v>
      </c>
      <c r="Q36" s="3">
        <v>170</v>
      </c>
      <c r="R36" s="3"/>
      <c r="S36" s="3"/>
      <c r="T36" s="3"/>
      <c r="U36" s="3"/>
      <c r="V36" s="3"/>
      <c r="W36" s="3"/>
      <c r="X36" s="3" t="s">
        <v>84</v>
      </c>
      <c r="Y36" s="3" t="s">
        <v>87</v>
      </c>
    </row>
    <row r="37" spans="1:25" ht="15" customHeight="1" x14ac:dyDescent="0.3">
      <c r="A37" s="27">
        <v>45842</v>
      </c>
      <c r="B37" s="5"/>
      <c r="C37" s="3" t="s">
        <v>38</v>
      </c>
      <c r="D37" s="3" t="s">
        <v>36</v>
      </c>
      <c r="E37" s="3">
        <v>2</v>
      </c>
      <c r="F37" s="3">
        <v>176</v>
      </c>
      <c r="G37" s="6" t="s">
        <v>17</v>
      </c>
      <c r="H37" s="3">
        <v>18279</v>
      </c>
      <c r="I37" s="6" t="s">
        <v>49</v>
      </c>
      <c r="J37" s="3">
        <v>5</v>
      </c>
      <c r="K37" s="3">
        <v>5</v>
      </c>
      <c r="L37" s="3">
        <v>16.78</v>
      </c>
      <c r="M37" s="3">
        <v>2.2000000000000002</v>
      </c>
      <c r="N37" s="3">
        <v>11</v>
      </c>
      <c r="O37" s="3">
        <v>8</v>
      </c>
      <c r="P37" s="3" t="s">
        <v>62</v>
      </c>
      <c r="Q37" s="3">
        <v>175</v>
      </c>
      <c r="R37" s="3"/>
      <c r="S37" s="3"/>
      <c r="T37" s="3"/>
      <c r="U37" s="3"/>
      <c r="V37" s="3"/>
      <c r="W37" s="3"/>
      <c r="X37" s="3" t="s">
        <v>80</v>
      </c>
      <c r="Y37" s="3" t="s">
        <v>80</v>
      </c>
    </row>
    <row r="38" spans="1:25" ht="15" customHeight="1" x14ac:dyDescent="0.3">
      <c r="A38" s="27">
        <v>45842</v>
      </c>
      <c r="B38" s="5"/>
      <c r="C38" s="3" t="s">
        <v>38</v>
      </c>
      <c r="D38" s="3" t="s">
        <v>36</v>
      </c>
      <c r="E38" s="3">
        <v>2</v>
      </c>
      <c r="F38" s="3">
        <v>177</v>
      </c>
      <c r="G38" s="6" t="s">
        <v>18</v>
      </c>
      <c r="H38" s="3">
        <v>18327</v>
      </c>
      <c r="I38" s="6" t="s">
        <v>49</v>
      </c>
      <c r="J38" s="3">
        <v>3</v>
      </c>
      <c r="K38" s="3">
        <v>3</v>
      </c>
      <c r="L38" s="3">
        <v>13.34</v>
      </c>
      <c r="M38" s="3">
        <v>3.8</v>
      </c>
      <c r="N38" s="3">
        <v>6</v>
      </c>
      <c r="O38" s="3">
        <v>4.2</v>
      </c>
      <c r="P38" s="3"/>
      <c r="Q38" s="3">
        <v>170</v>
      </c>
      <c r="R38" s="3"/>
      <c r="S38" s="3"/>
      <c r="T38" s="3"/>
      <c r="U38" s="3"/>
      <c r="V38" s="3"/>
      <c r="W38" s="3"/>
      <c r="X38" s="3" t="s">
        <v>87</v>
      </c>
      <c r="Y38" s="3" t="s">
        <v>89</v>
      </c>
    </row>
    <row r="39" spans="1:25" ht="15" customHeight="1" x14ac:dyDescent="0.3">
      <c r="A39" s="27">
        <v>45842</v>
      </c>
      <c r="B39" s="5"/>
      <c r="C39" s="3" t="s">
        <v>38</v>
      </c>
      <c r="D39" s="3" t="s">
        <v>36</v>
      </c>
      <c r="E39" s="3">
        <v>2</v>
      </c>
      <c r="F39" s="3">
        <v>131</v>
      </c>
      <c r="G39" s="6" t="s">
        <v>19</v>
      </c>
      <c r="H39" s="3">
        <v>18329</v>
      </c>
      <c r="I39" s="6" t="s">
        <v>49</v>
      </c>
      <c r="J39" s="3">
        <v>3</v>
      </c>
      <c r="K39" s="3">
        <v>3</v>
      </c>
      <c r="L39" s="3">
        <v>17.62</v>
      </c>
      <c r="M39" s="3">
        <v>3.5</v>
      </c>
      <c r="N39" s="3">
        <v>9.3000000000000007</v>
      </c>
      <c r="O39" s="3">
        <v>5.5</v>
      </c>
      <c r="P39" s="3"/>
      <c r="Q39" s="3">
        <v>170</v>
      </c>
      <c r="R39" s="3"/>
      <c r="S39" s="3"/>
      <c r="T39" s="3"/>
      <c r="U39" s="3"/>
      <c r="V39" s="3"/>
      <c r="W39" s="3"/>
      <c r="X39" s="3" t="s">
        <v>142</v>
      </c>
      <c r="Y39" s="3" t="s">
        <v>154</v>
      </c>
    </row>
    <row r="40" spans="1:25" ht="15" customHeight="1" x14ac:dyDescent="0.3">
      <c r="A40" s="27">
        <v>45842</v>
      </c>
      <c r="B40" s="5"/>
      <c r="C40" s="3" t="s">
        <v>38</v>
      </c>
      <c r="D40" s="3" t="s">
        <v>36</v>
      </c>
      <c r="E40" s="3">
        <v>2</v>
      </c>
      <c r="F40" s="3">
        <v>135</v>
      </c>
      <c r="G40" s="6" t="s">
        <v>21</v>
      </c>
      <c r="H40" s="3">
        <v>18265</v>
      </c>
      <c r="I40" s="6" t="s">
        <v>49</v>
      </c>
      <c r="J40" s="3">
        <v>2</v>
      </c>
      <c r="K40" s="3">
        <v>2</v>
      </c>
      <c r="L40" s="3">
        <v>21.58</v>
      </c>
      <c r="M40" s="3">
        <v>5.2</v>
      </c>
      <c r="N40" s="3">
        <v>10.8</v>
      </c>
      <c r="O40" s="3">
        <v>6</v>
      </c>
      <c r="P40" s="3"/>
      <c r="Q40" s="3"/>
      <c r="R40" s="3"/>
      <c r="S40" s="3"/>
      <c r="T40" s="3"/>
      <c r="U40" s="3"/>
      <c r="V40" s="3"/>
      <c r="W40" s="3"/>
      <c r="X40" s="3" t="s">
        <v>143</v>
      </c>
      <c r="Y40" s="3" t="s">
        <v>155</v>
      </c>
    </row>
    <row r="41" spans="1:25" ht="15" customHeight="1" x14ac:dyDescent="0.3">
      <c r="A41" s="27">
        <v>45842</v>
      </c>
      <c r="B41" s="5"/>
      <c r="C41" s="3" t="s">
        <v>38</v>
      </c>
      <c r="D41" s="3" t="s">
        <v>36</v>
      </c>
      <c r="E41" s="3">
        <v>2</v>
      </c>
      <c r="F41" s="3">
        <v>202</v>
      </c>
      <c r="G41" s="6" t="s">
        <v>58</v>
      </c>
      <c r="H41" s="3">
        <v>18364</v>
      </c>
      <c r="I41" s="6" t="s">
        <v>111</v>
      </c>
      <c r="J41" s="3">
        <v>8</v>
      </c>
      <c r="K41" s="23">
        <v>5</v>
      </c>
      <c r="L41" s="3">
        <v>35.200000000000003</v>
      </c>
      <c r="M41" s="3">
        <v>20</v>
      </c>
      <c r="N41" s="3">
        <v>3</v>
      </c>
      <c r="O41" s="3"/>
      <c r="P41" s="3"/>
      <c r="Q41" s="3"/>
      <c r="R41" s="3" t="s">
        <v>64</v>
      </c>
      <c r="S41" s="3" t="s">
        <v>72</v>
      </c>
      <c r="T41" s="3">
        <v>1.3</v>
      </c>
      <c r="U41" s="3">
        <v>25</v>
      </c>
      <c r="V41" s="3">
        <v>30</v>
      </c>
      <c r="W41" s="3">
        <v>140</v>
      </c>
      <c r="X41" s="3" t="s">
        <v>94</v>
      </c>
      <c r="Y41" s="3"/>
    </row>
    <row r="42" spans="1:25" ht="15" customHeight="1" x14ac:dyDescent="0.3">
      <c r="A42" s="27">
        <v>45842</v>
      </c>
      <c r="B42" s="5"/>
      <c r="C42" s="3" t="s">
        <v>38</v>
      </c>
      <c r="D42" s="3" t="s">
        <v>36</v>
      </c>
      <c r="E42" s="3">
        <v>2</v>
      </c>
      <c r="F42" s="3">
        <v>203</v>
      </c>
      <c r="G42" s="6" t="s">
        <v>23</v>
      </c>
      <c r="H42" s="3">
        <v>18241</v>
      </c>
      <c r="I42" s="6" t="s">
        <v>111</v>
      </c>
      <c r="J42" s="3">
        <v>8</v>
      </c>
      <c r="K42" s="3">
        <v>8</v>
      </c>
      <c r="L42" s="3">
        <v>15.9</v>
      </c>
      <c r="M42" s="3">
        <v>5</v>
      </c>
      <c r="N42" s="3">
        <v>3</v>
      </c>
      <c r="O42" s="3"/>
      <c r="P42" s="3"/>
      <c r="Q42" s="3"/>
      <c r="R42" s="3" t="s">
        <v>65</v>
      </c>
      <c r="S42" s="3" t="s">
        <v>73</v>
      </c>
      <c r="T42" s="3">
        <v>1</v>
      </c>
      <c r="U42" s="3">
        <v>20</v>
      </c>
      <c r="V42" s="3">
        <v>25</v>
      </c>
      <c r="W42" s="3">
        <v>115</v>
      </c>
      <c r="X42" s="3" t="s">
        <v>144</v>
      </c>
      <c r="Y42" s="3" t="s">
        <v>156</v>
      </c>
    </row>
    <row r="43" spans="1:25" ht="15" customHeight="1" x14ac:dyDescent="0.3">
      <c r="A43" s="27">
        <v>45842</v>
      </c>
      <c r="B43" s="5"/>
      <c r="C43" s="3" t="s">
        <v>38</v>
      </c>
      <c r="D43" s="3" t="s">
        <v>36</v>
      </c>
      <c r="E43" s="3">
        <v>2</v>
      </c>
      <c r="F43" s="3">
        <v>206</v>
      </c>
      <c r="G43" s="6" t="s">
        <v>115</v>
      </c>
      <c r="H43" s="3">
        <v>18379</v>
      </c>
      <c r="I43" s="6" t="s">
        <v>111</v>
      </c>
      <c r="J43" s="3">
        <v>12</v>
      </c>
      <c r="K43" s="23">
        <v>11</v>
      </c>
      <c r="L43" s="3">
        <v>24.8</v>
      </c>
      <c r="M43" s="3">
        <v>14</v>
      </c>
      <c r="N43" s="3">
        <v>1.2</v>
      </c>
      <c r="O43" s="3"/>
      <c r="P43" s="3"/>
      <c r="Q43" s="3"/>
      <c r="R43" s="3" t="s">
        <v>126</v>
      </c>
      <c r="S43" s="3" t="s">
        <v>132</v>
      </c>
      <c r="T43" s="3">
        <v>0.7</v>
      </c>
      <c r="U43" s="3">
        <v>30</v>
      </c>
      <c r="V43" s="3">
        <v>35</v>
      </c>
      <c r="W43" s="3">
        <v>115</v>
      </c>
      <c r="X43" s="3" t="s">
        <v>145</v>
      </c>
      <c r="Y43" s="3" t="s">
        <v>157</v>
      </c>
    </row>
    <row r="44" spans="1:25" ht="15" customHeight="1" x14ac:dyDescent="0.3">
      <c r="A44" s="27">
        <v>45842</v>
      </c>
      <c r="B44" s="5"/>
      <c r="C44" s="3" t="s">
        <v>38</v>
      </c>
      <c r="D44" s="3" t="s">
        <v>36</v>
      </c>
      <c r="E44" s="3">
        <v>2</v>
      </c>
      <c r="F44" s="3">
        <v>207</v>
      </c>
      <c r="G44" s="6" t="s">
        <v>25</v>
      </c>
      <c r="H44" s="3">
        <v>18310</v>
      </c>
      <c r="I44" s="6" t="s">
        <v>111</v>
      </c>
      <c r="J44" s="3">
        <v>12</v>
      </c>
      <c r="K44" s="23">
        <v>9</v>
      </c>
      <c r="L44" s="3">
        <v>36.75</v>
      </c>
      <c r="M44" s="3">
        <v>17</v>
      </c>
      <c r="N44" s="3">
        <v>3</v>
      </c>
      <c r="O44" s="3"/>
      <c r="P44" s="3"/>
      <c r="Q44" s="3"/>
      <c r="R44" s="3" t="s">
        <v>127</v>
      </c>
      <c r="S44" s="3" t="s">
        <v>75</v>
      </c>
      <c r="T44" s="3">
        <v>2.5</v>
      </c>
      <c r="U44" s="3">
        <v>15</v>
      </c>
      <c r="V44" s="3">
        <v>30</v>
      </c>
      <c r="W44" s="3">
        <v>140</v>
      </c>
      <c r="X44" s="3" t="s">
        <v>98</v>
      </c>
      <c r="Y44" s="3" t="s">
        <v>158</v>
      </c>
    </row>
    <row r="45" spans="1:25" ht="15" customHeight="1" x14ac:dyDescent="0.3">
      <c r="A45" s="27">
        <v>45842</v>
      </c>
      <c r="B45" s="5"/>
      <c r="C45" s="3" t="s">
        <v>38</v>
      </c>
      <c r="D45" s="3" t="s">
        <v>36</v>
      </c>
      <c r="E45" s="3">
        <v>2</v>
      </c>
      <c r="F45" s="3">
        <v>208</v>
      </c>
      <c r="G45" s="6" t="s">
        <v>26</v>
      </c>
      <c r="H45" s="3">
        <v>18353</v>
      </c>
      <c r="I45" s="6" t="s">
        <v>112</v>
      </c>
      <c r="J45" s="3">
        <v>2</v>
      </c>
      <c r="K45" s="3">
        <v>2</v>
      </c>
      <c r="L45" s="3">
        <v>35.82</v>
      </c>
      <c r="M45" s="3">
        <v>20</v>
      </c>
      <c r="N45" s="3">
        <v>3</v>
      </c>
      <c r="O45" s="3"/>
      <c r="P45" s="3"/>
      <c r="Q45" s="3"/>
      <c r="R45" s="3" t="s">
        <v>68</v>
      </c>
      <c r="S45" s="3" t="s">
        <v>64</v>
      </c>
      <c r="T45" s="3">
        <v>1</v>
      </c>
      <c r="U45" s="3">
        <v>25</v>
      </c>
      <c r="V45" s="3">
        <v>30</v>
      </c>
      <c r="W45" s="3">
        <v>120</v>
      </c>
      <c r="X45" s="3" t="s">
        <v>101</v>
      </c>
      <c r="Y45" s="3"/>
    </row>
    <row r="46" spans="1:25" ht="15" customHeight="1" x14ac:dyDescent="0.3">
      <c r="A46" s="27">
        <v>45842</v>
      </c>
      <c r="B46" s="5"/>
      <c r="C46" s="3" t="s">
        <v>38</v>
      </c>
      <c r="D46" s="3" t="s">
        <v>36</v>
      </c>
      <c r="E46" s="3">
        <v>2</v>
      </c>
      <c r="F46" s="3">
        <v>209</v>
      </c>
      <c r="G46" s="6" t="s">
        <v>27</v>
      </c>
      <c r="H46" s="3">
        <v>18297</v>
      </c>
      <c r="I46" s="6" t="s">
        <v>111</v>
      </c>
      <c r="J46" s="3">
        <v>12</v>
      </c>
      <c r="K46" s="23">
        <v>10</v>
      </c>
      <c r="L46" s="3">
        <v>29</v>
      </c>
      <c r="M46" s="3">
        <v>11</v>
      </c>
      <c r="N46" s="3">
        <v>1.3</v>
      </c>
      <c r="O46" s="3"/>
      <c r="P46" s="3"/>
      <c r="Q46" s="3"/>
      <c r="R46" s="3" t="s">
        <v>69</v>
      </c>
      <c r="S46" s="3" t="s">
        <v>76</v>
      </c>
      <c r="T46" s="3">
        <v>3</v>
      </c>
      <c r="U46" s="3">
        <v>33</v>
      </c>
      <c r="V46" s="3">
        <v>40</v>
      </c>
      <c r="W46" s="3">
        <v>115</v>
      </c>
      <c r="X46" s="3" t="s">
        <v>102</v>
      </c>
      <c r="Y46" s="3" t="s">
        <v>157</v>
      </c>
    </row>
    <row r="47" spans="1:25" ht="15" customHeight="1" x14ac:dyDescent="0.3">
      <c r="A47" s="27">
        <v>45842</v>
      </c>
      <c r="B47" s="5"/>
      <c r="C47" s="3" t="s">
        <v>38</v>
      </c>
      <c r="D47" s="3" t="s">
        <v>36</v>
      </c>
      <c r="E47" s="3">
        <v>2</v>
      </c>
      <c r="F47" s="3">
        <v>210</v>
      </c>
      <c r="G47" s="6" t="s">
        <v>28</v>
      </c>
      <c r="H47" s="3">
        <v>18365</v>
      </c>
      <c r="I47" s="6" t="s">
        <v>111</v>
      </c>
      <c r="J47" s="3">
        <v>4</v>
      </c>
      <c r="K47" s="3">
        <v>4</v>
      </c>
      <c r="L47" s="3">
        <v>21.1</v>
      </c>
      <c r="M47" s="3">
        <v>7</v>
      </c>
      <c r="N47" s="3">
        <v>4</v>
      </c>
      <c r="O47" s="3"/>
      <c r="P47" s="3"/>
      <c r="Q47" s="3"/>
      <c r="R47" s="3" t="s">
        <v>70</v>
      </c>
      <c r="S47" s="3" t="s">
        <v>77</v>
      </c>
      <c r="T47" s="3">
        <v>1</v>
      </c>
      <c r="U47" s="3">
        <v>20</v>
      </c>
      <c r="V47" s="3">
        <v>30</v>
      </c>
      <c r="W47" s="3">
        <v>100</v>
      </c>
      <c r="X47" s="3" t="s">
        <v>146</v>
      </c>
      <c r="Y47" s="3" t="s">
        <v>159</v>
      </c>
    </row>
    <row r="48" spans="1:25" ht="15" customHeight="1" x14ac:dyDescent="0.3">
      <c r="A48" s="27">
        <v>45842</v>
      </c>
      <c r="B48" s="5"/>
      <c r="C48" s="3" t="s">
        <v>38</v>
      </c>
      <c r="D48" s="3" t="s">
        <v>36</v>
      </c>
      <c r="E48" s="3">
        <v>2</v>
      </c>
      <c r="F48" s="3">
        <v>301</v>
      </c>
      <c r="G48" s="6" t="s">
        <v>30</v>
      </c>
      <c r="H48" s="3">
        <v>17562</v>
      </c>
      <c r="I48" s="6" t="s">
        <v>49</v>
      </c>
      <c r="J48" s="3">
        <v>8</v>
      </c>
      <c r="K48" s="23">
        <v>5</v>
      </c>
      <c r="L48" s="3">
        <v>29</v>
      </c>
      <c r="M48" s="3">
        <v>8</v>
      </c>
      <c r="N48" s="3">
        <v>9.6999999999999993</v>
      </c>
      <c r="O48" s="3"/>
      <c r="P48" s="3"/>
      <c r="Q48" s="3"/>
      <c r="R48" s="3" t="s">
        <v>128</v>
      </c>
      <c r="S48" s="3" t="s">
        <v>133</v>
      </c>
      <c r="T48" s="3">
        <v>2</v>
      </c>
      <c r="U48" s="3">
        <v>25</v>
      </c>
      <c r="V48" s="3">
        <v>50</v>
      </c>
      <c r="W48" s="3">
        <v>130</v>
      </c>
      <c r="X48" s="3" t="s">
        <v>147</v>
      </c>
      <c r="Y48" s="3" t="s">
        <v>160</v>
      </c>
    </row>
    <row r="49" spans="1:25" ht="15" customHeight="1" x14ac:dyDescent="0.3">
      <c r="A49" s="27">
        <v>45842</v>
      </c>
      <c r="B49" s="5"/>
      <c r="C49" s="3" t="s">
        <v>38</v>
      </c>
      <c r="D49" s="3" t="s">
        <v>36</v>
      </c>
      <c r="E49" s="3">
        <v>2</v>
      </c>
      <c r="F49" s="3">
        <v>302</v>
      </c>
      <c r="G49" s="6" t="s">
        <v>31</v>
      </c>
      <c r="H49" s="3">
        <v>17523</v>
      </c>
      <c r="I49" s="6" t="s">
        <v>49</v>
      </c>
      <c r="J49" s="3">
        <v>12</v>
      </c>
      <c r="K49" s="23">
        <v>10</v>
      </c>
      <c r="L49" s="3">
        <v>60.12</v>
      </c>
      <c r="M49" s="3">
        <v>15</v>
      </c>
      <c r="N49" s="3">
        <v>10.37</v>
      </c>
      <c r="O49" s="3"/>
      <c r="P49" s="3"/>
      <c r="Q49" s="3">
        <v>155</v>
      </c>
      <c r="R49" s="3" t="s">
        <v>129</v>
      </c>
      <c r="S49" s="3" t="s">
        <v>134</v>
      </c>
      <c r="T49" s="3">
        <v>5</v>
      </c>
      <c r="U49" s="3">
        <v>30</v>
      </c>
      <c r="V49" s="3">
        <v>60</v>
      </c>
      <c r="W49" s="3">
        <v>150</v>
      </c>
      <c r="X49" s="3" t="s">
        <v>148</v>
      </c>
      <c r="Y49" s="6" t="s">
        <v>161</v>
      </c>
    </row>
    <row r="50" spans="1:25" ht="15" customHeight="1" x14ac:dyDescent="0.3">
      <c r="A50" s="27">
        <v>45842</v>
      </c>
      <c r="B50" s="5"/>
      <c r="C50" s="3" t="s">
        <v>38</v>
      </c>
      <c r="D50" s="3" t="s">
        <v>36</v>
      </c>
      <c r="E50" s="3">
        <v>2</v>
      </c>
      <c r="F50" s="3">
        <v>303</v>
      </c>
      <c r="G50" s="6" t="s">
        <v>32</v>
      </c>
      <c r="H50" s="3">
        <v>17685</v>
      </c>
      <c r="I50" s="6" t="s">
        <v>49</v>
      </c>
      <c r="J50" s="3">
        <v>12</v>
      </c>
      <c r="K50" s="23">
        <v>7</v>
      </c>
      <c r="L50" s="3">
        <v>39</v>
      </c>
      <c r="M50" s="3">
        <v>15.5</v>
      </c>
      <c r="N50" s="3">
        <v>7</v>
      </c>
      <c r="O50" s="3"/>
      <c r="P50" s="3"/>
      <c r="Q50" s="3">
        <v>150</v>
      </c>
      <c r="R50" s="3" t="s">
        <v>130</v>
      </c>
      <c r="S50" s="3" t="s">
        <v>135</v>
      </c>
      <c r="T50" s="3">
        <v>3</v>
      </c>
      <c r="U50" s="3">
        <v>20</v>
      </c>
      <c r="V50" s="3">
        <v>30</v>
      </c>
      <c r="W50" s="3">
        <v>135</v>
      </c>
      <c r="X50" s="3" t="s">
        <v>149</v>
      </c>
      <c r="Y50" s="3" t="s">
        <v>162</v>
      </c>
    </row>
    <row r="51" spans="1:25" ht="15" customHeight="1" x14ac:dyDescent="0.3">
      <c r="A51" s="27">
        <v>45842</v>
      </c>
      <c r="B51" s="5"/>
      <c r="C51" s="3" t="s">
        <v>38</v>
      </c>
      <c r="D51" s="3" t="s">
        <v>36</v>
      </c>
      <c r="E51" s="3">
        <v>2</v>
      </c>
      <c r="F51" s="3">
        <v>505</v>
      </c>
      <c r="G51" s="7" t="s">
        <v>33</v>
      </c>
      <c r="H51" s="3">
        <v>18363</v>
      </c>
      <c r="I51" s="7" t="s">
        <v>110</v>
      </c>
      <c r="J51" s="3">
        <v>14</v>
      </c>
      <c r="K51" s="3">
        <v>14</v>
      </c>
      <c r="L51" s="3">
        <v>88.8</v>
      </c>
      <c r="M51" s="3"/>
      <c r="N51" s="3"/>
      <c r="O51" s="3">
        <v>9</v>
      </c>
      <c r="P51" s="3"/>
      <c r="Q51" s="3"/>
      <c r="R51" s="3" t="s">
        <v>131</v>
      </c>
      <c r="S51" s="3" t="s">
        <v>136</v>
      </c>
      <c r="T51" s="3"/>
      <c r="U51" s="3">
        <v>10</v>
      </c>
      <c r="V51" s="3">
        <v>35</v>
      </c>
      <c r="W51" s="3"/>
      <c r="X51" s="3" t="s">
        <v>150</v>
      </c>
      <c r="Y51" s="3"/>
    </row>
    <row r="52" spans="1:25" ht="15" customHeight="1" x14ac:dyDescent="0.3">
      <c r="A52" s="27">
        <v>45842</v>
      </c>
      <c r="B52" s="5"/>
      <c r="C52" s="3" t="s">
        <v>38</v>
      </c>
      <c r="D52" s="3" t="s">
        <v>36</v>
      </c>
      <c r="E52" s="3">
        <v>2</v>
      </c>
      <c r="F52" s="3">
        <v>501</v>
      </c>
      <c r="G52" s="6" t="s">
        <v>59</v>
      </c>
      <c r="H52" s="3">
        <v>18333</v>
      </c>
      <c r="I52" s="6" t="s">
        <v>110</v>
      </c>
      <c r="J52" s="3">
        <v>6</v>
      </c>
      <c r="K52" s="3">
        <v>6</v>
      </c>
      <c r="L52" s="3">
        <v>16.02</v>
      </c>
      <c r="M52" s="3"/>
      <c r="N52" s="3"/>
      <c r="O52" s="3">
        <v>10</v>
      </c>
      <c r="P52" s="3"/>
      <c r="Q52" s="3"/>
      <c r="R52" s="3"/>
      <c r="S52" s="3"/>
      <c r="T52" s="3"/>
      <c r="U52" s="3"/>
      <c r="V52" s="3"/>
      <c r="W52" s="3" t="s">
        <v>137</v>
      </c>
      <c r="X52" s="3" t="s">
        <v>151</v>
      </c>
      <c r="Y52" s="3"/>
    </row>
    <row r="53" spans="1:25" ht="15" customHeight="1" x14ac:dyDescent="0.3">
      <c r="A53" s="5">
        <v>45845</v>
      </c>
      <c r="B53" s="5"/>
      <c r="C53" s="3" t="s">
        <v>38</v>
      </c>
      <c r="D53" s="3" t="s">
        <v>164</v>
      </c>
      <c r="E53" s="3">
        <v>2</v>
      </c>
      <c r="F53" s="3">
        <v>101</v>
      </c>
      <c r="G53" s="6" t="s">
        <v>165</v>
      </c>
      <c r="H53" s="3" t="s">
        <v>166</v>
      </c>
      <c r="I53" s="6" t="s">
        <v>5</v>
      </c>
      <c r="J53" s="3">
        <v>4</v>
      </c>
      <c r="K53" s="3">
        <v>4</v>
      </c>
      <c r="L53" s="3">
        <v>12.12</v>
      </c>
      <c r="M53" s="3">
        <v>3.2</v>
      </c>
      <c r="N53" s="3">
        <v>5.7</v>
      </c>
      <c r="O53" s="3">
        <v>4</v>
      </c>
      <c r="P53" s="3">
        <v>56</v>
      </c>
      <c r="Q53" s="3">
        <v>180</v>
      </c>
      <c r="R53" s="3"/>
      <c r="S53" s="3"/>
      <c r="T53" s="3"/>
      <c r="U53" s="3"/>
      <c r="V53" s="3"/>
      <c r="W53" s="3"/>
      <c r="X53" s="3" t="s">
        <v>138</v>
      </c>
      <c r="Y53" s="3" t="s">
        <v>138</v>
      </c>
    </row>
    <row r="54" spans="1:25" ht="15" customHeight="1" x14ac:dyDescent="0.3">
      <c r="A54" s="5">
        <v>45845</v>
      </c>
      <c r="B54" s="5"/>
      <c r="C54" s="3" t="s">
        <v>38</v>
      </c>
      <c r="D54" s="3" t="s">
        <v>164</v>
      </c>
      <c r="E54" s="3">
        <v>2</v>
      </c>
      <c r="F54" s="3">
        <v>102</v>
      </c>
      <c r="G54" s="6" t="s">
        <v>7</v>
      </c>
      <c r="H54" s="3" t="s">
        <v>167</v>
      </c>
      <c r="I54" s="6" t="s">
        <v>5</v>
      </c>
      <c r="J54" s="3">
        <v>6</v>
      </c>
      <c r="K54" s="3">
        <v>6</v>
      </c>
      <c r="L54" s="3">
        <v>12.73</v>
      </c>
      <c r="M54" s="3">
        <v>13.3</v>
      </c>
      <c r="N54" s="3">
        <v>5.0999999999999996</v>
      </c>
      <c r="O54" s="3">
        <v>4</v>
      </c>
      <c r="P54" s="3">
        <v>50</v>
      </c>
      <c r="Q54" s="3">
        <v>170</v>
      </c>
      <c r="R54" s="3"/>
      <c r="S54" s="3"/>
      <c r="T54" s="3"/>
      <c r="U54" s="3"/>
      <c r="V54" s="3"/>
      <c r="W54" s="3"/>
      <c r="X54" s="3" t="s">
        <v>206</v>
      </c>
      <c r="Y54" s="3" t="s">
        <v>138</v>
      </c>
    </row>
    <row r="55" spans="1:25" ht="15" customHeight="1" x14ac:dyDescent="0.3">
      <c r="A55" s="5">
        <v>45845</v>
      </c>
      <c r="B55" s="5"/>
      <c r="C55" s="3" t="s">
        <v>38</v>
      </c>
      <c r="D55" s="3" t="s">
        <v>164</v>
      </c>
      <c r="E55" s="3">
        <v>2</v>
      </c>
      <c r="F55" s="3">
        <v>103</v>
      </c>
      <c r="G55" s="7" t="s">
        <v>163</v>
      </c>
      <c r="H55" s="3" t="s">
        <v>168</v>
      </c>
      <c r="I55" s="6" t="s">
        <v>5</v>
      </c>
      <c r="J55" s="3">
        <v>5</v>
      </c>
      <c r="K55" s="3">
        <v>5</v>
      </c>
      <c r="L55" s="3">
        <v>14.85</v>
      </c>
      <c r="M55" s="3">
        <v>3.3</v>
      </c>
      <c r="N55" s="3">
        <v>7.3</v>
      </c>
      <c r="O55" s="3">
        <v>7</v>
      </c>
      <c r="P55" s="3">
        <v>35</v>
      </c>
      <c r="Q55" s="3">
        <v>165</v>
      </c>
      <c r="R55" s="3"/>
      <c r="S55" s="3"/>
      <c r="T55" s="3"/>
      <c r="U55" s="3"/>
      <c r="V55" s="3"/>
      <c r="W55" s="3"/>
      <c r="X55" s="3" t="s">
        <v>87</v>
      </c>
      <c r="Y55" s="3" t="s">
        <v>217</v>
      </c>
    </row>
    <row r="56" spans="1:25" ht="15" customHeight="1" x14ac:dyDescent="0.3">
      <c r="A56" s="5">
        <v>45845</v>
      </c>
      <c r="B56" s="5"/>
      <c r="C56" s="3" t="s">
        <v>38</v>
      </c>
      <c r="D56" s="3" t="s">
        <v>164</v>
      </c>
      <c r="E56" s="3">
        <v>2</v>
      </c>
      <c r="F56" s="3">
        <v>104</v>
      </c>
      <c r="G56" s="6" t="s">
        <v>169</v>
      </c>
      <c r="H56" s="3" t="s">
        <v>170</v>
      </c>
      <c r="I56" s="6" t="s">
        <v>5</v>
      </c>
      <c r="J56" s="3">
        <v>9</v>
      </c>
      <c r="K56" s="3">
        <v>9</v>
      </c>
      <c r="L56" s="3">
        <v>12.19</v>
      </c>
      <c r="M56" s="3">
        <v>3</v>
      </c>
      <c r="N56" s="3">
        <v>5.5</v>
      </c>
      <c r="O56" s="3">
        <v>4</v>
      </c>
      <c r="P56" s="3"/>
      <c r="Q56" s="3">
        <v>170</v>
      </c>
      <c r="R56" s="3"/>
      <c r="S56" s="3"/>
      <c r="T56" s="3"/>
      <c r="U56" s="3"/>
      <c r="V56" s="3"/>
      <c r="W56" s="3"/>
      <c r="X56" s="3" t="s">
        <v>207</v>
      </c>
      <c r="Y56" s="3" t="s">
        <v>84</v>
      </c>
    </row>
    <row r="57" spans="1:25" ht="15" customHeight="1" x14ac:dyDescent="0.3">
      <c r="A57" s="5">
        <v>45845</v>
      </c>
      <c r="B57" s="5"/>
      <c r="C57" s="3" t="s">
        <v>38</v>
      </c>
      <c r="D57" s="3" t="s">
        <v>164</v>
      </c>
      <c r="E57" s="3">
        <v>2</v>
      </c>
      <c r="F57" s="3">
        <v>161</v>
      </c>
      <c r="G57" s="6" t="s">
        <v>171</v>
      </c>
      <c r="H57" s="3" t="s">
        <v>172</v>
      </c>
      <c r="I57" s="6" t="s">
        <v>49</v>
      </c>
      <c r="J57" s="3">
        <v>2</v>
      </c>
      <c r="K57" s="3">
        <v>2</v>
      </c>
      <c r="L57" s="3">
        <v>21.01</v>
      </c>
      <c r="M57" s="3">
        <v>8</v>
      </c>
      <c r="N57" s="3">
        <v>8.5</v>
      </c>
      <c r="O57" s="3">
        <v>2.9</v>
      </c>
      <c r="P57" s="3"/>
      <c r="Q57" s="3">
        <v>180</v>
      </c>
      <c r="R57" s="3"/>
      <c r="S57" s="3"/>
      <c r="T57" s="3"/>
      <c r="U57" s="3"/>
      <c r="V57" s="3"/>
      <c r="W57" s="3"/>
      <c r="X57" s="3" t="s">
        <v>84</v>
      </c>
      <c r="Y57" s="3" t="s">
        <v>152</v>
      </c>
    </row>
    <row r="58" spans="1:25" ht="15" customHeight="1" x14ac:dyDescent="0.3">
      <c r="A58" s="5">
        <v>45845</v>
      </c>
      <c r="B58" s="5"/>
      <c r="C58" s="3" t="s">
        <v>38</v>
      </c>
      <c r="D58" s="3" t="s">
        <v>164</v>
      </c>
      <c r="E58" s="3">
        <v>2</v>
      </c>
      <c r="F58" s="3">
        <v>162</v>
      </c>
      <c r="G58" s="6" t="s">
        <v>114</v>
      </c>
      <c r="H58" s="3" t="s">
        <v>173</v>
      </c>
      <c r="I58" s="6" t="s">
        <v>49</v>
      </c>
      <c r="J58" s="3">
        <v>2</v>
      </c>
      <c r="K58" s="3">
        <v>2</v>
      </c>
      <c r="L58" s="3">
        <v>21.3</v>
      </c>
      <c r="M58" s="3">
        <v>3.5</v>
      </c>
      <c r="N58" s="3">
        <v>6</v>
      </c>
      <c r="O58" s="3">
        <v>3.25</v>
      </c>
      <c r="P58" s="3">
        <v>19</v>
      </c>
      <c r="Q58" s="3">
        <v>170</v>
      </c>
      <c r="R58" s="3"/>
      <c r="S58" s="3"/>
      <c r="T58" s="3"/>
      <c r="U58" s="3"/>
      <c r="V58" s="3"/>
      <c r="W58" s="3"/>
      <c r="X58" s="3" t="s">
        <v>84</v>
      </c>
      <c r="Y58" s="3" t="s">
        <v>83</v>
      </c>
    </row>
    <row r="59" spans="1:25" ht="15" customHeight="1" x14ac:dyDescent="0.3">
      <c r="A59" s="5">
        <v>45845</v>
      </c>
      <c r="B59" s="5"/>
      <c r="C59" s="3" t="s">
        <v>38</v>
      </c>
      <c r="D59" s="3" t="s">
        <v>164</v>
      </c>
      <c r="E59" s="3">
        <v>2</v>
      </c>
      <c r="F59" s="3">
        <v>164</v>
      </c>
      <c r="G59" s="6" t="s">
        <v>174</v>
      </c>
      <c r="H59" s="3" t="s">
        <v>175</v>
      </c>
      <c r="I59" s="6" t="s">
        <v>49</v>
      </c>
      <c r="J59" s="3">
        <v>2</v>
      </c>
      <c r="K59" s="3">
        <v>2</v>
      </c>
      <c r="L59" s="3">
        <v>23.99</v>
      </c>
      <c r="M59" s="3">
        <v>8</v>
      </c>
      <c r="N59" s="3">
        <v>11</v>
      </c>
      <c r="O59" s="3">
        <v>4.2</v>
      </c>
      <c r="P59" s="3">
        <v>30</v>
      </c>
      <c r="Q59" s="3">
        <v>185</v>
      </c>
      <c r="R59" s="3"/>
      <c r="S59" s="3"/>
      <c r="T59" s="3"/>
      <c r="U59" s="3"/>
      <c r="V59" s="3"/>
      <c r="W59" s="3"/>
      <c r="X59" s="3" t="s">
        <v>80</v>
      </c>
      <c r="Y59" s="3" t="s">
        <v>153</v>
      </c>
    </row>
    <row r="60" spans="1:25" ht="15" customHeight="1" x14ac:dyDescent="0.3">
      <c r="A60" s="5">
        <v>45845</v>
      </c>
      <c r="B60" s="5"/>
      <c r="C60" s="3" t="s">
        <v>38</v>
      </c>
      <c r="D60" s="3" t="s">
        <v>164</v>
      </c>
      <c r="E60" s="3">
        <v>2</v>
      </c>
      <c r="F60" s="3">
        <v>182</v>
      </c>
      <c r="G60" s="6" t="s">
        <v>176</v>
      </c>
      <c r="H60" s="3" t="s">
        <v>177</v>
      </c>
      <c r="I60" s="6" t="s">
        <v>49</v>
      </c>
      <c r="J60" s="3">
        <v>4</v>
      </c>
      <c r="K60" s="3">
        <v>4</v>
      </c>
      <c r="L60" s="3">
        <v>14</v>
      </c>
      <c r="M60" s="3">
        <v>3.5</v>
      </c>
      <c r="N60" s="3">
        <v>6</v>
      </c>
      <c r="O60" s="3">
        <v>3</v>
      </c>
      <c r="P60" s="3">
        <v>35</v>
      </c>
      <c r="Q60" s="3">
        <v>170</v>
      </c>
      <c r="R60" s="3"/>
      <c r="S60" s="3"/>
      <c r="T60" s="3"/>
      <c r="U60" s="3"/>
      <c r="V60" s="3"/>
      <c r="W60" s="3"/>
      <c r="X60" s="3" t="s">
        <v>82</v>
      </c>
      <c r="Y60" s="3" t="s">
        <v>153</v>
      </c>
    </row>
    <row r="61" spans="1:25" ht="15" customHeight="1" x14ac:dyDescent="0.3">
      <c r="A61" s="5">
        <v>45845</v>
      </c>
      <c r="B61" s="5"/>
      <c r="C61" s="3" t="s">
        <v>38</v>
      </c>
      <c r="D61" s="3" t="s">
        <v>164</v>
      </c>
      <c r="E61" s="3">
        <v>2</v>
      </c>
      <c r="F61" s="3">
        <v>402</v>
      </c>
      <c r="G61" s="6" t="s">
        <v>178</v>
      </c>
      <c r="H61" s="3" t="s">
        <v>179</v>
      </c>
      <c r="I61" s="6" t="s">
        <v>49</v>
      </c>
      <c r="J61" s="3">
        <v>2</v>
      </c>
      <c r="K61" s="3">
        <v>2</v>
      </c>
      <c r="L61" s="3">
        <v>10</v>
      </c>
      <c r="M61" s="3"/>
      <c r="N61" s="3"/>
      <c r="O61" s="3">
        <v>4</v>
      </c>
      <c r="P61" s="3"/>
      <c r="Q61" s="3"/>
      <c r="R61" s="3"/>
      <c r="S61" s="3"/>
      <c r="T61" s="3"/>
      <c r="U61" s="3"/>
      <c r="V61" s="3"/>
      <c r="W61" s="3"/>
      <c r="X61" s="6" t="s">
        <v>208</v>
      </c>
      <c r="Y61" s="3"/>
    </row>
    <row r="62" spans="1:25" ht="15" customHeight="1" x14ac:dyDescent="0.3">
      <c r="A62" s="5">
        <v>45845</v>
      </c>
      <c r="B62" s="5"/>
      <c r="C62" s="3" t="s">
        <v>38</v>
      </c>
      <c r="D62" s="3" t="s">
        <v>164</v>
      </c>
      <c r="E62" s="3">
        <v>2</v>
      </c>
      <c r="F62" s="3">
        <v>404</v>
      </c>
      <c r="G62" s="6" t="s">
        <v>13</v>
      </c>
      <c r="H62" s="3" t="s">
        <v>180</v>
      </c>
      <c r="I62" s="6" t="s">
        <v>49</v>
      </c>
      <c r="J62" s="3">
        <v>2</v>
      </c>
      <c r="K62" s="3">
        <v>2</v>
      </c>
      <c r="L62" s="3">
        <v>7.5</v>
      </c>
      <c r="M62" s="3"/>
      <c r="N62" s="3"/>
      <c r="O62" s="3">
        <v>3.2</v>
      </c>
      <c r="P62" s="3"/>
      <c r="Q62" s="3"/>
      <c r="R62" s="3"/>
      <c r="S62" s="3"/>
      <c r="T62" s="3"/>
      <c r="U62" s="3"/>
      <c r="V62" s="3"/>
      <c r="W62" s="3"/>
      <c r="X62" s="3" t="s">
        <v>209</v>
      </c>
      <c r="Y62" s="3"/>
    </row>
    <row r="63" spans="1:25" ht="15" customHeight="1" x14ac:dyDescent="0.3">
      <c r="A63" s="5">
        <v>45845</v>
      </c>
      <c r="B63" s="5"/>
      <c r="C63" s="3" t="s">
        <v>38</v>
      </c>
      <c r="D63" s="3" t="s">
        <v>164</v>
      </c>
      <c r="E63" s="3">
        <v>2</v>
      </c>
      <c r="F63" s="3">
        <v>174</v>
      </c>
      <c r="G63" s="6" t="s">
        <v>181</v>
      </c>
      <c r="H63" s="3" t="s">
        <v>182</v>
      </c>
      <c r="I63" s="6" t="s">
        <v>49</v>
      </c>
      <c r="J63" s="3">
        <v>5</v>
      </c>
      <c r="K63" s="3">
        <v>5</v>
      </c>
      <c r="L63" s="3">
        <v>13.54</v>
      </c>
      <c r="M63" s="3">
        <v>0.8</v>
      </c>
      <c r="N63" s="3">
        <v>8.4</v>
      </c>
      <c r="O63" s="3">
        <v>6</v>
      </c>
      <c r="P63" s="3" t="s">
        <v>198</v>
      </c>
      <c r="Q63" s="3">
        <v>170</v>
      </c>
      <c r="R63" s="3"/>
      <c r="S63" s="3"/>
      <c r="T63" s="3"/>
      <c r="U63" s="3"/>
      <c r="V63" s="3"/>
      <c r="W63" s="3"/>
      <c r="X63" s="3" t="s">
        <v>84</v>
      </c>
      <c r="Y63" s="3" t="s">
        <v>87</v>
      </c>
    </row>
    <row r="64" spans="1:25" ht="15" customHeight="1" x14ac:dyDescent="0.3">
      <c r="A64" s="5">
        <v>45845</v>
      </c>
      <c r="B64" s="5"/>
      <c r="C64" s="3" t="s">
        <v>38</v>
      </c>
      <c r="D64" s="3" t="s">
        <v>164</v>
      </c>
      <c r="E64" s="3">
        <v>2</v>
      </c>
      <c r="F64" s="3">
        <v>176</v>
      </c>
      <c r="G64" s="6" t="s">
        <v>17</v>
      </c>
      <c r="H64" s="3" t="s">
        <v>183</v>
      </c>
      <c r="I64" s="6" t="s">
        <v>49</v>
      </c>
      <c r="J64" s="3">
        <v>5</v>
      </c>
      <c r="K64" s="3">
        <v>5</v>
      </c>
      <c r="L64" s="3">
        <v>16.86</v>
      </c>
      <c r="M64" s="3">
        <v>2.2000000000000002</v>
      </c>
      <c r="N64" s="3">
        <v>11</v>
      </c>
      <c r="O64" s="3">
        <v>8</v>
      </c>
      <c r="P64" s="3" t="s">
        <v>62</v>
      </c>
      <c r="Q64" s="3">
        <v>175</v>
      </c>
      <c r="R64" s="3"/>
      <c r="S64" s="3"/>
      <c r="T64" s="3"/>
      <c r="U64" s="3"/>
      <c r="V64" s="3"/>
      <c r="W64" s="3"/>
      <c r="X64" s="3" t="s">
        <v>80</v>
      </c>
      <c r="Y64" s="3" t="s">
        <v>80</v>
      </c>
    </row>
    <row r="65" spans="1:25" ht="15" customHeight="1" x14ac:dyDescent="0.3">
      <c r="A65" s="5">
        <v>45845</v>
      </c>
      <c r="B65" s="5"/>
      <c r="C65" s="3" t="s">
        <v>38</v>
      </c>
      <c r="D65" s="3" t="s">
        <v>164</v>
      </c>
      <c r="E65" s="3">
        <v>2</v>
      </c>
      <c r="F65" s="3">
        <v>177</v>
      </c>
      <c r="G65" s="6" t="s">
        <v>18</v>
      </c>
      <c r="H65" s="3" t="s">
        <v>184</v>
      </c>
      <c r="I65" s="6" t="s">
        <v>49</v>
      </c>
      <c r="J65" s="3">
        <v>3</v>
      </c>
      <c r="K65" s="3">
        <v>3</v>
      </c>
      <c r="L65" s="3">
        <v>14.01</v>
      </c>
      <c r="M65" s="3">
        <v>4</v>
      </c>
      <c r="N65" s="3">
        <v>6.45</v>
      </c>
      <c r="O65" s="3">
        <v>4.2</v>
      </c>
      <c r="P65" s="3"/>
      <c r="Q65" s="3">
        <v>170</v>
      </c>
      <c r="R65" s="3"/>
      <c r="S65" s="3"/>
      <c r="T65" s="3"/>
      <c r="U65" s="3"/>
      <c r="V65" s="3"/>
      <c r="W65" s="3"/>
      <c r="X65" s="3" t="s">
        <v>87</v>
      </c>
      <c r="Y65" s="3" t="s">
        <v>89</v>
      </c>
    </row>
    <row r="66" spans="1:25" ht="15" customHeight="1" x14ac:dyDescent="0.3">
      <c r="A66" s="5">
        <v>45845</v>
      </c>
      <c r="B66" s="5"/>
      <c r="C66" s="3" t="s">
        <v>38</v>
      </c>
      <c r="D66" s="3" t="s">
        <v>164</v>
      </c>
      <c r="E66" s="3">
        <v>2</v>
      </c>
      <c r="F66" s="3">
        <v>131</v>
      </c>
      <c r="G66" s="6" t="s">
        <v>185</v>
      </c>
      <c r="H66" s="3" t="s">
        <v>186</v>
      </c>
      <c r="I66" s="6" t="s">
        <v>49</v>
      </c>
      <c r="J66" s="3">
        <v>3</v>
      </c>
      <c r="K66" s="23">
        <v>2</v>
      </c>
      <c r="L66" s="3">
        <v>17.5</v>
      </c>
      <c r="M66" s="3">
        <v>3.5</v>
      </c>
      <c r="N66" s="3">
        <v>9.3000000000000007</v>
      </c>
      <c r="O66" s="3">
        <v>5.5</v>
      </c>
      <c r="P66" s="3"/>
      <c r="Q66" s="3">
        <v>180</v>
      </c>
      <c r="R66" s="3"/>
      <c r="S66" s="3"/>
      <c r="T66" s="3"/>
      <c r="U66" s="3"/>
      <c r="V66" s="3"/>
      <c r="W66" s="3"/>
      <c r="X66" s="3" t="s">
        <v>80</v>
      </c>
      <c r="Y66" s="3" t="s">
        <v>218</v>
      </c>
    </row>
    <row r="67" spans="1:25" ht="15" customHeight="1" x14ac:dyDescent="0.3">
      <c r="A67" s="5">
        <v>45845</v>
      </c>
      <c r="B67" s="5"/>
      <c r="C67" s="3" t="s">
        <v>38</v>
      </c>
      <c r="D67" s="3" t="s">
        <v>164</v>
      </c>
      <c r="E67" s="3">
        <v>2</v>
      </c>
      <c r="F67" s="3">
        <v>202</v>
      </c>
      <c r="G67" s="6" t="s">
        <v>58</v>
      </c>
      <c r="H67" s="3" t="s">
        <v>187</v>
      </c>
      <c r="I67" s="6" t="s">
        <v>111</v>
      </c>
      <c r="J67" s="3">
        <v>8</v>
      </c>
      <c r="K67" s="23">
        <v>5</v>
      </c>
      <c r="L67" s="3">
        <v>37.700000000000003</v>
      </c>
      <c r="M67" s="3">
        <v>20</v>
      </c>
      <c r="N67" s="3">
        <v>3</v>
      </c>
      <c r="O67" s="3"/>
      <c r="P67" s="3"/>
      <c r="Q67" s="3"/>
      <c r="R67" s="3" t="s">
        <v>64</v>
      </c>
      <c r="S67" s="3" t="s">
        <v>72</v>
      </c>
      <c r="T67" s="3">
        <v>1.3</v>
      </c>
      <c r="U67" s="3">
        <v>25</v>
      </c>
      <c r="V67" s="3">
        <v>30</v>
      </c>
      <c r="W67" s="3">
        <v>140</v>
      </c>
      <c r="X67" s="3" t="s">
        <v>210</v>
      </c>
      <c r="Y67" s="3"/>
    </row>
    <row r="68" spans="1:25" ht="15" customHeight="1" x14ac:dyDescent="0.3">
      <c r="A68" s="5">
        <v>45845</v>
      </c>
      <c r="B68" s="5"/>
      <c r="C68" s="3" t="s">
        <v>38</v>
      </c>
      <c r="D68" s="3" t="s">
        <v>164</v>
      </c>
      <c r="E68" s="3">
        <v>2</v>
      </c>
      <c r="F68" s="3">
        <v>203</v>
      </c>
      <c r="G68" s="6" t="s">
        <v>23</v>
      </c>
      <c r="H68" s="3" t="s">
        <v>188</v>
      </c>
      <c r="I68" s="6" t="s">
        <v>111</v>
      </c>
      <c r="J68" s="3">
        <v>8</v>
      </c>
      <c r="K68" s="3">
        <v>8</v>
      </c>
      <c r="L68" s="3">
        <v>16.100000000000001</v>
      </c>
      <c r="M68" s="3">
        <v>5</v>
      </c>
      <c r="N68" s="3">
        <v>3</v>
      </c>
      <c r="O68" s="3"/>
      <c r="P68" s="3"/>
      <c r="Q68" s="3"/>
      <c r="R68" s="3" t="s">
        <v>65</v>
      </c>
      <c r="S68" s="3" t="s">
        <v>73</v>
      </c>
      <c r="T68" s="3">
        <v>1</v>
      </c>
      <c r="U68" s="3">
        <v>20</v>
      </c>
      <c r="V68" s="3">
        <v>25</v>
      </c>
      <c r="W68" s="3">
        <v>115</v>
      </c>
      <c r="X68" s="3" t="s">
        <v>211</v>
      </c>
      <c r="Y68" s="6" t="s">
        <v>219</v>
      </c>
    </row>
    <row r="69" spans="1:25" ht="15" customHeight="1" x14ac:dyDescent="0.3">
      <c r="A69" s="5">
        <v>45845</v>
      </c>
      <c r="B69" s="5"/>
      <c r="C69" s="3" t="s">
        <v>38</v>
      </c>
      <c r="D69" s="3" t="s">
        <v>164</v>
      </c>
      <c r="E69" s="3">
        <v>2</v>
      </c>
      <c r="F69" s="3">
        <v>207</v>
      </c>
      <c r="G69" s="6" t="s">
        <v>25</v>
      </c>
      <c r="H69" s="3" t="s">
        <v>189</v>
      </c>
      <c r="I69" s="6" t="s">
        <v>111</v>
      </c>
      <c r="J69" s="3">
        <v>12</v>
      </c>
      <c r="K69" s="23">
        <v>9</v>
      </c>
      <c r="L69" s="3">
        <v>36.72</v>
      </c>
      <c r="M69" s="3">
        <v>17</v>
      </c>
      <c r="N69" s="3">
        <v>3</v>
      </c>
      <c r="O69" s="3"/>
      <c r="P69" s="3"/>
      <c r="Q69" s="3"/>
      <c r="R69" s="3" t="s">
        <v>199</v>
      </c>
      <c r="S69" s="3" t="s">
        <v>75</v>
      </c>
      <c r="T69" s="3">
        <v>2.5</v>
      </c>
      <c r="U69" s="3">
        <v>15</v>
      </c>
      <c r="V69" s="3">
        <v>30</v>
      </c>
      <c r="W69" s="3">
        <v>140</v>
      </c>
      <c r="X69" s="3" t="s">
        <v>212</v>
      </c>
      <c r="Y69" s="3" t="s">
        <v>220</v>
      </c>
    </row>
    <row r="70" spans="1:25" ht="15" customHeight="1" x14ac:dyDescent="0.3">
      <c r="A70" s="5">
        <v>45845</v>
      </c>
      <c r="B70" s="5"/>
      <c r="C70" s="3" t="s">
        <v>38</v>
      </c>
      <c r="D70" s="3" t="s">
        <v>164</v>
      </c>
      <c r="E70" s="3">
        <v>2</v>
      </c>
      <c r="F70" s="3">
        <v>208</v>
      </c>
      <c r="G70" s="6" t="s">
        <v>26</v>
      </c>
      <c r="H70" s="3" t="s">
        <v>190</v>
      </c>
      <c r="I70" s="6" t="s">
        <v>112</v>
      </c>
      <c r="J70" s="3">
        <v>2</v>
      </c>
      <c r="K70" s="3">
        <v>2</v>
      </c>
      <c r="L70" s="3">
        <v>35.799999999999997</v>
      </c>
      <c r="M70" s="3">
        <v>20</v>
      </c>
      <c r="N70" s="3">
        <v>3</v>
      </c>
      <c r="O70" s="3"/>
      <c r="P70" s="3"/>
      <c r="Q70" s="3"/>
      <c r="R70" s="3" t="s">
        <v>200</v>
      </c>
      <c r="S70" s="3" t="s">
        <v>203</v>
      </c>
      <c r="T70" s="3">
        <v>1</v>
      </c>
      <c r="U70" s="3">
        <v>25</v>
      </c>
      <c r="V70" s="3">
        <v>30</v>
      </c>
      <c r="W70" s="3">
        <v>120</v>
      </c>
      <c r="X70" s="3" t="s">
        <v>101</v>
      </c>
      <c r="Y70" s="3"/>
    </row>
    <row r="71" spans="1:25" ht="15" customHeight="1" x14ac:dyDescent="0.3">
      <c r="A71" s="5">
        <v>45845</v>
      </c>
      <c r="B71" s="5"/>
      <c r="C71" s="3" t="s">
        <v>38</v>
      </c>
      <c r="D71" s="3" t="s">
        <v>164</v>
      </c>
      <c r="E71" s="3">
        <v>2</v>
      </c>
      <c r="F71" s="3">
        <v>210</v>
      </c>
      <c r="G71" s="6" t="s">
        <v>191</v>
      </c>
      <c r="H71" s="3" t="s">
        <v>192</v>
      </c>
      <c r="I71" s="6" t="s">
        <v>111</v>
      </c>
      <c r="J71" s="3">
        <v>4</v>
      </c>
      <c r="K71" s="3">
        <v>4</v>
      </c>
      <c r="L71" s="3">
        <v>22.2</v>
      </c>
      <c r="M71" s="3">
        <v>8</v>
      </c>
      <c r="N71" s="3">
        <v>4</v>
      </c>
      <c r="O71" s="3"/>
      <c r="P71" s="3"/>
      <c r="Q71" s="3"/>
      <c r="R71" s="3" t="s">
        <v>70</v>
      </c>
      <c r="S71" s="3" t="s">
        <v>77</v>
      </c>
      <c r="T71" s="3">
        <v>1</v>
      </c>
      <c r="U71" s="3">
        <v>20</v>
      </c>
      <c r="V71" s="3">
        <v>30</v>
      </c>
      <c r="W71" s="3">
        <v>100</v>
      </c>
      <c r="X71" s="3" t="s">
        <v>213</v>
      </c>
      <c r="Y71" s="3" t="s">
        <v>221</v>
      </c>
    </row>
    <row r="72" spans="1:25" ht="15" customHeight="1" x14ac:dyDescent="0.3">
      <c r="A72" s="5">
        <v>45845</v>
      </c>
      <c r="B72" s="5"/>
      <c r="C72" s="3" t="s">
        <v>38</v>
      </c>
      <c r="D72" s="3" t="s">
        <v>164</v>
      </c>
      <c r="E72" s="3">
        <v>2</v>
      </c>
      <c r="F72" s="3">
        <v>401</v>
      </c>
      <c r="G72" s="6" t="s">
        <v>29</v>
      </c>
      <c r="H72" s="3" t="s">
        <v>193</v>
      </c>
      <c r="I72" s="6" t="s">
        <v>49</v>
      </c>
      <c r="J72" s="3">
        <v>1</v>
      </c>
      <c r="K72" s="3">
        <v>1</v>
      </c>
      <c r="L72" s="3">
        <v>10.7</v>
      </c>
      <c r="M72" s="3"/>
      <c r="N72" s="3"/>
      <c r="O72" s="3">
        <v>3</v>
      </c>
      <c r="P72" s="3"/>
      <c r="Q72" s="3"/>
      <c r="S72" s="3"/>
      <c r="T72" s="3"/>
      <c r="U72" s="3"/>
      <c r="V72" s="3"/>
      <c r="W72" s="3"/>
      <c r="X72" s="3" t="s">
        <v>214</v>
      </c>
      <c r="Y72" s="3"/>
    </row>
    <row r="73" spans="1:25" ht="15" customHeight="1" x14ac:dyDescent="0.3">
      <c r="A73" s="5">
        <v>45845</v>
      </c>
      <c r="B73" s="5"/>
      <c r="C73" s="3" t="s">
        <v>38</v>
      </c>
      <c r="D73" s="3" t="s">
        <v>164</v>
      </c>
      <c r="E73" s="3">
        <v>2</v>
      </c>
      <c r="F73" s="3">
        <v>301</v>
      </c>
      <c r="G73" s="6" t="s">
        <v>30</v>
      </c>
      <c r="H73" s="3" t="s">
        <v>194</v>
      </c>
      <c r="I73" s="6" t="s">
        <v>49</v>
      </c>
      <c r="J73" s="3">
        <v>8</v>
      </c>
      <c r="K73" s="23">
        <v>5</v>
      </c>
      <c r="L73" s="3">
        <v>29</v>
      </c>
      <c r="M73" s="3">
        <v>8</v>
      </c>
      <c r="N73" s="3">
        <v>9.6999999999999993</v>
      </c>
      <c r="O73" s="3"/>
      <c r="P73" s="3"/>
      <c r="Q73" s="3"/>
      <c r="R73" s="3" t="s">
        <v>128</v>
      </c>
      <c r="S73" s="3" t="s">
        <v>133</v>
      </c>
      <c r="T73" s="3">
        <v>2</v>
      </c>
      <c r="U73" s="3">
        <v>25</v>
      </c>
      <c r="V73" s="3">
        <v>50</v>
      </c>
      <c r="W73" s="3">
        <v>130</v>
      </c>
      <c r="X73" s="3" t="s">
        <v>147</v>
      </c>
      <c r="Y73" s="3" t="s">
        <v>160</v>
      </c>
    </row>
    <row r="74" spans="1:25" ht="15" customHeight="1" x14ac:dyDescent="0.3">
      <c r="A74" s="5">
        <v>45845</v>
      </c>
      <c r="B74" s="5"/>
      <c r="C74" s="3" t="s">
        <v>38</v>
      </c>
      <c r="D74" s="3" t="s">
        <v>164</v>
      </c>
      <c r="E74" s="3">
        <v>2</v>
      </c>
      <c r="F74" s="3">
        <v>302</v>
      </c>
      <c r="G74" s="6" t="s">
        <v>31</v>
      </c>
      <c r="H74" s="3" t="s">
        <v>195</v>
      </c>
      <c r="I74" s="6" t="s">
        <v>49</v>
      </c>
      <c r="J74" s="3">
        <v>12</v>
      </c>
      <c r="K74" s="23">
        <v>9</v>
      </c>
      <c r="L74" s="3">
        <v>55.91</v>
      </c>
      <c r="M74" s="3">
        <v>14</v>
      </c>
      <c r="N74" s="3">
        <v>8</v>
      </c>
      <c r="O74" s="3"/>
      <c r="P74" s="3"/>
      <c r="Q74" s="3"/>
      <c r="R74" s="3" t="s">
        <v>201</v>
      </c>
      <c r="S74" s="3" t="s">
        <v>204</v>
      </c>
      <c r="T74" s="3">
        <v>6.5</v>
      </c>
      <c r="U74" s="3">
        <v>55</v>
      </c>
      <c r="V74" s="3">
        <v>60</v>
      </c>
      <c r="W74" s="3">
        <v>150</v>
      </c>
      <c r="X74" s="3" t="s">
        <v>215</v>
      </c>
      <c r="Y74" s="3" t="s">
        <v>222</v>
      </c>
    </row>
    <row r="75" spans="1:25" ht="15" customHeight="1" x14ac:dyDescent="0.3">
      <c r="A75" s="5">
        <v>45845</v>
      </c>
      <c r="B75" s="5"/>
      <c r="C75" s="3" t="s">
        <v>38</v>
      </c>
      <c r="D75" s="3" t="s">
        <v>164</v>
      </c>
      <c r="E75" s="3">
        <v>2</v>
      </c>
      <c r="F75" s="3">
        <v>505</v>
      </c>
      <c r="G75" s="6" t="s">
        <v>196</v>
      </c>
      <c r="H75" s="3" t="s">
        <v>197</v>
      </c>
      <c r="I75" s="7" t="s">
        <v>110</v>
      </c>
      <c r="J75" s="3">
        <v>15</v>
      </c>
      <c r="K75" s="3">
        <v>15</v>
      </c>
      <c r="L75" s="3">
        <v>88.8</v>
      </c>
      <c r="M75" s="3"/>
      <c r="N75" s="3">
        <v>6.5</v>
      </c>
      <c r="O75" s="3">
        <v>9</v>
      </c>
      <c r="P75" s="3"/>
      <c r="Q75" s="3"/>
      <c r="R75" s="3" t="s">
        <v>202</v>
      </c>
      <c r="S75" s="3" t="s">
        <v>205</v>
      </c>
      <c r="T75" s="3"/>
      <c r="U75" s="3"/>
      <c r="V75" s="3"/>
      <c r="W75" s="3"/>
      <c r="X75" s="3" t="s">
        <v>216</v>
      </c>
      <c r="Y75" s="3"/>
    </row>
    <row r="76" spans="1:25" ht="15" customHeight="1" x14ac:dyDescent="0.3">
      <c r="A76" s="27">
        <v>45846</v>
      </c>
      <c r="B76" s="25">
        <v>32</v>
      </c>
      <c r="C76" s="3" t="s">
        <v>38</v>
      </c>
      <c r="D76" s="3" t="s">
        <v>164</v>
      </c>
      <c r="E76" s="3">
        <v>2</v>
      </c>
      <c r="F76" s="3">
        <v>101</v>
      </c>
      <c r="G76" s="6" t="s">
        <v>165</v>
      </c>
      <c r="H76" s="3" t="s">
        <v>166</v>
      </c>
      <c r="I76" s="6" t="s">
        <v>5</v>
      </c>
      <c r="J76" s="3">
        <v>4</v>
      </c>
      <c r="K76" s="3">
        <v>4</v>
      </c>
      <c r="L76" s="3">
        <v>12.11</v>
      </c>
      <c r="M76" s="3">
        <v>3.2</v>
      </c>
      <c r="N76" s="3">
        <v>5.7</v>
      </c>
      <c r="O76" s="3">
        <v>4</v>
      </c>
      <c r="P76" s="3">
        <v>56</v>
      </c>
      <c r="Q76" s="3">
        <v>180</v>
      </c>
      <c r="R76" s="3"/>
      <c r="S76" s="3"/>
      <c r="T76" s="3"/>
      <c r="U76" s="3"/>
      <c r="V76" s="3"/>
      <c r="W76" s="3"/>
      <c r="X76" s="3" t="s">
        <v>138</v>
      </c>
      <c r="Y76" s="3" t="s">
        <v>138</v>
      </c>
    </row>
    <row r="77" spans="1:25" ht="15" customHeight="1" x14ac:dyDescent="0.3">
      <c r="A77" s="27">
        <v>45846</v>
      </c>
      <c r="B77" s="25">
        <v>32</v>
      </c>
      <c r="C77" s="3" t="s">
        <v>38</v>
      </c>
      <c r="D77" s="3" t="s">
        <v>164</v>
      </c>
      <c r="E77" s="3">
        <v>2</v>
      </c>
      <c r="F77" s="3">
        <v>102</v>
      </c>
      <c r="G77" s="6" t="s">
        <v>223</v>
      </c>
      <c r="H77" s="3" t="s">
        <v>224</v>
      </c>
      <c r="I77" s="6" t="s">
        <v>5</v>
      </c>
      <c r="J77" s="3">
        <v>6</v>
      </c>
      <c r="K77" s="3">
        <v>6</v>
      </c>
      <c r="L77" s="3">
        <v>12.59</v>
      </c>
      <c r="M77" s="3">
        <v>3.2</v>
      </c>
      <c r="N77" s="3">
        <v>5.0999999999999996</v>
      </c>
      <c r="O77" s="3">
        <v>4</v>
      </c>
      <c r="P77" s="3">
        <v>50</v>
      </c>
      <c r="Q77" s="3">
        <v>170</v>
      </c>
      <c r="R77" s="3"/>
      <c r="S77" s="3"/>
      <c r="T77" s="3"/>
      <c r="U77" s="3"/>
      <c r="V77" s="3"/>
      <c r="W77" s="3"/>
      <c r="X77" s="3" t="s">
        <v>250</v>
      </c>
      <c r="Y77" s="3" t="s">
        <v>138</v>
      </c>
    </row>
    <row r="78" spans="1:25" ht="15" customHeight="1" x14ac:dyDescent="0.3">
      <c r="A78" s="27">
        <v>45846</v>
      </c>
      <c r="B78" s="25">
        <v>32</v>
      </c>
      <c r="C78" s="3" t="s">
        <v>38</v>
      </c>
      <c r="D78" s="3" t="s">
        <v>164</v>
      </c>
      <c r="E78" s="3">
        <v>2</v>
      </c>
      <c r="F78" s="3">
        <v>103</v>
      </c>
      <c r="G78" s="7" t="s">
        <v>163</v>
      </c>
      <c r="H78" s="3" t="s">
        <v>168</v>
      </c>
      <c r="I78" s="6" t="s">
        <v>5</v>
      </c>
      <c r="J78" s="3">
        <v>5</v>
      </c>
      <c r="K78" s="3">
        <v>5</v>
      </c>
      <c r="L78" s="3">
        <v>14.82</v>
      </c>
      <c r="M78" s="3">
        <v>3.3</v>
      </c>
      <c r="N78" s="3">
        <v>7.3</v>
      </c>
      <c r="O78" s="3">
        <v>7</v>
      </c>
      <c r="P78" s="3">
        <v>35</v>
      </c>
      <c r="Q78" s="3">
        <v>170</v>
      </c>
      <c r="R78" s="3"/>
      <c r="S78" s="3"/>
      <c r="T78" s="3"/>
      <c r="U78" s="3"/>
      <c r="V78" s="3"/>
      <c r="W78" s="3"/>
      <c r="X78" s="3" t="s">
        <v>87</v>
      </c>
      <c r="Y78" s="3" t="s">
        <v>254</v>
      </c>
    </row>
    <row r="79" spans="1:25" ht="15" customHeight="1" x14ac:dyDescent="0.3">
      <c r="A79" s="27">
        <v>45846</v>
      </c>
      <c r="B79" s="25">
        <v>32</v>
      </c>
      <c r="C79" s="3" t="s">
        <v>38</v>
      </c>
      <c r="D79" s="3" t="s">
        <v>164</v>
      </c>
      <c r="E79" s="3">
        <v>2</v>
      </c>
      <c r="F79" s="3">
        <v>104</v>
      </c>
      <c r="G79" s="6" t="s">
        <v>169</v>
      </c>
      <c r="H79" s="3" t="s">
        <v>170</v>
      </c>
      <c r="I79" s="6" t="s">
        <v>5</v>
      </c>
      <c r="J79" s="3">
        <v>9</v>
      </c>
      <c r="K79" s="3">
        <v>9</v>
      </c>
      <c r="L79" s="3">
        <v>12.22</v>
      </c>
      <c r="M79" s="3">
        <v>3</v>
      </c>
      <c r="N79" s="3">
        <v>5.5</v>
      </c>
      <c r="O79" s="3">
        <v>4</v>
      </c>
      <c r="P79" s="3"/>
      <c r="Q79" s="3">
        <v>170</v>
      </c>
      <c r="R79" s="3"/>
      <c r="S79" s="3"/>
      <c r="T79" s="3"/>
      <c r="U79" s="3"/>
      <c r="V79" s="3"/>
      <c r="W79" s="3"/>
      <c r="X79" s="3" t="s">
        <v>251</v>
      </c>
      <c r="Y79" s="3" t="s">
        <v>84</v>
      </c>
    </row>
    <row r="80" spans="1:25" ht="15" customHeight="1" x14ac:dyDescent="0.3">
      <c r="A80" s="27">
        <v>45846</v>
      </c>
      <c r="B80" s="25">
        <v>32</v>
      </c>
      <c r="C80" s="3" t="s">
        <v>38</v>
      </c>
      <c r="D80" s="3" t="s">
        <v>164</v>
      </c>
      <c r="E80" s="3">
        <v>2</v>
      </c>
      <c r="F80" s="3">
        <v>162</v>
      </c>
      <c r="G80" s="6" t="s">
        <v>114</v>
      </c>
      <c r="H80" s="3" t="s">
        <v>173</v>
      </c>
      <c r="I80" s="6" t="s">
        <v>49</v>
      </c>
      <c r="J80" s="3">
        <v>2</v>
      </c>
      <c r="K80" s="3">
        <v>2</v>
      </c>
      <c r="L80" s="3">
        <v>21.3</v>
      </c>
      <c r="M80" s="3">
        <v>3.5</v>
      </c>
      <c r="N80" s="3">
        <v>6</v>
      </c>
      <c r="O80" s="3">
        <v>3.25</v>
      </c>
      <c r="P80" s="3">
        <v>18</v>
      </c>
      <c r="Q80" s="3">
        <v>170</v>
      </c>
      <c r="R80" s="3"/>
      <c r="S80" s="3"/>
      <c r="T80" s="3"/>
      <c r="U80" s="3"/>
      <c r="V80" s="3"/>
      <c r="W80" s="3"/>
      <c r="X80" s="3" t="s">
        <v>252</v>
      </c>
      <c r="Y80" s="3" t="s">
        <v>83</v>
      </c>
    </row>
    <row r="81" spans="1:25" ht="15" customHeight="1" x14ac:dyDescent="0.3">
      <c r="A81" s="27">
        <v>45846</v>
      </c>
      <c r="B81" s="25">
        <v>32</v>
      </c>
      <c r="C81" s="3" t="s">
        <v>38</v>
      </c>
      <c r="D81" s="3" t="s">
        <v>164</v>
      </c>
      <c r="E81" s="3">
        <v>2</v>
      </c>
      <c r="F81" s="3">
        <v>173</v>
      </c>
      <c r="G81" s="6" t="s">
        <v>225</v>
      </c>
      <c r="H81" s="3" t="s">
        <v>226</v>
      </c>
      <c r="I81" s="6" t="s">
        <v>49</v>
      </c>
      <c r="J81" s="3">
        <v>5</v>
      </c>
      <c r="K81" s="3">
        <v>5</v>
      </c>
      <c r="L81" s="3">
        <v>15.33</v>
      </c>
      <c r="M81" s="3">
        <v>1</v>
      </c>
      <c r="N81" s="3">
        <v>9.5</v>
      </c>
      <c r="O81" s="3">
        <v>6</v>
      </c>
      <c r="P81" s="3" t="s">
        <v>239</v>
      </c>
      <c r="Q81" s="3">
        <v>170</v>
      </c>
      <c r="R81" s="3"/>
      <c r="S81" s="3"/>
      <c r="T81" s="3"/>
      <c r="U81" s="3"/>
      <c r="V81" s="3"/>
      <c r="W81" s="3"/>
      <c r="X81" s="3" t="s">
        <v>79</v>
      </c>
      <c r="Y81" s="3" t="s">
        <v>87</v>
      </c>
    </row>
    <row r="82" spans="1:25" ht="15" customHeight="1" x14ac:dyDescent="0.3">
      <c r="A82" s="27">
        <v>45846</v>
      </c>
      <c r="B82" s="25">
        <v>32</v>
      </c>
      <c r="C82" s="3" t="s">
        <v>38</v>
      </c>
      <c r="D82" s="3" t="s">
        <v>164</v>
      </c>
      <c r="E82" s="3">
        <v>2</v>
      </c>
      <c r="F82" s="3">
        <v>174</v>
      </c>
      <c r="G82" s="6" t="s">
        <v>181</v>
      </c>
      <c r="H82" s="3" t="s">
        <v>182</v>
      </c>
      <c r="I82" s="6" t="s">
        <v>49</v>
      </c>
      <c r="J82" s="3">
        <v>5</v>
      </c>
      <c r="K82" s="3">
        <v>5</v>
      </c>
      <c r="L82" s="3">
        <v>13.51</v>
      </c>
      <c r="M82" s="3">
        <v>0.8</v>
      </c>
      <c r="N82" s="3">
        <v>10</v>
      </c>
      <c r="O82" s="3">
        <v>6</v>
      </c>
      <c r="P82" s="3" t="s">
        <v>198</v>
      </c>
      <c r="Q82" s="3">
        <v>170</v>
      </c>
      <c r="R82" s="3"/>
      <c r="S82" s="3"/>
      <c r="T82" s="3"/>
      <c r="U82" s="3"/>
      <c r="V82" s="3"/>
      <c r="W82" s="3"/>
      <c r="X82" s="3" t="s">
        <v>79</v>
      </c>
      <c r="Y82" s="3" t="s">
        <v>87</v>
      </c>
    </row>
    <row r="83" spans="1:25" ht="15" customHeight="1" x14ac:dyDescent="0.3">
      <c r="A83" s="27">
        <v>45846</v>
      </c>
      <c r="B83" s="25">
        <v>32</v>
      </c>
      <c r="C83" s="3" t="s">
        <v>38</v>
      </c>
      <c r="D83" s="3" t="s">
        <v>164</v>
      </c>
      <c r="E83" s="3">
        <v>2</v>
      </c>
      <c r="F83" s="3">
        <v>175</v>
      </c>
      <c r="G83" s="6" t="s">
        <v>227</v>
      </c>
      <c r="H83" s="3" t="s">
        <v>228</v>
      </c>
      <c r="I83" s="6" t="s">
        <v>49</v>
      </c>
      <c r="J83" s="3">
        <v>3</v>
      </c>
      <c r="K83" s="3">
        <v>3</v>
      </c>
      <c r="L83" s="3">
        <v>17.75</v>
      </c>
      <c r="M83" s="3">
        <v>4</v>
      </c>
      <c r="N83" s="3">
        <v>8.4</v>
      </c>
      <c r="O83" s="3">
        <v>5.6</v>
      </c>
      <c r="P83" s="3" t="s">
        <v>241</v>
      </c>
      <c r="Q83" s="3">
        <v>175</v>
      </c>
      <c r="R83" s="3"/>
      <c r="S83" s="3"/>
      <c r="T83" s="3"/>
      <c r="U83" s="3"/>
      <c r="V83" s="3"/>
      <c r="W83" s="3"/>
      <c r="X83" s="3" t="s">
        <v>79</v>
      </c>
      <c r="Y83" s="3" t="s">
        <v>80</v>
      </c>
    </row>
    <row r="84" spans="1:25" ht="15" customHeight="1" x14ac:dyDescent="0.3">
      <c r="A84" s="27">
        <v>45846</v>
      </c>
      <c r="B84" s="25">
        <v>32</v>
      </c>
      <c r="C84" s="3" t="s">
        <v>38</v>
      </c>
      <c r="D84" s="3" t="s">
        <v>164</v>
      </c>
      <c r="E84" s="3">
        <v>2</v>
      </c>
      <c r="F84" s="3">
        <v>176</v>
      </c>
      <c r="G84" s="6" t="s">
        <v>17</v>
      </c>
      <c r="H84" s="3" t="s">
        <v>183</v>
      </c>
      <c r="I84" s="6" t="s">
        <v>49</v>
      </c>
      <c r="J84" s="3">
        <v>5</v>
      </c>
      <c r="K84" s="3">
        <v>5</v>
      </c>
      <c r="L84" s="3">
        <v>17.32</v>
      </c>
      <c r="M84" s="3">
        <v>2.2000000000000002</v>
      </c>
      <c r="N84" s="3">
        <v>11.5</v>
      </c>
      <c r="O84" s="3">
        <v>8</v>
      </c>
      <c r="P84" s="3" t="s">
        <v>240</v>
      </c>
      <c r="Q84" s="3">
        <v>175</v>
      </c>
      <c r="R84" s="3"/>
      <c r="S84" s="3"/>
      <c r="T84" s="3"/>
      <c r="U84" s="3"/>
      <c r="V84" s="3"/>
      <c r="W84" s="3"/>
      <c r="X84" s="3" t="s">
        <v>253</v>
      </c>
      <c r="Y84" s="3" t="s">
        <v>80</v>
      </c>
    </row>
    <row r="85" spans="1:25" ht="15" customHeight="1" x14ac:dyDescent="0.3">
      <c r="A85" s="27">
        <v>45846</v>
      </c>
      <c r="B85" s="25">
        <v>32</v>
      </c>
      <c r="C85" s="3" t="s">
        <v>38</v>
      </c>
      <c r="D85" s="3" t="s">
        <v>164</v>
      </c>
      <c r="E85" s="3">
        <v>2</v>
      </c>
      <c r="F85" s="3">
        <v>177</v>
      </c>
      <c r="G85" s="6" t="s">
        <v>18</v>
      </c>
      <c r="H85" s="3" t="s">
        <v>184</v>
      </c>
      <c r="I85" s="6" t="s">
        <v>49</v>
      </c>
      <c r="J85" s="3">
        <v>3</v>
      </c>
      <c r="K85" s="3">
        <v>3</v>
      </c>
      <c r="L85" s="3">
        <v>13.05</v>
      </c>
      <c r="M85" s="3">
        <v>3.6</v>
      </c>
      <c r="N85" s="3">
        <v>5.9</v>
      </c>
      <c r="O85" s="3">
        <v>4.2</v>
      </c>
      <c r="P85" s="3"/>
      <c r="Q85" s="3">
        <v>170</v>
      </c>
      <c r="R85" s="3"/>
      <c r="S85" s="3"/>
      <c r="T85" s="3"/>
      <c r="U85" s="3"/>
      <c r="V85" s="3"/>
      <c r="W85" s="3"/>
      <c r="X85" s="3" t="s">
        <v>254</v>
      </c>
      <c r="Y85" s="3" t="s">
        <v>265</v>
      </c>
    </row>
    <row r="86" spans="1:25" ht="15" customHeight="1" x14ac:dyDescent="0.3">
      <c r="A86" s="27">
        <v>45846</v>
      </c>
      <c r="B86" s="25">
        <v>32</v>
      </c>
      <c r="C86" s="3" t="s">
        <v>38</v>
      </c>
      <c r="D86" s="3" t="s">
        <v>164</v>
      </c>
      <c r="E86" s="3">
        <v>2</v>
      </c>
      <c r="F86" s="3">
        <v>131</v>
      </c>
      <c r="G86" s="6" t="s">
        <v>229</v>
      </c>
      <c r="H86" s="3" t="s">
        <v>230</v>
      </c>
      <c r="I86" s="6" t="s">
        <v>49</v>
      </c>
      <c r="J86" s="3">
        <v>3</v>
      </c>
      <c r="K86" s="23">
        <v>2</v>
      </c>
      <c r="L86" s="3">
        <v>17.59</v>
      </c>
      <c r="M86" s="3">
        <v>3.25</v>
      </c>
      <c r="N86" s="3">
        <v>9.6</v>
      </c>
      <c r="O86" s="3">
        <v>6</v>
      </c>
      <c r="P86" s="3"/>
      <c r="Q86" s="3">
        <v>170</v>
      </c>
      <c r="R86" s="3"/>
      <c r="S86" s="3"/>
      <c r="T86" s="3"/>
      <c r="U86" s="3"/>
      <c r="V86" s="3"/>
      <c r="W86" s="3"/>
      <c r="X86" s="3" t="s">
        <v>255</v>
      </c>
      <c r="Y86" s="3"/>
    </row>
    <row r="87" spans="1:25" ht="15" customHeight="1" x14ac:dyDescent="0.3">
      <c r="A87" s="27">
        <v>45846</v>
      </c>
      <c r="B87" s="25">
        <v>32</v>
      </c>
      <c r="C87" s="3" t="s">
        <v>38</v>
      </c>
      <c r="D87" s="3" t="s">
        <v>164</v>
      </c>
      <c r="E87" s="3">
        <v>2</v>
      </c>
      <c r="F87" s="3">
        <v>201</v>
      </c>
      <c r="G87" s="6" t="s">
        <v>231</v>
      </c>
      <c r="H87" s="3" t="s">
        <v>232</v>
      </c>
      <c r="I87" s="6" t="s">
        <v>269</v>
      </c>
      <c r="J87" s="3">
        <v>24</v>
      </c>
      <c r="K87" s="23">
        <v>23</v>
      </c>
      <c r="L87" s="3">
        <v>26.5</v>
      </c>
      <c r="M87" s="3">
        <v>16</v>
      </c>
      <c r="N87" s="3">
        <v>3</v>
      </c>
      <c r="O87" s="3"/>
      <c r="P87" s="3"/>
      <c r="Q87" s="3"/>
      <c r="R87" s="3" t="s">
        <v>242</v>
      </c>
      <c r="S87" s="3" t="s">
        <v>133</v>
      </c>
      <c r="T87" s="3">
        <v>0.5</v>
      </c>
      <c r="U87" s="3">
        <v>5</v>
      </c>
      <c r="V87" s="3">
        <v>15</v>
      </c>
      <c r="W87" s="3">
        <v>110</v>
      </c>
      <c r="X87" s="3" t="s">
        <v>256</v>
      </c>
      <c r="Y87" s="3"/>
    </row>
    <row r="88" spans="1:25" ht="15" customHeight="1" x14ac:dyDescent="0.3">
      <c r="A88" s="27">
        <v>45846</v>
      </c>
      <c r="B88" s="25">
        <v>32</v>
      </c>
      <c r="C88" s="3" t="s">
        <v>38</v>
      </c>
      <c r="D88" s="3" t="s">
        <v>164</v>
      </c>
      <c r="E88" s="3">
        <v>2</v>
      </c>
      <c r="F88" s="3">
        <v>202</v>
      </c>
      <c r="G88" s="6" t="s">
        <v>233</v>
      </c>
      <c r="H88" s="3" t="s">
        <v>234</v>
      </c>
      <c r="I88" s="6" t="s">
        <v>111</v>
      </c>
      <c r="J88" s="3">
        <v>12</v>
      </c>
      <c r="K88" s="23">
        <v>9</v>
      </c>
      <c r="L88" s="3">
        <v>30.9</v>
      </c>
      <c r="M88" s="3">
        <v>16</v>
      </c>
      <c r="N88" s="3">
        <v>5</v>
      </c>
      <c r="O88" s="3"/>
      <c r="P88" s="3"/>
      <c r="Q88" s="3"/>
      <c r="R88" s="3" t="s">
        <v>244</v>
      </c>
      <c r="S88" s="3" t="s">
        <v>242</v>
      </c>
      <c r="T88" s="3">
        <v>1.2</v>
      </c>
      <c r="U88" s="3">
        <v>45</v>
      </c>
      <c r="V88" s="3">
        <v>25</v>
      </c>
      <c r="W88" s="3">
        <v>120</v>
      </c>
      <c r="X88" s="3" t="s">
        <v>257</v>
      </c>
      <c r="Y88" s="3"/>
    </row>
    <row r="89" spans="1:25" ht="15" customHeight="1" x14ac:dyDescent="0.3">
      <c r="A89" s="27">
        <v>45846</v>
      </c>
      <c r="B89" s="25">
        <v>32</v>
      </c>
      <c r="C89" s="3" t="s">
        <v>38</v>
      </c>
      <c r="D89" s="3" t="s">
        <v>164</v>
      </c>
      <c r="E89" s="3">
        <v>2</v>
      </c>
      <c r="F89" s="3">
        <v>203</v>
      </c>
      <c r="G89" s="6" t="s">
        <v>23</v>
      </c>
      <c r="H89" s="3" t="s">
        <v>188</v>
      </c>
      <c r="I89" s="6" t="s">
        <v>111</v>
      </c>
      <c r="J89" s="3">
        <v>8</v>
      </c>
      <c r="K89" s="3">
        <v>8</v>
      </c>
      <c r="L89" s="3">
        <v>16</v>
      </c>
      <c r="M89" s="3">
        <v>5</v>
      </c>
      <c r="N89" s="3">
        <v>3</v>
      </c>
      <c r="O89" s="3"/>
      <c r="P89" s="3"/>
      <c r="Q89" s="3"/>
      <c r="R89" s="3" t="s">
        <v>65</v>
      </c>
      <c r="S89" s="3" t="s">
        <v>73</v>
      </c>
      <c r="T89" s="3">
        <v>1</v>
      </c>
      <c r="U89" s="3">
        <v>20</v>
      </c>
      <c r="V89" s="3">
        <v>25</v>
      </c>
      <c r="W89" s="3">
        <v>115</v>
      </c>
      <c r="X89" s="3" t="s">
        <v>258</v>
      </c>
      <c r="Y89" s="6" t="s">
        <v>219</v>
      </c>
    </row>
    <row r="90" spans="1:25" ht="15" customHeight="1" x14ac:dyDescent="0.3">
      <c r="A90" s="27">
        <v>45846</v>
      </c>
      <c r="B90" s="25">
        <v>32</v>
      </c>
      <c r="C90" s="3" t="s">
        <v>38</v>
      </c>
      <c r="D90" s="3" t="s">
        <v>164</v>
      </c>
      <c r="E90" s="3">
        <v>2</v>
      </c>
      <c r="F90" s="3">
        <v>205</v>
      </c>
      <c r="G90" s="6" t="s">
        <v>235</v>
      </c>
      <c r="H90" s="3" t="s">
        <v>236</v>
      </c>
      <c r="I90" s="6" t="s">
        <v>111</v>
      </c>
      <c r="J90" s="3">
        <v>4</v>
      </c>
      <c r="K90" s="3">
        <v>4</v>
      </c>
      <c r="L90" s="3">
        <v>22.1</v>
      </c>
      <c r="M90" s="3">
        <v>8</v>
      </c>
      <c r="N90" s="3">
        <v>1.5</v>
      </c>
      <c r="O90" s="3"/>
      <c r="P90" s="3"/>
      <c r="Q90" s="3"/>
      <c r="R90" s="3" t="s">
        <v>245</v>
      </c>
      <c r="S90" s="3" t="s">
        <v>243</v>
      </c>
      <c r="T90" s="3">
        <v>2</v>
      </c>
      <c r="U90" s="3">
        <v>15</v>
      </c>
      <c r="V90" s="3">
        <v>20</v>
      </c>
      <c r="W90" s="3">
        <v>140</v>
      </c>
      <c r="X90" s="3" t="s">
        <v>259</v>
      </c>
      <c r="Y90" s="6"/>
    </row>
    <row r="91" spans="1:25" ht="15" customHeight="1" x14ac:dyDescent="0.3">
      <c r="A91" s="27">
        <v>45846</v>
      </c>
      <c r="B91" s="25">
        <v>32</v>
      </c>
      <c r="C91" s="3" t="s">
        <v>38</v>
      </c>
      <c r="D91" s="3" t="s">
        <v>164</v>
      </c>
      <c r="E91" s="3">
        <v>2</v>
      </c>
      <c r="F91" s="3">
        <v>206</v>
      </c>
      <c r="G91" s="6" t="s">
        <v>115</v>
      </c>
      <c r="H91" s="3" t="s">
        <v>237</v>
      </c>
      <c r="I91" s="6" t="s">
        <v>111</v>
      </c>
      <c r="J91" s="3">
        <v>12</v>
      </c>
      <c r="K91" s="23">
        <v>11</v>
      </c>
      <c r="L91" s="3">
        <v>26.9</v>
      </c>
      <c r="M91" s="3">
        <v>18</v>
      </c>
      <c r="N91" s="3">
        <v>1.2</v>
      </c>
      <c r="O91" s="3"/>
      <c r="P91" s="3"/>
      <c r="Q91" s="3"/>
      <c r="R91" s="3" t="s">
        <v>246</v>
      </c>
      <c r="S91" s="3" t="s">
        <v>248</v>
      </c>
      <c r="T91" s="3">
        <v>0.6</v>
      </c>
      <c r="U91" s="3">
        <v>32</v>
      </c>
      <c r="V91" s="3">
        <v>38</v>
      </c>
      <c r="W91" s="3">
        <v>115</v>
      </c>
      <c r="X91" s="3" t="s">
        <v>260</v>
      </c>
      <c r="Y91" s="3" t="s">
        <v>266</v>
      </c>
    </row>
    <row r="92" spans="1:25" ht="15" customHeight="1" x14ac:dyDescent="0.3">
      <c r="A92" s="27">
        <v>45846</v>
      </c>
      <c r="B92" s="25">
        <v>32</v>
      </c>
      <c r="C92" s="3" t="s">
        <v>38</v>
      </c>
      <c r="D92" s="3" t="s">
        <v>164</v>
      </c>
      <c r="E92" s="3">
        <v>2</v>
      </c>
      <c r="F92" s="3">
        <v>208</v>
      </c>
      <c r="G92" s="6" t="s">
        <v>26</v>
      </c>
      <c r="H92" s="3" t="s">
        <v>190</v>
      </c>
      <c r="I92" s="6" t="s">
        <v>112</v>
      </c>
      <c r="J92" s="3">
        <v>2</v>
      </c>
      <c r="K92" s="3">
        <v>2</v>
      </c>
      <c r="L92" s="3">
        <v>35.82</v>
      </c>
      <c r="M92" s="3">
        <v>20</v>
      </c>
      <c r="N92" s="3">
        <v>3</v>
      </c>
      <c r="O92" s="3"/>
      <c r="P92" s="3"/>
      <c r="Q92" s="3"/>
      <c r="R92" s="3" t="s">
        <v>200</v>
      </c>
      <c r="S92" s="3" t="s">
        <v>203</v>
      </c>
      <c r="T92" s="3">
        <v>1</v>
      </c>
      <c r="U92" s="3">
        <v>25</v>
      </c>
      <c r="V92" s="3">
        <v>30</v>
      </c>
      <c r="W92" s="3">
        <v>120</v>
      </c>
      <c r="X92" s="3" t="s">
        <v>261</v>
      </c>
      <c r="Y92" s="3"/>
    </row>
    <row r="93" spans="1:25" ht="15" customHeight="1" x14ac:dyDescent="0.3">
      <c r="A93" s="27">
        <v>45846</v>
      </c>
      <c r="B93" s="25">
        <v>32</v>
      </c>
      <c r="C93" s="3" t="s">
        <v>38</v>
      </c>
      <c r="D93" s="3" t="s">
        <v>164</v>
      </c>
      <c r="E93" s="3">
        <v>2</v>
      </c>
      <c r="F93" s="3">
        <v>210</v>
      </c>
      <c r="G93" s="6" t="s">
        <v>191</v>
      </c>
      <c r="H93" s="3" t="s">
        <v>192</v>
      </c>
      <c r="I93" s="6" t="s">
        <v>111</v>
      </c>
      <c r="J93" s="3">
        <v>4</v>
      </c>
      <c r="K93" s="3">
        <v>4</v>
      </c>
      <c r="L93" s="3">
        <v>22.2</v>
      </c>
      <c r="M93" s="3">
        <v>8</v>
      </c>
      <c r="N93" s="3">
        <v>4</v>
      </c>
      <c r="O93" s="3"/>
      <c r="P93" s="3"/>
      <c r="Q93" s="3"/>
      <c r="R93" s="3" t="s">
        <v>70</v>
      </c>
      <c r="S93" s="3" t="s">
        <v>77</v>
      </c>
      <c r="T93" s="3">
        <v>1</v>
      </c>
      <c r="U93" s="3">
        <v>20</v>
      </c>
      <c r="V93" s="3">
        <v>30</v>
      </c>
      <c r="W93" s="3">
        <v>100</v>
      </c>
      <c r="X93" s="3" t="s">
        <v>262</v>
      </c>
      <c r="Y93" s="3" t="s">
        <v>267</v>
      </c>
    </row>
    <row r="94" spans="1:25" ht="15" customHeight="1" x14ac:dyDescent="0.3">
      <c r="A94" s="27">
        <v>45846</v>
      </c>
      <c r="B94" s="25">
        <v>32</v>
      </c>
      <c r="C94" s="3" t="s">
        <v>38</v>
      </c>
      <c r="D94" s="3" t="s">
        <v>164</v>
      </c>
      <c r="E94" s="3">
        <v>2</v>
      </c>
      <c r="F94" s="3">
        <v>401</v>
      </c>
      <c r="G94" s="6" t="s">
        <v>29</v>
      </c>
      <c r="H94" s="3" t="s">
        <v>193</v>
      </c>
      <c r="I94" s="6" t="s">
        <v>49</v>
      </c>
      <c r="J94" s="3">
        <v>1</v>
      </c>
      <c r="K94" s="3">
        <v>1</v>
      </c>
      <c r="L94" s="3">
        <v>10.9</v>
      </c>
      <c r="M94" s="3"/>
      <c r="N94" s="3"/>
      <c r="O94" s="3">
        <v>3</v>
      </c>
      <c r="P94" s="3"/>
      <c r="Q94" s="3"/>
      <c r="S94" s="3"/>
      <c r="T94" s="3"/>
      <c r="U94" s="3"/>
      <c r="V94" s="3"/>
      <c r="W94" s="3"/>
      <c r="X94" s="3" t="s">
        <v>263</v>
      </c>
      <c r="Y94" s="3"/>
    </row>
    <row r="95" spans="1:25" ht="15" customHeight="1" x14ac:dyDescent="0.3">
      <c r="A95" s="27">
        <v>45846</v>
      </c>
      <c r="B95" s="25">
        <v>32</v>
      </c>
      <c r="C95" s="3" t="s">
        <v>38</v>
      </c>
      <c r="D95" s="3" t="s">
        <v>164</v>
      </c>
      <c r="E95" s="3">
        <v>2</v>
      </c>
      <c r="F95" s="3">
        <v>301</v>
      </c>
      <c r="G95" s="6" t="s">
        <v>30</v>
      </c>
      <c r="H95" s="3" t="s">
        <v>194</v>
      </c>
      <c r="I95" s="6" t="s">
        <v>49</v>
      </c>
      <c r="J95" s="3">
        <v>8</v>
      </c>
      <c r="K95" s="23">
        <v>5</v>
      </c>
      <c r="L95" s="3">
        <v>29</v>
      </c>
      <c r="M95" s="3">
        <v>7.8</v>
      </c>
      <c r="N95" s="3">
        <v>5.5</v>
      </c>
      <c r="O95" s="3"/>
      <c r="P95" s="3"/>
      <c r="Q95" s="3"/>
      <c r="R95" s="3" t="s">
        <v>128</v>
      </c>
      <c r="S95" s="3" t="s">
        <v>133</v>
      </c>
      <c r="T95" s="3">
        <v>2</v>
      </c>
      <c r="U95" s="3">
        <v>25</v>
      </c>
      <c r="V95" s="3">
        <v>50</v>
      </c>
      <c r="W95" s="3">
        <v>130</v>
      </c>
      <c r="X95" s="3" t="s">
        <v>147</v>
      </c>
      <c r="Y95" s="3" t="s">
        <v>160</v>
      </c>
    </row>
    <row r="96" spans="1:25" ht="15" customHeight="1" x14ac:dyDescent="0.3">
      <c r="A96" s="27">
        <v>45846</v>
      </c>
      <c r="B96" s="25">
        <v>32</v>
      </c>
      <c r="C96" s="3" t="s">
        <v>38</v>
      </c>
      <c r="D96" s="3" t="s">
        <v>164</v>
      </c>
      <c r="E96" s="3">
        <v>2</v>
      </c>
      <c r="F96" s="3">
        <v>303</v>
      </c>
      <c r="G96" s="6" t="s">
        <v>32</v>
      </c>
      <c r="H96" s="3" t="s">
        <v>238</v>
      </c>
      <c r="I96" s="6" t="s">
        <v>49</v>
      </c>
      <c r="J96" s="3">
        <v>12</v>
      </c>
      <c r="K96" s="23">
        <v>5</v>
      </c>
      <c r="L96" s="3">
        <v>38.200000000000003</v>
      </c>
      <c r="M96" s="3">
        <v>7</v>
      </c>
      <c r="N96" s="3">
        <v>7</v>
      </c>
      <c r="O96" s="3"/>
      <c r="P96" s="3"/>
      <c r="Q96" s="3">
        <v>150</v>
      </c>
      <c r="R96" s="3" t="s">
        <v>247</v>
      </c>
      <c r="S96" s="3" t="s">
        <v>249</v>
      </c>
      <c r="T96" s="3">
        <v>3</v>
      </c>
      <c r="U96" s="3">
        <v>20</v>
      </c>
      <c r="V96" s="3">
        <v>35</v>
      </c>
      <c r="W96" s="3">
        <v>135</v>
      </c>
      <c r="X96" s="3" t="s">
        <v>264</v>
      </c>
      <c r="Y96" s="3" t="s">
        <v>268</v>
      </c>
    </row>
    <row r="97" spans="1:25" ht="15" customHeight="1" x14ac:dyDescent="0.3">
      <c r="A97" s="5">
        <v>45847</v>
      </c>
      <c r="B97" s="25">
        <v>33</v>
      </c>
      <c r="C97" s="3" t="s">
        <v>38</v>
      </c>
      <c r="D97" s="3" t="s">
        <v>164</v>
      </c>
      <c r="E97" s="3">
        <v>2</v>
      </c>
      <c r="F97" s="3">
        <v>102</v>
      </c>
      <c r="G97" s="6" t="s">
        <v>223</v>
      </c>
      <c r="H97" s="3" t="s">
        <v>224</v>
      </c>
      <c r="I97" s="6" t="s">
        <v>5</v>
      </c>
      <c r="J97" s="3">
        <v>6</v>
      </c>
      <c r="K97" s="26">
        <v>5</v>
      </c>
      <c r="L97" s="3">
        <v>15.32</v>
      </c>
      <c r="M97" s="3">
        <v>5.7</v>
      </c>
      <c r="N97" s="3">
        <v>6</v>
      </c>
      <c r="O97" s="3">
        <v>6</v>
      </c>
      <c r="P97" s="3">
        <v>49</v>
      </c>
      <c r="Q97" s="3">
        <v>170</v>
      </c>
      <c r="R97" s="3"/>
      <c r="S97" s="3"/>
      <c r="T97" s="3"/>
      <c r="U97" s="3"/>
      <c r="V97" s="3"/>
      <c r="W97" s="3"/>
      <c r="X97" s="3" t="s">
        <v>288</v>
      </c>
      <c r="Y97" s="3" t="s">
        <v>138</v>
      </c>
    </row>
    <row r="98" spans="1:25" ht="15" customHeight="1" x14ac:dyDescent="0.3">
      <c r="A98" s="5">
        <v>45847</v>
      </c>
      <c r="B98" s="25">
        <v>33</v>
      </c>
      <c r="C98" s="3" t="s">
        <v>38</v>
      </c>
      <c r="D98" s="3" t="s">
        <v>164</v>
      </c>
      <c r="E98" s="3">
        <v>2</v>
      </c>
      <c r="F98" s="3">
        <v>103</v>
      </c>
      <c r="G98" s="6" t="s">
        <v>163</v>
      </c>
      <c r="H98" s="3" t="s">
        <v>168</v>
      </c>
      <c r="I98" s="6" t="s">
        <v>5</v>
      </c>
      <c r="J98" s="3">
        <v>5</v>
      </c>
      <c r="K98" s="3">
        <v>5</v>
      </c>
      <c r="L98" s="3">
        <v>14.81</v>
      </c>
      <c r="M98" s="3">
        <v>3.3</v>
      </c>
      <c r="N98" s="3">
        <v>7.3</v>
      </c>
      <c r="O98" s="3">
        <v>7</v>
      </c>
      <c r="P98" s="3">
        <v>35</v>
      </c>
      <c r="Q98" s="3">
        <v>170</v>
      </c>
      <c r="R98" s="3"/>
      <c r="S98" s="3"/>
      <c r="T98" s="3"/>
      <c r="U98" s="3"/>
      <c r="V98" s="3"/>
      <c r="W98" s="3"/>
      <c r="X98" s="3" t="s">
        <v>254</v>
      </c>
      <c r="Y98" s="3" t="s">
        <v>254</v>
      </c>
    </row>
    <row r="99" spans="1:25" ht="15" customHeight="1" x14ac:dyDescent="0.3">
      <c r="A99" s="5">
        <v>45847</v>
      </c>
      <c r="B99" s="25">
        <v>33</v>
      </c>
      <c r="C99" s="3" t="s">
        <v>38</v>
      </c>
      <c r="D99" s="3" t="s">
        <v>164</v>
      </c>
      <c r="E99" s="3">
        <v>2</v>
      </c>
      <c r="F99" s="3">
        <v>104</v>
      </c>
      <c r="G99" s="6" t="s">
        <v>169</v>
      </c>
      <c r="H99" s="3" t="s">
        <v>271</v>
      </c>
      <c r="I99" s="6" t="s">
        <v>5</v>
      </c>
      <c r="J99" s="3">
        <v>9</v>
      </c>
      <c r="K99" s="3">
        <v>9</v>
      </c>
      <c r="L99" s="3">
        <v>12.2</v>
      </c>
      <c r="M99" s="3">
        <v>3</v>
      </c>
      <c r="N99" s="3">
        <v>5.5</v>
      </c>
      <c r="O99" s="3">
        <v>4</v>
      </c>
      <c r="P99" s="3"/>
      <c r="Q99" s="3">
        <v>170</v>
      </c>
      <c r="R99" s="3"/>
      <c r="S99" s="3"/>
      <c r="T99" s="3"/>
      <c r="U99" s="3"/>
      <c r="V99" s="3"/>
      <c r="W99" s="3"/>
      <c r="X99" s="3" t="s">
        <v>251</v>
      </c>
      <c r="Y99" s="3" t="s">
        <v>84</v>
      </c>
    </row>
    <row r="100" spans="1:25" ht="15" customHeight="1" x14ac:dyDescent="0.3">
      <c r="A100" s="5">
        <v>45847</v>
      </c>
      <c r="B100" s="25">
        <v>33</v>
      </c>
      <c r="C100" s="3" t="s">
        <v>38</v>
      </c>
      <c r="D100" s="3" t="s">
        <v>164</v>
      </c>
      <c r="E100" s="3">
        <v>2</v>
      </c>
      <c r="F100" s="3">
        <v>161</v>
      </c>
      <c r="G100" s="6" t="s">
        <v>272</v>
      </c>
      <c r="H100" s="3" t="s">
        <v>273</v>
      </c>
      <c r="I100" s="6" t="s">
        <v>5</v>
      </c>
      <c r="J100" s="3">
        <v>2</v>
      </c>
      <c r="K100" s="3">
        <v>2</v>
      </c>
      <c r="L100" s="3">
        <v>21</v>
      </c>
      <c r="M100" s="3">
        <v>8</v>
      </c>
      <c r="N100" s="3">
        <v>8.5</v>
      </c>
      <c r="O100" s="3">
        <v>2.9</v>
      </c>
      <c r="P100" s="3"/>
      <c r="Q100" s="3">
        <v>175</v>
      </c>
      <c r="R100" s="3"/>
      <c r="S100" s="3"/>
      <c r="T100" s="3"/>
      <c r="U100" s="3"/>
      <c r="V100" s="3"/>
      <c r="W100" s="3"/>
      <c r="X100" s="3" t="s">
        <v>84</v>
      </c>
      <c r="Y100" s="3" t="s">
        <v>152</v>
      </c>
    </row>
    <row r="101" spans="1:25" ht="15" customHeight="1" x14ac:dyDescent="0.3">
      <c r="A101" s="5">
        <v>45847</v>
      </c>
      <c r="B101" s="25">
        <v>33</v>
      </c>
      <c r="C101" s="3" t="s">
        <v>38</v>
      </c>
      <c r="D101" s="3" t="s">
        <v>164</v>
      </c>
      <c r="E101" s="3">
        <v>2</v>
      </c>
      <c r="F101" s="3">
        <v>162</v>
      </c>
      <c r="G101" s="6" t="s">
        <v>114</v>
      </c>
      <c r="H101" s="3" t="s">
        <v>173</v>
      </c>
      <c r="I101" s="6" t="s">
        <v>49</v>
      </c>
      <c r="J101" s="3">
        <v>2</v>
      </c>
      <c r="K101" s="3">
        <v>2</v>
      </c>
      <c r="L101" s="3">
        <v>21.3</v>
      </c>
      <c r="M101" s="3">
        <v>3.5</v>
      </c>
      <c r="N101" s="3">
        <v>6</v>
      </c>
      <c r="O101" s="3">
        <v>3.25</v>
      </c>
      <c r="P101" s="3">
        <v>18</v>
      </c>
      <c r="Q101" s="3">
        <v>170</v>
      </c>
      <c r="R101" s="3"/>
      <c r="S101" s="3"/>
      <c r="T101" s="3"/>
      <c r="U101" s="3"/>
      <c r="V101" s="3"/>
      <c r="W101" s="3"/>
      <c r="X101" s="3" t="s">
        <v>252</v>
      </c>
      <c r="Y101" s="3" t="s">
        <v>83</v>
      </c>
    </row>
    <row r="102" spans="1:25" ht="15" customHeight="1" x14ac:dyDescent="0.3">
      <c r="A102" s="5">
        <v>45847</v>
      </c>
      <c r="B102" s="25">
        <v>33</v>
      </c>
      <c r="C102" s="3" t="s">
        <v>38</v>
      </c>
      <c r="D102" s="3" t="s">
        <v>164</v>
      </c>
      <c r="E102" s="3">
        <v>2</v>
      </c>
      <c r="F102" s="3">
        <v>164</v>
      </c>
      <c r="G102" s="6" t="s">
        <v>274</v>
      </c>
      <c r="H102" s="3" t="s">
        <v>275</v>
      </c>
      <c r="I102" s="6" t="s">
        <v>49</v>
      </c>
      <c r="J102" s="3">
        <v>2</v>
      </c>
      <c r="K102" s="3">
        <v>2</v>
      </c>
      <c r="L102" s="3">
        <v>22.49</v>
      </c>
      <c r="M102" s="3">
        <v>7.9</v>
      </c>
      <c r="N102" s="3">
        <v>8</v>
      </c>
      <c r="O102" s="3">
        <v>3</v>
      </c>
      <c r="P102" s="3">
        <v>20</v>
      </c>
      <c r="Q102" s="3">
        <v>180</v>
      </c>
      <c r="R102" s="3"/>
      <c r="S102" s="3"/>
      <c r="T102" s="3"/>
      <c r="U102" s="3"/>
      <c r="V102" s="3"/>
      <c r="W102" s="3"/>
      <c r="X102" s="3" t="s">
        <v>80</v>
      </c>
      <c r="Y102" s="3" t="s">
        <v>153</v>
      </c>
    </row>
    <row r="103" spans="1:25" ht="15" customHeight="1" x14ac:dyDescent="0.3">
      <c r="A103" s="5">
        <v>45847</v>
      </c>
      <c r="B103" s="25">
        <v>33</v>
      </c>
      <c r="C103" s="3" t="s">
        <v>38</v>
      </c>
      <c r="D103" s="3" t="s">
        <v>164</v>
      </c>
      <c r="E103" s="3">
        <v>2</v>
      </c>
      <c r="F103" s="3">
        <v>182</v>
      </c>
      <c r="G103" s="6" t="s">
        <v>276</v>
      </c>
      <c r="H103" s="3" t="s">
        <v>277</v>
      </c>
      <c r="I103" s="6" t="s">
        <v>49</v>
      </c>
      <c r="J103" s="3">
        <v>4</v>
      </c>
      <c r="K103" s="3">
        <v>4</v>
      </c>
      <c r="L103" s="3">
        <v>14</v>
      </c>
      <c r="M103" s="3">
        <v>3.5</v>
      </c>
      <c r="N103" s="3">
        <v>6</v>
      </c>
      <c r="O103" s="3">
        <v>3</v>
      </c>
      <c r="P103" s="3">
        <v>40</v>
      </c>
      <c r="Q103" s="3">
        <v>170</v>
      </c>
      <c r="R103" s="3"/>
      <c r="S103" s="3"/>
      <c r="T103" s="3"/>
      <c r="U103" s="3"/>
      <c r="V103" s="3"/>
      <c r="W103" s="3"/>
      <c r="X103" s="3" t="s">
        <v>82</v>
      </c>
      <c r="Y103" s="3" t="s">
        <v>153</v>
      </c>
    </row>
    <row r="104" spans="1:25" ht="15" customHeight="1" x14ac:dyDescent="0.3">
      <c r="A104" s="5">
        <v>45847</v>
      </c>
      <c r="B104" s="25">
        <v>33</v>
      </c>
      <c r="C104" s="3" t="s">
        <v>38</v>
      </c>
      <c r="D104" s="3" t="s">
        <v>164</v>
      </c>
      <c r="E104" s="3">
        <v>2</v>
      </c>
      <c r="F104" s="3">
        <v>173</v>
      </c>
      <c r="G104" s="6" t="s">
        <v>225</v>
      </c>
      <c r="H104" s="3" t="s">
        <v>226</v>
      </c>
      <c r="I104" s="6" t="s">
        <v>49</v>
      </c>
      <c r="J104" s="3">
        <v>5</v>
      </c>
      <c r="K104" s="3">
        <v>5</v>
      </c>
      <c r="L104" s="3">
        <v>15.2</v>
      </c>
      <c r="M104" s="3">
        <v>10</v>
      </c>
      <c r="N104" s="3">
        <v>10</v>
      </c>
      <c r="O104" s="3">
        <v>6</v>
      </c>
      <c r="P104" s="3" t="s">
        <v>239</v>
      </c>
      <c r="Q104" s="3">
        <v>170</v>
      </c>
      <c r="R104" s="3"/>
      <c r="S104" s="3"/>
      <c r="T104" s="3"/>
      <c r="U104" s="3"/>
      <c r="V104" s="3"/>
      <c r="W104" s="3"/>
      <c r="X104" s="3" t="s">
        <v>79</v>
      </c>
      <c r="Y104" s="3" t="s">
        <v>87</v>
      </c>
    </row>
    <row r="105" spans="1:25" ht="15" customHeight="1" x14ac:dyDescent="0.3">
      <c r="A105" s="5">
        <v>45847</v>
      </c>
      <c r="B105" s="25">
        <v>33</v>
      </c>
      <c r="C105" s="3" t="s">
        <v>38</v>
      </c>
      <c r="D105" s="3" t="s">
        <v>164</v>
      </c>
      <c r="E105" s="3">
        <v>2</v>
      </c>
      <c r="F105" s="3">
        <v>174</v>
      </c>
      <c r="G105" s="6" t="s">
        <v>181</v>
      </c>
      <c r="H105" s="3" t="s">
        <v>182</v>
      </c>
      <c r="I105" s="6" t="s">
        <v>49</v>
      </c>
      <c r="J105" s="3">
        <v>5</v>
      </c>
      <c r="K105" s="3">
        <v>5</v>
      </c>
      <c r="L105" s="3">
        <v>13.49</v>
      </c>
      <c r="M105" s="3">
        <v>8.4</v>
      </c>
      <c r="N105" s="3">
        <v>8.4</v>
      </c>
      <c r="O105" s="3">
        <v>6</v>
      </c>
      <c r="P105" s="3" t="s">
        <v>198</v>
      </c>
      <c r="Q105" s="3">
        <v>170</v>
      </c>
      <c r="R105" s="3"/>
      <c r="S105" s="3"/>
      <c r="T105" s="3"/>
      <c r="U105" s="3"/>
      <c r="V105" s="3"/>
      <c r="W105" s="3"/>
      <c r="X105" s="3" t="s">
        <v>79</v>
      </c>
      <c r="Y105" s="3" t="s">
        <v>87</v>
      </c>
    </row>
    <row r="106" spans="1:25" ht="15" customHeight="1" x14ac:dyDescent="0.3">
      <c r="A106" s="5">
        <v>45847</v>
      </c>
      <c r="B106" s="25">
        <v>33</v>
      </c>
      <c r="C106" s="3" t="s">
        <v>38</v>
      </c>
      <c r="D106" s="3" t="s">
        <v>164</v>
      </c>
      <c r="E106" s="3">
        <v>2</v>
      </c>
      <c r="F106" s="3">
        <v>176</v>
      </c>
      <c r="G106" s="6" t="s">
        <v>17</v>
      </c>
      <c r="H106" s="3" t="s">
        <v>183</v>
      </c>
      <c r="I106" s="6" t="s">
        <v>49</v>
      </c>
      <c r="J106" s="3">
        <v>5</v>
      </c>
      <c r="K106" s="3">
        <v>5</v>
      </c>
      <c r="L106" s="3">
        <v>17.100000000000001</v>
      </c>
      <c r="M106" s="3">
        <v>11.5</v>
      </c>
      <c r="N106" s="3">
        <v>11.5</v>
      </c>
      <c r="O106" s="3">
        <v>8</v>
      </c>
      <c r="P106" s="3" t="s">
        <v>282</v>
      </c>
      <c r="Q106" s="3">
        <v>175</v>
      </c>
      <c r="R106" s="3"/>
      <c r="S106" s="3"/>
      <c r="T106" s="3"/>
      <c r="U106" s="3"/>
      <c r="V106" s="3"/>
      <c r="W106" s="3"/>
      <c r="X106" s="3" t="s">
        <v>253</v>
      </c>
      <c r="Y106" s="3" t="s">
        <v>80</v>
      </c>
    </row>
    <row r="107" spans="1:25" ht="15" customHeight="1" x14ac:dyDescent="0.3">
      <c r="A107" s="5">
        <v>45847</v>
      </c>
      <c r="B107" s="25">
        <v>33</v>
      </c>
      <c r="C107" s="3" t="s">
        <v>38</v>
      </c>
      <c r="D107" s="3" t="s">
        <v>164</v>
      </c>
      <c r="E107" s="3">
        <v>2</v>
      </c>
      <c r="F107" s="3">
        <v>177</v>
      </c>
      <c r="G107" s="6" t="s">
        <v>18</v>
      </c>
      <c r="H107" s="3" t="s">
        <v>184</v>
      </c>
      <c r="I107" s="6" t="s">
        <v>49</v>
      </c>
      <c r="J107" s="3">
        <v>3</v>
      </c>
      <c r="K107" s="3">
        <v>3</v>
      </c>
      <c r="L107" s="3">
        <v>13.05</v>
      </c>
      <c r="M107" s="3">
        <v>5.9</v>
      </c>
      <c r="N107" s="3">
        <v>5.9</v>
      </c>
      <c r="O107" s="3">
        <v>4.2</v>
      </c>
      <c r="P107" s="3"/>
      <c r="Q107" s="3">
        <v>170</v>
      </c>
      <c r="R107" s="3"/>
      <c r="S107" s="3"/>
      <c r="T107" s="3"/>
      <c r="U107" s="3"/>
      <c r="V107" s="3"/>
      <c r="W107" s="3"/>
      <c r="X107" s="3" t="s">
        <v>254</v>
      </c>
      <c r="Y107" s="3" t="s">
        <v>296</v>
      </c>
    </row>
    <row r="108" spans="1:25" ht="15" customHeight="1" x14ac:dyDescent="0.3">
      <c r="A108" s="5">
        <v>45847</v>
      </c>
      <c r="B108" s="25">
        <v>33</v>
      </c>
      <c r="C108" s="3" t="s">
        <v>38</v>
      </c>
      <c r="D108" s="3" t="s">
        <v>164</v>
      </c>
      <c r="E108" s="3">
        <v>2</v>
      </c>
      <c r="F108" s="3">
        <v>131</v>
      </c>
      <c r="G108" s="6" t="s">
        <v>229</v>
      </c>
      <c r="H108" s="3" t="s">
        <v>230</v>
      </c>
      <c r="I108" s="6" t="s">
        <v>49</v>
      </c>
      <c r="J108" s="3">
        <v>3</v>
      </c>
      <c r="K108" s="23">
        <v>2</v>
      </c>
      <c r="L108" s="3">
        <v>17.75</v>
      </c>
      <c r="M108" s="3">
        <v>9.6999999999999993</v>
      </c>
      <c r="N108" s="3">
        <v>9.6999999999999993</v>
      </c>
      <c r="O108" s="3">
        <v>6</v>
      </c>
      <c r="P108" s="3"/>
      <c r="Q108" s="3">
        <v>170</v>
      </c>
      <c r="R108" s="3"/>
      <c r="S108" s="3"/>
      <c r="T108" s="3"/>
      <c r="U108" s="3"/>
      <c r="V108" s="3"/>
      <c r="W108" s="3"/>
      <c r="X108" s="3" t="s">
        <v>289</v>
      </c>
      <c r="Y108" s="3" t="s">
        <v>297</v>
      </c>
    </row>
    <row r="109" spans="1:25" ht="15" customHeight="1" x14ac:dyDescent="0.3">
      <c r="A109" s="5">
        <v>45847</v>
      </c>
      <c r="B109" s="25">
        <v>33</v>
      </c>
      <c r="C109" s="3" t="s">
        <v>38</v>
      </c>
      <c r="D109" s="3" t="s">
        <v>164</v>
      </c>
      <c r="E109" s="3">
        <v>2</v>
      </c>
      <c r="F109" s="3">
        <v>201</v>
      </c>
      <c r="G109" s="6" t="s">
        <v>231</v>
      </c>
      <c r="H109" s="3" t="s">
        <v>232</v>
      </c>
      <c r="I109" s="6" t="s">
        <v>269</v>
      </c>
      <c r="J109" s="3">
        <v>24</v>
      </c>
      <c r="K109" s="23">
        <v>23</v>
      </c>
      <c r="L109" s="3">
        <v>26.7</v>
      </c>
      <c r="M109" s="3">
        <v>3</v>
      </c>
      <c r="N109" s="3">
        <v>3</v>
      </c>
      <c r="O109" s="3"/>
      <c r="P109" s="3"/>
      <c r="Q109" s="3"/>
      <c r="R109" s="3" t="s">
        <v>283</v>
      </c>
      <c r="S109" s="3" t="s">
        <v>284</v>
      </c>
      <c r="T109" s="3">
        <v>0.5</v>
      </c>
      <c r="U109" s="3">
        <v>5</v>
      </c>
      <c r="V109" s="3">
        <v>15</v>
      </c>
      <c r="W109" s="3">
        <v>110</v>
      </c>
      <c r="X109" s="3" t="s">
        <v>290</v>
      </c>
      <c r="Y109" s="3"/>
    </row>
    <row r="110" spans="1:25" ht="15" customHeight="1" x14ac:dyDescent="0.3">
      <c r="A110" s="5">
        <v>45847</v>
      </c>
      <c r="B110" s="25">
        <v>33</v>
      </c>
      <c r="C110" s="3" t="s">
        <v>38</v>
      </c>
      <c r="D110" s="3" t="s">
        <v>164</v>
      </c>
      <c r="E110" s="3">
        <v>2</v>
      </c>
      <c r="F110" s="3">
        <v>202</v>
      </c>
      <c r="G110" s="6" t="s">
        <v>233</v>
      </c>
      <c r="H110" s="3" t="s">
        <v>234</v>
      </c>
      <c r="I110" s="6" t="s">
        <v>111</v>
      </c>
      <c r="J110" s="3">
        <v>12</v>
      </c>
      <c r="K110" s="23">
        <v>9</v>
      </c>
      <c r="L110" s="3">
        <v>31</v>
      </c>
      <c r="M110" s="3">
        <v>5</v>
      </c>
      <c r="N110" s="3">
        <v>5</v>
      </c>
      <c r="O110" s="3"/>
      <c r="P110" s="3"/>
      <c r="Q110" s="3"/>
      <c r="R110" s="3" t="s">
        <v>284</v>
      </c>
      <c r="S110" s="3" t="s">
        <v>242</v>
      </c>
      <c r="T110" s="3">
        <v>1.25</v>
      </c>
      <c r="U110" s="3">
        <v>45</v>
      </c>
      <c r="V110" s="3">
        <v>25</v>
      </c>
      <c r="W110" s="3">
        <v>120</v>
      </c>
      <c r="X110" s="3" t="s">
        <v>291</v>
      </c>
      <c r="Y110" s="3"/>
    </row>
    <row r="111" spans="1:25" ht="15" customHeight="1" x14ac:dyDescent="0.3">
      <c r="A111" s="5">
        <v>45847</v>
      </c>
      <c r="B111" s="25">
        <v>33</v>
      </c>
      <c r="C111" s="3" t="s">
        <v>38</v>
      </c>
      <c r="D111" s="3" t="s">
        <v>164</v>
      </c>
      <c r="E111" s="3">
        <v>2</v>
      </c>
      <c r="F111" s="3">
        <v>203</v>
      </c>
      <c r="G111" s="6" t="s">
        <v>23</v>
      </c>
      <c r="H111" s="3" t="s">
        <v>188</v>
      </c>
      <c r="I111" s="6" t="s">
        <v>111</v>
      </c>
      <c r="J111" s="3">
        <v>8</v>
      </c>
      <c r="K111" s="3">
        <v>8</v>
      </c>
      <c r="L111" s="3">
        <v>14.8</v>
      </c>
      <c r="M111" s="3">
        <v>3</v>
      </c>
      <c r="N111" s="3">
        <v>3</v>
      </c>
      <c r="O111" s="3"/>
      <c r="P111" s="3"/>
      <c r="Q111" s="3"/>
      <c r="R111" s="3" t="s">
        <v>65</v>
      </c>
      <c r="S111" s="3" t="s">
        <v>73</v>
      </c>
      <c r="T111" s="3">
        <v>1</v>
      </c>
      <c r="U111" s="3">
        <v>20</v>
      </c>
      <c r="V111" s="3">
        <v>25</v>
      </c>
      <c r="W111" s="3">
        <v>115</v>
      </c>
      <c r="X111" s="3" t="s">
        <v>292</v>
      </c>
      <c r="Y111" s="6" t="s">
        <v>298</v>
      </c>
    </row>
    <row r="112" spans="1:25" ht="15" customHeight="1" x14ac:dyDescent="0.3">
      <c r="A112" s="5">
        <v>45847</v>
      </c>
      <c r="B112" s="25">
        <v>33</v>
      </c>
      <c r="C112" s="3" t="s">
        <v>38</v>
      </c>
      <c r="D112" s="3" t="s">
        <v>164</v>
      </c>
      <c r="E112" s="3">
        <v>2</v>
      </c>
      <c r="F112" s="3">
        <v>205</v>
      </c>
      <c r="G112" s="6" t="s">
        <v>235</v>
      </c>
      <c r="H112" s="3" t="s">
        <v>236</v>
      </c>
      <c r="I112" s="6" t="s">
        <v>111</v>
      </c>
      <c r="J112" s="3">
        <v>4</v>
      </c>
      <c r="K112" s="3">
        <v>4</v>
      </c>
      <c r="L112" s="3">
        <v>21.1</v>
      </c>
      <c r="M112" s="3">
        <v>1.5</v>
      </c>
      <c r="N112" s="3">
        <v>1.5</v>
      </c>
      <c r="O112" s="3"/>
      <c r="P112" s="3"/>
      <c r="Q112" s="3"/>
      <c r="R112" s="3" t="s">
        <v>285</v>
      </c>
      <c r="S112" s="3" t="s">
        <v>287</v>
      </c>
      <c r="T112" s="3">
        <v>1</v>
      </c>
      <c r="U112" s="3">
        <v>15</v>
      </c>
      <c r="V112" s="3">
        <v>20</v>
      </c>
      <c r="W112" s="3">
        <v>140</v>
      </c>
      <c r="X112" s="3" t="s">
        <v>259</v>
      </c>
      <c r="Y112" s="3"/>
    </row>
    <row r="113" spans="1:25" ht="15" customHeight="1" x14ac:dyDescent="0.3">
      <c r="A113" s="5">
        <v>45847</v>
      </c>
      <c r="B113" s="25">
        <v>33</v>
      </c>
      <c r="C113" s="3" t="s">
        <v>38</v>
      </c>
      <c r="D113" s="3" t="s">
        <v>164</v>
      </c>
      <c r="E113" s="3">
        <v>2</v>
      </c>
      <c r="F113" s="3">
        <v>206</v>
      </c>
      <c r="G113" s="6" t="s">
        <v>115</v>
      </c>
      <c r="H113" s="3" t="s">
        <v>237</v>
      </c>
      <c r="I113" s="6" t="s">
        <v>111</v>
      </c>
      <c r="J113" s="3">
        <v>12</v>
      </c>
      <c r="K113" s="23">
        <v>11</v>
      </c>
      <c r="L113" s="3">
        <v>28.5</v>
      </c>
      <c r="M113" s="3">
        <v>1.2</v>
      </c>
      <c r="N113" s="3">
        <v>1.2</v>
      </c>
      <c r="O113" s="3"/>
      <c r="P113" s="3"/>
      <c r="Q113" s="3"/>
      <c r="R113" s="3" t="s">
        <v>246</v>
      </c>
      <c r="S113" s="3" t="s">
        <v>248</v>
      </c>
      <c r="T113" s="3">
        <v>0.6</v>
      </c>
      <c r="U113" s="3">
        <v>32</v>
      </c>
      <c r="V113" s="3">
        <v>38</v>
      </c>
      <c r="W113" s="3">
        <v>115</v>
      </c>
      <c r="X113" s="3" t="s">
        <v>293</v>
      </c>
      <c r="Y113" s="3" t="s">
        <v>299</v>
      </c>
    </row>
    <row r="114" spans="1:25" ht="15" customHeight="1" x14ac:dyDescent="0.3">
      <c r="A114" s="5">
        <v>45847</v>
      </c>
      <c r="B114" s="25">
        <v>33</v>
      </c>
      <c r="C114" s="3" t="s">
        <v>38</v>
      </c>
      <c r="D114" s="3" t="s">
        <v>164</v>
      </c>
      <c r="E114" s="3">
        <v>2</v>
      </c>
      <c r="F114" s="3">
        <v>208</v>
      </c>
      <c r="G114" s="6" t="s">
        <v>26</v>
      </c>
      <c r="H114" s="3" t="s">
        <v>190</v>
      </c>
      <c r="I114" s="6" t="s">
        <v>112</v>
      </c>
      <c r="J114" s="3">
        <v>2</v>
      </c>
      <c r="K114" s="3">
        <v>2</v>
      </c>
      <c r="L114" s="3">
        <v>35.869999999999997</v>
      </c>
      <c r="M114" s="3">
        <v>3</v>
      </c>
      <c r="N114" s="3">
        <v>3</v>
      </c>
      <c r="O114" s="3"/>
      <c r="P114" s="3"/>
      <c r="Q114" s="3"/>
      <c r="R114" s="3" t="s">
        <v>200</v>
      </c>
      <c r="S114" s="3" t="s">
        <v>203</v>
      </c>
      <c r="T114" s="3">
        <v>1</v>
      </c>
      <c r="U114" s="3">
        <v>25</v>
      </c>
      <c r="V114" s="3">
        <v>30</v>
      </c>
      <c r="W114" s="3">
        <v>120</v>
      </c>
      <c r="X114" s="3" t="s">
        <v>101</v>
      </c>
      <c r="Y114" s="3"/>
    </row>
    <row r="115" spans="1:25" ht="15" customHeight="1" x14ac:dyDescent="0.3">
      <c r="A115" s="5">
        <v>45847</v>
      </c>
      <c r="B115" s="25">
        <v>33</v>
      </c>
      <c r="C115" s="3" t="s">
        <v>38</v>
      </c>
      <c r="D115" s="3" t="s">
        <v>164</v>
      </c>
      <c r="E115" s="3">
        <v>2</v>
      </c>
      <c r="F115" s="3">
        <v>210</v>
      </c>
      <c r="G115" s="6" t="s">
        <v>278</v>
      </c>
      <c r="H115" s="3" t="s">
        <v>279</v>
      </c>
      <c r="I115" s="6" t="s">
        <v>111</v>
      </c>
      <c r="J115" s="3">
        <v>4</v>
      </c>
      <c r="K115" s="3">
        <v>4</v>
      </c>
      <c r="L115" s="3">
        <v>22.2</v>
      </c>
      <c r="M115" s="3">
        <v>4</v>
      </c>
      <c r="N115" s="3">
        <v>4</v>
      </c>
      <c r="O115" s="3"/>
      <c r="P115" s="3"/>
      <c r="Q115" s="3"/>
      <c r="R115" s="3" t="s">
        <v>70</v>
      </c>
      <c r="S115" s="3" t="s">
        <v>77</v>
      </c>
      <c r="T115" s="3">
        <v>1</v>
      </c>
      <c r="U115" s="3">
        <v>20</v>
      </c>
      <c r="V115" s="3">
        <v>30</v>
      </c>
      <c r="W115" s="3">
        <v>100</v>
      </c>
      <c r="X115" s="3" t="s">
        <v>213</v>
      </c>
      <c r="Y115" s="3" t="s">
        <v>300</v>
      </c>
    </row>
    <row r="116" spans="1:25" ht="15" customHeight="1" x14ac:dyDescent="0.3">
      <c r="A116" s="5">
        <v>45847</v>
      </c>
      <c r="B116" s="25">
        <v>33</v>
      </c>
      <c r="C116" s="3" t="s">
        <v>38</v>
      </c>
      <c r="D116" s="3" t="s">
        <v>164</v>
      </c>
      <c r="E116" s="3">
        <v>2</v>
      </c>
      <c r="F116" s="3">
        <v>401</v>
      </c>
      <c r="G116" s="6" t="s">
        <v>280</v>
      </c>
      <c r="H116" s="3" t="s">
        <v>281</v>
      </c>
      <c r="I116" s="6" t="s">
        <v>49</v>
      </c>
      <c r="J116" s="3">
        <v>1</v>
      </c>
      <c r="K116" s="3">
        <v>1</v>
      </c>
      <c r="L116" s="3">
        <v>10.57</v>
      </c>
      <c r="N116" s="3"/>
      <c r="O116" s="3">
        <v>3</v>
      </c>
      <c r="P116" s="3"/>
      <c r="Q116" s="3"/>
      <c r="R116" s="3"/>
      <c r="S116" s="3"/>
      <c r="T116" s="3"/>
      <c r="U116" s="3"/>
      <c r="V116" s="3"/>
      <c r="W116" s="3"/>
      <c r="X116" s="3" t="s">
        <v>263</v>
      </c>
      <c r="Y116" s="3"/>
    </row>
    <row r="117" spans="1:25" ht="15" customHeight="1" x14ac:dyDescent="0.3">
      <c r="A117" s="5">
        <v>45847</v>
      </c>
      <c r="B117" s="25">
        <v>33</v>
      </c>
      <c r="C117" s="3" t="s">
        <v>38</v>
      </c>
      <c r="D117" s="3" t="s">
        <v>164</v>
      </c>
      <c r="E117" s="3">
        <v>2</v>
      </c>
      <c r="F117" s="3">
        <v>301</v>
      </c>
      <c r="G117" s="6" t="s">
        <v>30</v>
      </c>
      <c r="H117" s="3" t="s">
        <v>194</v>
      </c>
      <c r="I117" s="6" t="s">
        <v>49</v>
      </c>
      <c r="J117" s="3">
        <v>8</v>
      </c>
      <c r="K117" s="23">
        <v>5</v>
      </c>
      <c r="L117" s="3">
        <v>29</v>
      </c>
      <c r="M117" s="3">
        <v>5.5</v>
      </c>
      <c r="N117" s="3">
        <v>5.5</v>
      </c>
      <c r="O117" s="3"/>
      <c r="P117" s="3"/>
      <c r="Q117" s="3"/>
      <c r="R117" s="3" t="s">
        <v>128</v>
      </c>
      <c r="S117" s="3" t="s">
        <v>133</v>
      </c>
      <c r="T117" s="3">
        <v>4</v>
      </c>
      <c r="U117" s="3">
        <v>26</v>
      </c>
      <c r="V117" s="3">
        <v>50</v>
      </c>
      <c r="W117" s="3">
        <v>130</v>
      </c>
      <c r="X117" s="3" t="s">
        <v>147</v>
      </c>
      <c r="Y117" s="3" t="s">
        <v>160</v>
      </c>
    </row>
    <row r="118" spans="1:25" ht="15" customHeight="1" x14ac:dyDescent="0.3">
      <c r="A118" s="5">
        <v>45847</v>
      </c>
      <c r="B118" s="25">
        <v>33</v>
      </c>
      <c r="C118" s="3" t="s">
        <v>38</v>
      </c>
      <c r="D118" s="3" t="s">
        <v>164</v>
      </c>
      <c r="E118" s="3">
        <v>2</v>
      </c>
      <c r="F118" s="3">
        <v>302</v>
      </c>
      <c r="G118" s="6" t="s">
        <v>31</v>
      </c>
      <c r="H118" s="3" t="s">
        <v>195</v>
      </c>
      <c r="I118" s="6" t="s">
        <v>49</v>
      </c>
      <c r="J118" s="3">
        <v>12</v>
      </c>
      <c r="K118" s="23">
        <v>9</v>
      </c>
      <c r="L118" s="3">
        <v>63.41</v>
      </c>
      <c r="M118" s="3">
        <v>16</v>
      </c>
      <c r="N118" s="3">
        <v>16</v>
      </c>
      <c r="O118" s="3"/>
      <c r="P118" s="3"/>
      <c r="Q118" s="3"/>
      <c r="R118" s="3" t="s">
        <v>201</v>
      </c>
      <c r="S118" s="3" t="s">
        <v>204</v>
      </c>
      <c r="T118" s="3">
        <v>6</v>
      </c>
      <c r="U118" s="3">
        <v>40</v>
      </c>
      <c r="V118" s="3">
        <v>50</v>
      </c>
      <c r="W118" s="3">
        <v>150</v>
      </c>
      <c r="X118" s="3" t="s">
        <v>294</v>
      </c>
      <c r="Y118" s="3" t="s">
        <v>301</v>
      </c>
    </row>
    <row r="119" spans="1:25" ht="15" customHeight="1" x14ac:dyDescent="0.3">
      <c r="A119" s="5">
        <v>45847</v>
      </c>
      <c r="B119" s="25">
        <v>33</v>
      </c>
      <c r="C119" s="3" t="s">
        <v>38</v>
      </c>
      <c r="D119" s="3" t="s">
        <v>164</v>
      </c>
      <c r="E119" s="3">
        <v>2</v>
      </c>
      <c r="F119" s="3">
        <v>303</v>
      </c>
      <c r="G119" s="6" t="s">
        <v>32</v>
      </c>
      <c r="H119" s="3" t="s">
        <v>238</v>
      </c>
      <c r="I119" s="6" t="s">
        <v>49</v>
      </c>
      <c r="J119" s="3">
        <v>12</v>
      </c>
      <c r="K119" s="23">
        <v>6</v>
      </c>
      <c r="L119" s="3">
        <v>38</v>
      </c>
      <c r="M119" s="3">
        <v>7</v>
      </c>
      <c r="N119" s="3">
        <v>7</v>
      </c>
      <c r="O119" s="3"/>
      <c r="P119" s="3"/>
      <c r="Q119" s="3">
        <v>150</v>
      </c>
      <c r="R119" s="3" t="s">
        <v>286</v>
      </c>
      <c r="S119" s="3" t="s">
        <v>249</v>
      </c>
      <c r="T119" s="3">
        <v>3</v>
      </c>
      <c r="U119" s="3">
        <v>20</v>
      </c>
      <c r="V119" s="3">
        <v>35</v>
      </c>
      <c r="W119" s="3">
        <v>135</v>
      </c>
      <c r="X119" s="3" t="s">
        <v>295</v>
      </c>
      <c r="Y119" s="3" t="s">
        <v>302</v>
      </c>
    </row>
    <row r="120" spans="1:25" ht="15" customHeight="1" x14ac:dyDescent="0.3">
      <c r="A120" s="27">
        <v>45848</v>
      </c>
      <c r="B120" s="25">
        <v>31</v>
      </c>
      <c r="C120" s="3" t="s">
        <v>38</v>
      </c>
      <c r="D120" s="3" t="s">
        <v>164</v>
      </c>
      <c r="E120" s="3">
        <v>2</v>
      </c>
      <c r="F120" s="3">
        <v>102</v>
      </c>
      <c r="G120" s="6" t="s">
        <v>223</v>
      </c>
      <c r="H120" s="3" t="s">
        <v>224</v>
      </c>
      <c r="I120" s="6" t="s">
        <v>5</v>
      </c>
      <c r="J120" s="3">
        <v>6</v>
      </c>
      <c r="K120" s="23">
        <v>5</v>
      </c>
      <c r="L120" s="3">
        <v>15.19</v>
      </c>
      <c r="M120" s="3">
        <v>5.75</v>
      </c>
      <c r="N120" s="3">
        <v>6</v>
      </c>
      <c r="O120" s="3">
        <v>6</v>
      </c>
      <c r="P120" s="3">
        <v>52</v>
      </c>
      <c r="Q120" s="3">
        <v>170</v>
      </c>
      <c r="R120" s="3"/>
      <c r="S120" s="3"/>
      <c r="T120" s="3"/>
      <c r="U120" s="3"/>
      <c r="V120" s="3"/>
      <c r="W120" s="3"/>
      <c r="X120" s="3" t="s">
        <v>288</v>
      </c>
      <c r="Y120" s="3" t="s">
        <v>138</v>
      </c>
    </row>
    <row r="121" spans="1:25" ht="15" customHeight="1" x14ac:dyDescent="0.3">
      <c r="A121" s="27">
        <v>45848</v>
      </c>
      <c r="B121" s="25">
        <v>31</v>
      </c>
      <c r="C121" s="3" t="s">
        <v>38</v>
      </c>
      <c r="D121" s="3" t="s">
        <v>164</v>
      </c>
      <c r="E121" s="3">
        <v>2</v>
      </c>
      <c r="F121" s="3">
        <v>161</v>
      </c>
      <c r="G121" s="6" t="s">
        <v>272</v>
      </c>
      <c r="H121" s="3" t="s">
        <v>273</v>
      </c>
      <c r="I121" s="6" t="s">
        <v>49</v>
      </c>
      <c r="J121" s="3">
        <v>2</v>
      </c>
      <c r="K121" s="3">
        <v>2</v>
      </c>
      <c r="L121" s="3">
        <v>21.01</v>
      </c>
      <c r="M121" s="3">
        <v>8</v>
      </c>
      <c r="N121" s="3">
        <v>8.5</v>
      </c>
      <c r="O121" s="3">
        <v>2.9</v>
      </c>
      <c r="P121" s="3"/>
      <c r="Q121" s="3">
        <v>155</v>
      </c>
      <c r="R121" s="3"/>
      <c r="S121" s="3"/>
      <c r="T121" s="3"/>
      <c r="U121" s="3"/>
      <c r="V121" s="3"/>
      <c r="W121" s="3"/>
      <c r="X121" s="3" t="s">
        <v>84</v>
      </c>
      <c r="Y121" s="3" t="s">
        <v>152</v>
      </c>
    </row>
    <row r="122" spans="1:25" ht="15" customHeight="1" x14ac:dyDescent="0.3">
      <c r="A122" s="27">
        <v>45848</v>
      </c>
      <c r="B122" s="25">
        <v>31</v>
      </c>
      <c r="C122" s="3" t="s">
        <v>38</v>
      </c>
      <c r="D122" s="3" t="s">
        <v>164</v>
      </c>
      <c r="E122" s="3">
        <v>2</v>
      </c>
      <c r="F122" s="3">
        <v>162</v>
      </c>
      <c r="G122" s="6" t="s">
        <v>303</v>
      </c>
      <c r="H122" s="3" t="s">
        <v>304</v>
      </c>
      <c r="I122" s="6" t="s">
        <v>49</v>
      </c>
      <c r="J122" s="3">
        <v>2</v>
      </c>
      <c r="K122" s="3">
        <v>2</v>
      </c>
      <c r="L122" s="3">
        <v>21.97</v>
      </c>
      <c r="M122" s="3">
        <v>3.5</v>
      </c>
      <c r="N122" s="3">
        <v>6</v>
      </c>
      <c r="O122" s="3">
        <v>3.5</v>
      </c>
      <c r="P122" s="3">
        <v>18</v>
      </c>
      <c r="Q122" s="3">
        <v>170</v>
      </c>
      <c r="R122" s="3"/>
      <c r="S122" s="3"/>
      <c r="T122" s="3"/>
      <c r="U122" s="3"/>
      <c r="V122" s="3"/>
      <c r="W122" s="3"/>
      <c r="X122" s="3" t="s">
        <v>252</v>
      </c>
      <c r="Y122" s="3" t="s">
        <v>83</v>
      </c>
    </row>
    <row r="123" spans="1:25" ht="15" customHeight="1" x14ac:dyDescent="0.3">
      <c r="A123" s="27">
        <v>45848</v>
      </c>
      <c r="B123" s="25">
        <v>31</v>
      </c>
      <c r="C123" s="3" t="s">
        <v>38</v>
      </c>
      <c r="D123" s="3" t="s">
        <v>164</v>
      </c>
      <c r="E123" s="3">
        <v>2</v>
      </c>
      <c r="F123" s="3">
        <v>163</v>
      </c>
      <c r="G123" s="6" t="s">
        <v>11</v>
      </c>
      <c r="H123" s="3" t="s">
        <v>305</v>
      </c>
      <c r="I123" s="6" t="s">
        <v>49</v>
      </c>
      <c r="J123" s="3">
        <v>2</v>
      </c>
      <c r="K123" s="3">
        <v>2</v>
      </c>
      <c r="L123" s="3">
        <v>23.99</v>
      </c>
      <c r="M123" s="3">
        <v>6.5</v>
      </c>
      <c r="N123" s="3">
        <v>10</v>
      </c>
      <c r="O123" s="3">
        <v>3.5</v>
      </c>
      <c r="P123" s="3">
        <v>20</v>
      </c>
      <c r="Q123" s="3">
        <v>170</v>
      </c>
      <c r="R123" s="3"/>
      <c r="S123" s="3"/>
      <c r="T123" s="3"/>
      <c r="U123" s="3"/>
      <c r="V123" s="3"/>
      <c r="W123" s="3"/>
      <c r="X123" s="3" t="s">
        <v>80</v>
      </c>
      <c r="Y123" s="3" t="s">
        <v>152</v>
      </c>
    </row>
    <row r="124" spans="1:25" ht="15" customHeight="1" x14ac:dyDescent="0.3">
      <c r="A124" s="27">
        <v>45848</v>
      </c>
      <c r="B124" s="25">
        <v>31</v>
      </c>
      <c r="C124" s="3" t="s">
        <v>38</v>
      </c>
      <c r="D124" s="3" t="s">
        <v>164</v>
      </c>
      <c r="E124" s="3">
        <v>2</v>
      </c>
      <c r="F124" s="3">
        <v>182</v>
      </c>
      <c r="G124" s="6" t="s">
        <v>276</v>
      </c>
      <c r="H124" s="3" t="s">
        <v>277</v>
      </c>
      <c r="I124" s="6" t="s">
        <v>49</v>
      </c>
      <c r="J124" s="3">
        <v>4</v>
      </c>
      <c r="K124" s="3">
        <v>4</v>
      </c>
      <c r="L124" s="3">
        <v>14</v>
      </c>
      <c r="M124" s="3">
        <v>3.5</v>
      </c>
      <c r="N124" s="3">
        <v>6</v>
      </c>
      <c r="O124" s="3">
        <v>3</v>
      </c>
      <c r="P124" s="3">
        <v>40</v>
      </c>
      <c r="Q124" s="3">
        <v>170</v>
      </c>
      <c r="R124" s="3"/>
      <c r="S124" s="3"/>
      <c r="T124" s="3"/>
      <c r="U124" s="3"/>
      <c r="V124" s="3"/>
      <c r="W124" s="3"/>
      <c r="X124" s="3" t="s">
        <v>82</v>
      </c>
      <c r="Y124" s="3" t="s">
        <v>153</v>
      </c>
    </row>
    <row r="125" spans="1:25" ht="15" customHeight="1" x14ac:dyDescent="0.3">
      <c r="A125" s="27">
        <v>45848</v>
      </c>
      <c r="B125" s="25">
        <v>31</v>
      </c>
      <c r="C125" s="3" t="s">
        <v>38</v>
      </c>
      <c r="D125" s="3" t="s">
        <v>164</v>
      </c>
      <c r="E125" s="3">
        <v>2</v>
      </c>
      <c r="F125" s="3">
        <v>404</v>
      </c>
      <c r="G125" s="6" t="s">
        <v>13</v>
      </c>
      <c r="H125" s="3" t="s">
        <v>180</v>
      </c>
      <c r="I125" s="6" t="s">
        <v>49</v>
      </c>
      <c r="J125" s="3">
        <v>2</v>
      </c>
      <c r="K125" s="3">
        <v>2</v>
      </c>
      <c r="L125" s="3">
        <v>7.7</v>
      </c>
      <c r="M125" s="3"/>
      <c r="N125" s="3"/>
      <c r="O125" s="3">
        <v>3</v>
      </c>
      <c r="P125" s="3"/>
      <c r="Q125" s="3"/>
      <c r="R125" s="3"/>
      <c r="S125" s="3"/>
      <c r="T125" s="3"/>
      <c r="U125" s="3"/>
      <c r="V125" s="3"/>
      <c r="W125" s="3"/>
      <c r="X125" s="3" t="s">
        <v>321</v>
      </c>
      <c r="Y125" s="3"/>
    </row>
    <row r="126" spans="1:25" ht="15" customHeight="1" x14ac:dyDescent="0.3">
      <c r="A126" s="27">
        <v>45848</v>
      </c>
      <c r="B126" s="25">
        <v>31</v>
      </c>
      <c r="C126" s="3" t="s">
        <v>38</v>
      </c>
      <c r="D126" s="3" t="s">
        <v>164</v>
      </c>
      <c r="E126" s="3">
        <v>2</v>
      </c>
      <c r="F126" s="3">
        <v>172</v>
      </c>
      <c r="G126" s="6" t="s">
        <v>306</v>
      </c>
      <c r="H126" s="3" t="s">
        <v>307</v>
      </c>
      <c r="I126" s="6" t="s">
        <v>49</v>
      </c>
      <c r="J126" s="3">
        <v>4</v>
      </c>
      <c r="K126" s="3">
        <v>4</v>
      </c>
      <c r="L126" s="3">
        <v>15.56</v>
      </c>
      <c r="M126" s="3">
        <v>1</v>
      </c>
      <c r="N126" s="3">
        <v>9.8000000000000007</v>
      </c>
      <c r="O126" s="3">
        <v>6.5</v>
      </c>
      <c r="P126" s="3" t="s">
        <v>314</v>
      </c>
      <c r="Q126" s="3">
        <v>170</v>
      </c>
      <c r="R126" s="3"/>
      <c r="S126" s="3"/>
      <c r="T126" s="3"/>
      <c r="U126" s="3"/>
      <c r="V126" s="3"/>
      <c r="W126" s="3"/>
      <c r="X126" s="3" t="s">
        <v>79</v>
      </c>
      <c r="Y126" s="3" t="s">
        <v>87</v>
      </c>
    </row>
    <row r="127" spans="1:25" ht="15" customHeight="1" x14ac:dyDescent="0.3">
      <c r="A127" s="27">
        <v>45848</v>
      </c>
      <c r="B127" s="25">
        <v>31</v>
      </c>
      <c r="C127" s="3" t="s">
        <v>38</v>
      </c>
      <c r="D127" s="3" t="s">
        <v>164</v>
      </c>
      <c r="E127" s="3">
        <v>2</v>
      </c>
      <c r="F127" s="3">
        <v>173</v>
      </c>
      <c r="G127" s="6" t="s">
        <v>225</v>
      </c>
      <c r="H127" s="3" t="s">
        <v>226</v>
      </c>
      <c r="I127" s="6" t="s">
        <v>49</v>
      </c>
      <c r="J127" s="3">
        <v>5</v>
      </c>
      <c r="K127" s="3">
        <v>5</v>
      </c>
      <c r="L127" s="3">
        <v>15.35</v>
      </c>
      <c r="M127" s="3">
        <v>1</v>
      </c>
      <c r="N127" s="3">
        <v>10</v>
      </c>
      <c r="O127" s="3">
        <v>6</v>
      </c>
      <c r="P127" s="3" t="s">
        <v>239</v>
      </c>
      <c r="Q127" s="3">
        <v>170</v>
      </c>
      <c r="R127" s="3"/>
      <c r="S127" s="3"/>
      <c r="T127" s="3"/>
      <c r="U127" s="3"/>
      <c r="V127" s="3"/>
      <c r="W127" s="3"/>
      <c r="X127" s="3" t="s">
        <v>254</v>
      </c>
      <c r="Y127" s="3" t="s">
        <v>88</v>
      </c>
    </row>
    <row r="128" spans="1:25" ht="15" customHeight="1" x14ac:dyDescent="0.3">
      <c r="A128" s="27">
        <v>45848</v>
      </c>
      <c r="B128" s="25">
        <v>31</v>
      </c>
      <c r="C128" s="3" t="s">
        <v>38</v>
      </c>
      <c r="D128" s="3" t="s">
        <v>164</v>
      </c>
      <c r="E128" s="3">
        <v>2</v>
      </c>
      <c r="F128" s="3">
        <v>174</v>
      </c>
      <c r="G128" s="6" t="s">
        <v>181</v>
      </c>
      <c r="H128" s="3" t="s">
        <v>182</v>
      </c>
      <c r="I128" s="6" t="s">
        <v>49</v>
      </c>
      <c r="J128" s="3">
        <v>5</v>
      </c>
      <c r="K128" s="3">
        <v>5</v>
      </c>
      <c r="L128" s="3">
        <v>13.52</v>
      </c>
      <c r="M128" s="3">
        <v>0.8</v>
      </c>
      <c r="N128" s="3">
        <v>8.4</v>
      </c>
      <c r="O128" s="3">
        <v>6</v>
      </c>
      <c r="P128" s="3" t="s">
        <v>198</v>
      </c>
      <c r="Q128" s="3">
        <v>170</v>
      </c>
      <c r="R128" s="3"/>
      <c r="S128" s="3"/>
      <c r="T128" s="3"/>
      <c r="U128" s="3"/>
      <c r="V128" s="3"/>
      <c r="W128" s="3"/>
      <c r="X128" s="3" t="s">
        <v>79</v>
      </c>
      <c r="Y128" s="3" t="s">
        <v>87</v>
      </c>
    </row>
    <row r="129" spans="1:25" ht="15" customHeight="1" x14ac:dyDescent="0.3">
      <c r="A129" s="27">
        <v>45848</v>
      </c>
      <c r="B129" s="25">
        <v>31</v>
      </c>
      <c r="C129" s="3" t="s">
        <v>38</v>
      </c>
      <c r="D129" s="3" t="s">
        <v>164</v>
      </c>
      <c r="E129" s="3">
        <v>2</v>
      </c>
      <c r="F129" s="3">
        <v>176</v>
      </c>
      <c r="G129" s="6" t="s">
        <v>17</v>
      </c>
      <c r="H129" s="3" t="s">
        <v>183</v>
      </c>
      <c r="I129" s="6" t="s">
        <v>49</v>
      </c>
      <c r="J129" s="3">
        <v>5</v>
      </c>
      <c r="K129" s="3">
        <v>5</v>
      </c>
      <c r="L129" s="3">
        <v>17.170000000000002</v>
      </c>
      <c r="M129" s="3">
        <v>2</v>
      </c>
      <c r="N129" s="3">
        <v>11.5</v>
      </c>
      <c r="O129" s="3">
        <v>8</v>
      </c>
      <c r="P129" s="3" t="s">
        <v>282</v>
      </c>
      <c r="Q129" s="3">
        <v>175</v>
      </c>
      <c r="R129" s="3"/>
      <c r="S129" s="3"/>
      <c r="T129" s="3"/>
      <c r="U129" s="3"/>
      <c r="V129" s="3"/>
      <c r="W129" s="3"/>
      <c r="X129" s="3" t="s">
        <v>253</v>
      </c>
      <c r="Y129" s="3" t="s">
        <v>80</v>
      </c>
    </row>
    <row r="130" spans="1:25" ht="15" customHeight="1" x14ac:dyDescent="0.3">
      <c r="A130" s="27">
        <v>45848</v>
      </c>
      <c r="B130" s="25">
        <v>31</v>
      </c>
      <c r="C130" s="3" t="s">
        <v>38</v>
      </c>
      <c r="D130" s="3" t="s">
        <v>164</v>
      </c>
      <c r="E130" s="3">
        <v>2</v>
      </c>
      <c r="F130" s="3">
        <v>177</v>
      </c>
      <c r="G130" s="6" t="s">
        <v>18</v>
      </c>
      <c r="H130" s="3" t="s">
        <v>184</v>
      </c>
      <c r="I130" s="6" t="s">
        <v>49</v>
      </c>
      <c r="J130" s="3">
        <v>3</v>
      </c>
      <c r="K130" s="3">
        <v>3</v>
      </c>
      <c r="L130" s="3">
        <v>13.05</v>
      </c>
      <c r="M130" s="3">
        <v>3.6</v>
      </c>
      <c r="N130" s="3">
        <v>5.9</v>
      </c>
      <c r="O130" s="3">
        <v>4.2</v>
      </c>
      <c r="P130" s="3"/>
      <c r="Q130" s="3">
        <v>170</v>
      </c>
      <c r="R130" s="3"/>
      <c r="S130" s="3"/>
      <c r="T130" s="3"/>
      <c r="U130" s="3"/>
      <c r="V130" s="3"/>
      <c r="W130" s="3"/>
      <c r="X130" s="3" t="s">
        <v>254</v>
      </c>
      <c r="Y130" s="3" t="s">
        <v>296</v>
      </c>
    </row>
    <row r="131" spans="1:25" ht="15" customHeight="1" x14ac:dyDescent="0.3">
      <c r="A131" s="27">
        <v>45848</v>
      </c>
      <c r="B131" s="25">
        <v>31</v>
      </c>
      <c r="C131" s="3" t="s">
        <v>38</v>
      </c>
      <c r="D131" s="3" t="s">
        <v>164</v>
      </c>
      <c r="E131" s="3">
        <v>2</v>
      </c>
      <c r="F131" s="3">
        <v>131</v>
      </c>
      <c r="G131" s="6" t="s">
        <v>229</v>
      </c>
      <c r="H131" s="3" t="s">
        <v>230</v>
      </c>
      <c r="I131" s="6" t="s">
        <v>49</v>
      </c>
      <c r="J131" s="3">
        <v>3</v>
      </c>
      <c r="K131" s="23">
        <v>2</v>
      </c>
      <c r="L131" s="3">
        <v>17.8</v>
      </c>
      <c r="M131" s="3">
        <v>3.5</v>
      </c>
      <c r="N131" s="3">
        <v>9.6999999999999993</v>
      </c>
      <c r="O131" s="3">
        <v>6</v>
      </c>
      <c r="P131" s="3"/>
      <c r="Q131" s="3">
        <v>170</v>
      </c>
      <c r="R131" s="3"/>
      <c r="S131" s="3"/>
      <c r="T131" s="3"/>
      <c r="U131" s="3"/>
      <c r="V131" s="3"/>
      <c r="W131" s="3"/>
      <c r="X131" s="3" t="s">
        <v>322</v>
      </c>
      <c r="Y131" s="3" t="s">
        <v>327</v>
      </c>
    </row>
    <row r="132" spans="1:25" ht="15" customHeight="1" x14ac:dyDescent="0.3">
      <c r="A132" s="27">
        <v>45848</v>
      </c>
      <c r="B132" s="25">
        <v>31</v>
      </c>
      <c r="C132" s="3" t="s">
        <v>38</v>
      </c>
      <c r="D132" s="3" t="s">
        <v>164</v>
      </c>
      <c r="E132" s="3">
        <v>2</v>
      </c>
      <c r="F132" s="3">
        <v>135</v>
      </c>
      <c r="G132" s="6" t="s">
        <v>308</v>
      </c>
      <c r="H132" s="3" t="s">
        <v>309</v>
      </c>
      <c r="I132" s="6" t="s">
        <v>49</v>
      </c>
      <c r="J132" s="3">
        <v>3</v>
      </c>
      <c r="K132" s="3">
        <v>3</v>
      </c>
      <c r="L132" s="3">
        <v>15.77</v>
      </c>
      <c r="M132" s="3">
        <v>3.75</v>
      </c>
      <c r="N132" s="3">
        <v>6.4</v>
      </c>
      <c r="O132" s="3">
        <v>5</v>
      </c>
      <c r="P132" s="3"/>
      <c r="Q132" s="3"/>
      <c r="R132" s="3"/>
      <c r="S132" s="3"/>
      <c r="T132" s="3"/>
      <c r="U132" s="3"/>
      <c r="V132" s="3"/>
      <c r="W132" s="3"/>
      <c r="X132" s="3" t="s">
        <v>323</v>
      </c>
      <c r="Y132" s="3" t="s">
        <v>328</v>
      </c>
    </row>
    <row r="133" spans="1:25" ht="15" customHeight="1" x14ac:dyDescent="0.3">
      <c r="A133" s="27">
        <v>45848</v>
      </c>
      <c r="B133" s="25">
        <v>31</v>
      </c>
      <c r="C133" s="3" t="s">
        <v>38</v>
      </c>
      <c r="D133" s="3" t="s">
        <v>164</v>
      </c>
      <c r="E133" s="3">
        <v>2</v>
      </c>
      <c r="F133" s="3">
        <v>202</v>
      </c>
      <c r="G133" s="6" t="s">
        <v>233</v>
      </c>
      <c r="H133" s="3" t="s">
        <v>234</v>
      </c>
      <c r="I133" s="6" t="s">
        <v>111</v>
      </c>
      <c r="J133" s="3">
        <v>12</v>
      </c>
      <c r="K133" s="3">
        <v>12</v>
      </c>
      <c r="L133" s="3">
        <v>27.9</v>
      </c>
      <c r="M133" s="3">
        <v>16</v>
      </c>
      <c r="N133" s="3">
        <v>3</v>
      </c>
      <c r="O133" s="3"/>
      <c r="P133" s="3"/>
      <c r="Q133" s="3"/>
      <c r="R133" s="3" t="s">
        <v>315</v>
      </c>
      <c r="S133" s="3" t="s">
        <v>63</v>
      </c>
      <c r="T133" s="3">
        <v>1</v>
      </c>
      <c r="U133" s="3">
        <v>20</v>
      </c>
      <c r="V133" s="3">
        <v>25</v>
      </c>
      <c r="W133" s="3">
        <v>120</v>
      </c>
      <c r="X133" s="3" t="s">
        <v>94</v>
      </c>
    </row>
    <row r="134" spans="1:25" ht="15" customHeight="1" x14ac:dyDescent="0.3">
      <c r="A134" s="27">
        <v>45848</v>
      </c>
      <c r="B134" s="25">
        <v>31</v>
      </c>
      <c r="C134" s="3" t="s">
        <v>38</v>
      </c>
      <c r="D134" s="3" t="s">
        <v>164</v>
      </c>
      <c r="E134" s="3">
        <v>2</v>
      </c>
      <c r="F134" s="3">
        <v>203</v>
      </c>
      <c r="G134" s="6" t="s">
        <v>23</v>
      </c>
      <c r="H134" s="3" t="s">
        <v>188</v>
      </c>
      <c r="I134" s="6" t="s">
        <v>111</v>
      </c>
      <c r="J134" s="3">
        <v>8</v>
      </c>
      <c r="K134" s="3">
        <v>8</v>
      </c>
      <c r="L134" s="3">
        <v>15</v>
      </c>
      <c r="M134" s="3">
        <v>5</v>
      </c>
      <c r="N134" s="3">
        <v>3</v>
      </c>
      <c r="O134" s="3"/>
      <c r="P134" s="3"/>
      <c r="Q134" s="3"/>
      <c r="R134" s="3" t="s">
        <v>65</v>
      </c>
      <c r="S134" s="3" t="s">
        <v>73</v>
      </c>
      <c r="T134" s="3">
        <v>1</v>
      </c>
      <c r="U134" s="3">
        <v>20</v>
      </c>
      <c r="V134" s="3">
        <v>25</v>
      </c>
      <c r="W134" s="3">
        <v>115</v>
      </c>
      <c r="X134" s="3" t="s">
        <v>144</v>
      </c>
      <c r="Y134" s="3" t="s">
        <v>329</v>
      </c>
    </row>
    <row r="135" spans="1:25" ht="15" customHeight="1" x14ac:dyDescent="0.3">
      <c r="A135" s="27">
        <v>45848</v>
      </c>
      <c r="B135" s="25">
        <v>31</v>
      </c>
      <c r="C135" s="3" t="s">
        <v>38</v>
      </c>
      <c r="D135" s="3" t="s">
        <v>164</v>
      </c>
      <c r="E135" s="3">
        <v>2</v>
      </c>
      <c r="F135" s="3">
        <v>205</v>
      </c>
      <c r="G135" s="6" t="s">
        <v>235</v>
      </c>
      <c r="H135" s="3" t="s">
        <v>236</v>
      </c>
      <c r="I135" s="6" t="s">
        <v>111</v>
      </c>
      <c r="J135" s="3">
        <v>4</v>
      </c>
      <c r="K135" s="23">
        <v>3</v>
      </c>
      <c r="L135" s="3">
        <v>21.7</v>
      </c>
      <c r="M135" s="3">
        <v>8</v>
      </c>
      <c r="N135" s="3">
        <v>2</v>
      </c>
      <c r="O135" s="3"/>
      <c r="P135" s="3"/>
      <c r="Q135" s="3"/>
      <c r="R135" s="3" t="s">
        <v>316</v>
      </c>
      <c r="S135" s="3" t="s">
        <v>318</v>
      </c>
      <c r="T135" s="3">
        <v>1.5</v>
      </c>
      <c r="U135" s="3">
        <v>15</v>
      </c>
      <c r="V135" s="3">
        <v>20</v>
      </c>
      <c r="W135" s="3">
        <v>140</v>
      </c>
      <c r="X135" s="3" t="s">
        <v>324</v>
      </c>
      <c r="Y135" s="3"/>
    </row>
    <row r="136" spans="1:25" ht="15" customHeight="1" x14ac:dyDescent="0.3">
      <c r="A136" s="27">
        <v>45848</v>
      </c>
      <c r="B136" s="25">
        <v>31</v>
      </c>
      <c r="C136" s="3" t="s">
        <v>38</v>
      </c>
      <c r="D136" s="3" t="s">
        <v>164</v>
      </c>
      <c r="E136" s="3">
        <v>2</v>
      </c>
      <c r="F136" s="3">
        <v>206</v>
      </c>
      <c r="G136" s="6" t="s">
        <v>115</v>
      </c>
      <c r="H136" s="3" t="s">
        <v>237</v>
      </c>
      <c r="I136" s="6" t="s">
        <v>111</v>
      </c>
      <c r="J136" s="3">
        <v>12</v>
      </c>
      <c r="K136" s="23">
        <v>11</v>
      </c>
      <c r="L136" s="3">
        <v>26.3</v>
      </c>
      <c r="M136" s="3">
        <v>18</v>
      </c>
      <c r="N136" s="3">
        <v>1.2</v>
      </c>
      <c r="O136" s="3"/>
      <c r="P136" s="3"/>
      <c r="Q136" s="3"/>
      <c r="R136" s="3" t="s">
        <v>246</v>
      </c>
      <c r="S136" s="3" t="s">
        <v>319</v>
      </c>
      <c r="T136" s="3">
        <v>0.7</v>
      </c>
      <c r="U136" s="3">
        <v>31</v>
      </c>
      <c r="V136" s="3">
        <v>42</v>
      </c>
      <c r="W136" s="3">
        <v>115</v>
      </c>
      <c r="X136" s="3" t="s">
        <v>293</v>
      </c>
      <c r="Y136" s="3" t="s">
        <v>330</v>
      </c>
    </row>
    <row r="137" spans="1:25" ht="15" customHeight="1" x14ac:dyDescent="0.3">
      <c r="A137" s="27">
        <v>45848</v>
      </c>
      <c r="B137" s="25">
        <v>31</v>
      </c>
      <c r="C137" s="3" t="s">
        <v>38</v>
      </c>
      <c r="D137" s="3" t="s">
        <v>164</v>
      </c>
      <c r="E137" s="3">
        <v>2</v>
      </c>
      <c r="F137" s="3">
        <v>208</v>
      </c>
      <c r="G137" s="6" t="s">
        <v>26</v>
      </c>
      <c r="H137" s="3" t="s">
        <v>190</v>
      </c>
      <c r="I137" s="6" t="s">
        <v>112</v>
      </c>
      <c r="J137" s="3">
        <v>2</v>
      </c>
      <c r="K137" s="23">
        <v>2</v>
      </c>
      <c r="L137" s="3">
        <v>35.81</v>
      </c>
      <c r="M137" s="3">
        <v>20</v>
      </c>
      <c r="N137" s="3">
        <v>3</v>
      </c>
      <c r="O137" s="3"/>
      <c r="P137" s="3"/>
      <c r="Q137" s="3"/>
      <c r="R137" s="3" t="s">
        <v>200</v>
      </c>
      <c r="S137" s="3" t="s">
        <v>203</v>
      </c>
      <c r="T137" s="3">
        <v>1</v>
      </c>
      <c r="U137" s="3">
        <v>25</v>
      </c>
      <c r="V137" s="3">
        <v>30</v>
      </c>
      <c r="W137" s="3">
        <v>120</v>
      </c>
      <c r="X137" s="3" t="s">
        <v>101</v>
      </c>
      <c r="Y137" s="3"/>
    </row>
    <row r="138" spans="1:25" ht="15" customHeight="1" x14ac:dyDescent="0.3">
      <c r="A138" s="27">
        <v>45848</v>
      </c>
      <c r="B138" s="25">
        <v>33</v>
      </c>
      <c r="C138" s="3" t="s">
        <v>38</v>
      </c>
      <c r="D138" s="3" t="s">
        <v>164</v>
      </c>
      <c r="E138" s="3">
        <v>2</v>
      </c>
      <c r="F138" s="3">
        <v>401</v>
      </c>
      <c r="G138" s="6" t="s">
        <v>280</v>
      </c>
      <c r="H138" s="3" t="s">
        <v>281</v>
      </c>
      <c r="I138" s="6" t="s">
        <v>49</v>
      </c>
      <c r="J138" s="3">
        <v>1</v>
      </c>
      <c r="K138" s="3">
        <v>1</v>
      </c>
      <c r="L138" s="3">
        <v>10.57</v>
      </c>
      <c r="M138" s="3"/>
      <c r="N138" s="3"/>
      <c r="O138" s="3">
        <v>3</v>
      </c>
      <c r="P138" s="3"/>
      <c r="Q138" s="3"/>
      <c r="R138" s="3"/>
      <c r="S138" s="3"/>
      <c r="T138" s="3"/>
      <c r="U138" s="3"/>
      <c r="V138" s="3"/>
      <c r="W138" s="3"/>
      <c r="X138" s="3" t="s">
        <v>263</v>
      </c>
      <c r="Y138" s="3"/>
    </row>
    <row r="139" spans="1:25" ht="15" customHeight="1" x14ac:dyDescent="0.3">
      <c r="A139" s="27">
        <v>45848</v>
      </c>
      <c r="B139" s="25">
        <v>31</v>
      </c>
      <c r="C139" s="3" t="s">
        <v>38</v>
      </c>
      <c r="D139" s="3" t="s">
        <v>164</v>
      </c>
      <c r="E139" s="3">
        <v>2</v>
      </c>
      <c r="F139" s="3">
        <v>301</v>
      </c>
      <c r="G139" s="6" t="s">
        <v>30</v>
      </c>
      <c r="H139" s="3" t="s">
        <v>194</v>
      </c>
      <c r="I139" s="6" t="s">
        <v>49</v>
      </c>
      <c r="J139" s="3">
        <v>8</v>
      </c>
      <c r="K139" s="23">
        <v>5</v>
      </c>
      <c r="L139" s="3">
        <v>29</v>
      </c>
      <c r="M139" s="3">
        <v>8</v>
      </c>
      <c r="N139" s="3">
        <v>5.5</v>
      </c>
      <c r="O139" s="3"/>
      <c r="P139" s="3"/>
      <c r="Q139" s="3"/>
      <c r="R139" s="3" t="s">
        <v>128</v>
      </c>
      <c r="S139" s="3" t="s">
        <v>133</v>
      </c>
      <c r="T139" s="3">
        <v>2</v>
      </c>
      <c r="U139" s="3">
        <v>25</v>
      </c>
      <c r="V139" s="3">
        <v>25</v>
      </c>
      <c r="W139" s="3">
        <v>130</v>
      </c>
      <c r="X139" s="3" t="s">
        <v>147</v>
      </c>
      <c r="Y139" s="3" t="s">
        <v>160</v>
      </c>
    </row>
    <row r="140" spans="1:25" ht="15" customHeight="1" x14ac:dyDescent="0.3">
      <c r="A140" s="27">
        <v>45848</v>
      </c>
      <c r="B140" s="25">
        <v>31</v>
      </c>
      <c r="C140" s="3" t="s">
        <v>38</v>
      </c>
      <c r="D140" s="3" t="s">
        <v>164</v>
      </c>
      <c r="E140" s="3">
        <v>2</v>
      </c>
      <c r="F140" s="3">
        <v>303</v>
      </c>
      <c r="G140" s="6" t="s">
        <v>32</v>
      </c>
      <c r="H140" s="3" t="s">
        <v>238</v>
      </c>
      <c r="I140" s="6" t="s">
        <v>49</v>
      </c>
      <c r="J140" s="3">
        <v>12</v>
      </c>
      <c r="K140" s="23">
        <v>7</v>
      </c>
      <c r="L140" s="3">
        <v>38.700000000000003</v>
      </c>
      <c r="M140" s="3">
        <v>15</v>
      </c>
      <c r="N140" s="3">
        <v>7</v>
      </c>
      <c r="O140" s="3"/>
      <c r="P140" s="3"/>
      <c r="Q140" s="3">
        <v>150</v>
      </c>
      <c r="R140" s="3" t="s">
        <v>317</v>
      </c>
      <c r="S140" s="3" t="s">
        <v>320</v>
      </c>
      <c r="T140" s="3">
        <v>3</v>
      </c>
      <c r="U140" s="3">
        <v>20</v>
      </c>
      <c r="V140" s="3">
        <v>20</v>
      </c>
      <c r="W140" s="3">
        <v>135</v>
      </c>
      <c r="X140" s="3" t="s">
        <v>325</v>
      </c>
      <c r="Y140" s="3" t="s">
        <v>331</v>
      </c>
    </row>
    <row r="141" spans="1:25" ht="15" customHeight="1" x14ac:dyDescent="0.3">
      <c r="A141" s="27">
        <v>45848</v>
      </c>
      <c r="B141" s="25">
        <v>31</v>
      </c>
      <c r="C141" s="3" t="s">
        <v>38</v>
      </c>
      <c r="D141" s="3" t="s">
        <v>164</v>
      </c>
      <c r="E141" s="3">
        <v>2</v>
      </c>
      <c r="F141" s="3">
        <v>175</v>
      </c>
      <c r="G141" s="6" t="s">
        <v>310</v>
      </c>
      <c r="H141" s="3" t="s">
        <v>311</v>
      </c>
      <c r="I141" s="6" t="s">
        <v>49</v>
      </c>
      <c r="J141" s="3">
        <v>3</v>
      </c>
      <c r="K141" s="3">
        <v>3</v>
      </c>
      <c r="L141" s="3">
        <v>18.02</v>
      </c>
      <c r="M141" s="3">
        <v>3.9</v>
      </c>
      <c r="N141" s="3">
        <v>9.9</v>
      </c>
      <c r="O141" s="3">
        <v>5.6</v>
      </c>
      <c r="P141" s="3" t="s">
        <v>241</v>
      </c>
      <c r="Q141" s="3">
        <v>175</v>
      </c>
      <c r="R141" s="3"/>
      <c r="S141" s="3"/>
      <c r="T141" s="3"/>
      <c r="U141" s="3"/>
      <c r="V141" s="3"/>
      <c r="W141" s="3"/>
      <c r="X141" s="3" t="s">
        <v>79</v>
      </c>
      <c r="Y141" s="3" t="s">
        <v>80</v>
      </c>
    </row>
    <row r="142" spans="1:25" ht="15" customHeight="1" x14ac:dyDescent="0.3">
      <c r="A142" s="27">
        <v>45848</v>
      </c>
      <c r="B142" s="25">
        <v>31</v>
      </c>
      <c r="C142" s="3" t="s">
        <v>38</v>
      </c>
      <c r="D142" s="3" t="s">
        <v>164</v>
      </c>
      <c r="E142" s="3">
        <v>2</v>
      </c>
      <c r="F142" s="3">
        <v>504</v>
      </c>
      <c r="G142" s="6" t="s">
        <v>312</v>
      </c>
      <c r="H142" s="3" t="s">
        <v>313</v>
      </c>
      <c r="I142" s="6" t="s">
        <v>49</v>
      </c>
      <c r="J142" s="3">
        <v>2</v>
      </c>
      <c r="K142" s="3">
        <v>2</v>
      </c>
      <c r="L142" s="3">
        <v>27.5</v>
      </c>
      <c r="M142" s="3"/>
      <c r="N142" s="3"/>
      <c r="O142" s="3">
        <v>12</v>
      </c>
      <c r="P142" s="3"/>
      <c r="Q142" s="3"/>
      <c r="R142" s="3"/>
      <c r="S142" s="3"/>
      <c r="T142" s="3"/>
      <c r="U142" s="3"/>
      <c r="V142" s="3"/>
      <c r="W142" s="3"/>
      <c r="X142" s="3" t="s">
        <v>326</v>
      </c>
      <c r="Y142" s="3"/>
    </row>
    <row r="143" spans="1:25" ht="15" customHeight="1" x14ac:dyDescent="0.3">
      <c r="A143" s="5">
        <v>45849</v>
      </c>
      <c r="B143" s="25">
        <v>32</v>
      </c>
      <c r="C143" s="3" t="s">
        <v>38</v>
      </c>
      <c r="D143" s="3" t="s">
        <v>164</v>
      </c>
      <c r="E143" s="3">
        <v>2</v>
      </c>
      <c r="F143" s="3">
        <v>161</v>
      </c>
      <c r="G143" s="6" t="s">
        <v>8</v>
      </c>
      <c r="H143" s="3" t="s">
        <v>332</v>
      </c>
      <c r="I143" s="6" t="s">
        <v>49</v>
      </c>
      <c r="J143" s="3">
        <v>2</v>
      </c>
      <c r="K143" s="3">
        <v>2</v>
      </c>
      <c r="L143" s="3">
        <v>21.01</v>
      </c>
      <c r="M143" s="3">
        <v>8</v>
      </c>
      <c r="N143" s="3">
        <v>8.5</v>
      </c>
      <c r="O143" s="3">
        <v>2.9</v>
      </c>
      <c r="P143" s="3"/>
      <c r="Q143" s="3">
        <v>155</v>
      </c>
      <c r="R143" s="3"/>
      <c r="S143" s="3"/>
      <c r="T143" s="3"/>
      <c r="U143" s="3"/>
      <c r="V143" s="3"/>
      <c r="W143" s="3"/>
      <c r="X143" s="3" t="s">
        <v>84</v>
      </c>
      <c r="Y143" s="3" t="s">
        <v>152</v>
      </c>
    </row>
    <row r="144" spans="1:25" ht="15" customHeight="1" x14ac:dyDescent="0.3">
      <c r="A144" s="5">
        <v>45849</v>
      </c>
      <c r="B144" s="25">
        <v>32</v>
      </c>
      <c r="C144" s="3" t="s">
        <v>38</v>
      </c>
      <c r="D144" s="3" t="s">
        <v>164</v>
      </c>
      <c r="E144" s="3">
        <v>2</v>
      </c>
      <c r="F144" s="3">
        <v>162</v>
      </c>
      <c r="G144" s="6" t="s">
        <v>303</v>
      </c>
      <c r="H144" s="3" t="s">
        <v>304</v>
      </c>
      <c r="I144" s="6" t="s">
        <v>49</v>
      </c>
      <c r="J144" s="3">
        <v>2</v>
      </c>
      <c r="K144" s="3">
        <v>2</v>
      </c>
      <c r="L144" s="3">
        <v>21.98</v>
      </c>
      <c r="M144" s="3">
        <v>3.5</v>
      </c>
      <c r="N144" s="3">
        <v>6</v>
      </c>
      <c r="O144" s="3">
        <v>3.5</v>
      </c>
      <c r="P144" s="3">
        <v>19</v>
      </c>
      <c r="Q144" s="3">
        <v>170</v>
      </c>
      <c r="R144" s="3"/>
      <c r="S144" s="3"/>
      <c r="T144" s="3"/>
      <c r="U144" s="3"/>
      <c r="V144" s="3"/>
      <c r="W144" s="3"/>
      <c r="X144" s="3" t="s">
        <v>252</v>
      </c>
      <c r="Y144" s="3" t="s">
        <v>83</v>
      </c>
    </row>
    <row r="145" spans="1:25" ht="15" customHeight="1" x14ac:dyDescent="0.3">
      <c r="A145" s="5">
        <v>45849</v>
      </c>
      <c r="B145" s="25">
        <v>32</v>
      </c>
      <c r="C145" s="3" t="s">
        <v>38</v>
      </c>
      <c r="D145" s="3" t="s">
        <v>164</v>
      </c>
      <c r="E145" s="3">
        <v>2</v>
      </c>
      <c r="F145" s="3">
        <v>164</v>
      </c>
      <c r="G145" s="6" t="s">
        <v>274</v>
      </c>
      <c r="H145" s="3" t="s">
        <v>275</v>
      </c>
      <c r="I145" s="6" t="s">
        <v>49</v>
      </c>
      <c r="J145" s="3">
        <v>2</v>
      </c>
      <c r="K145" s="3">
        <v>2</v>
      </c>
      <c r="L145" s="3">
        <v>22.5</v>
      </c>
      <c r="M145" s="3">
        <v>7</v>
      </c>
      <c r="N145" s="3">
        <v>8</v>
      </c>
      <c r="O145" s="3">
        <v>3</v>
      </c>
      <c r="P145" s="3">
        <v>20</v>
      </c>
      <c r="Q145" s="3">
        <v>180</v>
      </c>
      <c r="R145" s="3"/>
      <c r="S145" s="3"/>
      <c r="T145" s="3"/>
      <c r="U145" s="3"/>
      <c r="V145" s="3"/>
      <c r="W145" s="3"/>
      <c r="X145" s="3" t="s">
        <v>80</v>
      </c>
      <c r="Y145" s="3" t="s">
        <v>153</v>
      </c>
    </row>
    <row r="146" spans="1:25" ht="15" customHeight="1" x14ac:dyDescent="0.3">
      <c r="A146" s="5">
        <v>45849</v>
      </c>
      <c r="B146" s="25">
        <v>32</v>
      </c>
      <c r="C146" s="3" t="s">
        <v>38</v>
      </c>
      <c r="D146" s="3" t="s">
        <v>164</v>
      </c>
      <c r="E146" s="3">
        <v>2</v>
      </c>
      <c r="F146" s="3">
        <v>182</v>
      </c>
      <c r="G146" s="6" t="s">
        <v>276</v>
      </c>
      <c r="H146" s="3" t="s">
        <v>277</v>
      </c>
      <c r="I146" s="6" t="s">
        <v>49</v>
      </c>
      <c r="J146" s="3">
        <v>4</v>
      </c>
      <c r="K146" s="3">
        <v>4</v>
      </c>
      <c r="L146" s="3">
        <v>14.14</v>
      </c>
      <c r="M146" s="3">
        <v>3.5</v>
      </c>
      <c r="N146" s="3">
        <v>6</v>
      </c>
      <c r="O146" s="3">
        <v>3.2</v>
      </c>
      <c r="P146" s="3">
        <v>40</v>
      </c>
      <c r="Q146" s="3">
        <v>170</v>
      </c>
      <c r="R146" s="3"/>
      <c r="S146" s="3"/>
      <c r="T146" s="3"/>
      <c r="U146" s="3"/>
      <c r="V146" s="3"/>
      <c r="W146" s="3"/>
      <c r="X146" s="3" t="s">
        <v>82</v>
      </c>
      <c r="Y146" s="3" t="s">
        <v>153</v>
      </c>
    </row>
    <row r="147" spans="1:25" ht="15" customHeight="1" x14ac:dyDescent="0.3">
      <c r="A147" s="5">
        <v>45849</v>
      </c>
      <c r="B147" s="25">
        <v>32</v>
      </c>
      <c r="C147" s="3" t="s">
        <v>38</v>
      </c>
      <c r="D147" s="3" t="s">
        <v>164</v>
      </c>
      <c r="E147" s="3">
        <v>2</v>
      </c>
      <c r="F147" s="3">
        <v>404</v>
      </c>
      <c r="G147" s="6" t="s">
        <v>13</v>
      </c>
      <c r="H147" s="3" t="s">
        <v>180</v>
      </c>
      <c r="I147" s="6" t="s">
        <v>49</v>
      </c>
      <c r="J147" s="3">
        <v>2</v>
      </c>
      <c r="K147" s="3">
        <v>2</v>
      </c>
      <c r="L147" s="3">
        <v>8.6999999999999993</v>
      </c>
      <c r="M147" s="3"/>
      <c r="N147" s="3"/>
      <c r="O147" s="3">
        <v>4</v>
      </c>
      <c r="P147" s="3"/>
      <c r="Q147" s="3"/>
      <c r="R147" s="3"/>
      <c r="S147" s="3"/>
      <c r="T147" s="3"/>
      <c r="U147" s="3"/>
      <c r="V147" s="3"/>
      <c r="W147" s="3"/>
      <c r="X147" s="3" t="s">
        <v>345</v>
      </c>
      <c r="Y147" s="3"/>
    </row>
    <row r="148" spans="1:25" ht="15" customHeight="1" x14ac:dyDescent="0.3">
      <c r="A148" s="5">
        <v>45849</v>
      </c>
      <c r="B148" s="25">
        <v>32</v>
      </c>
      <c r="C148" s="3" t="s">
        <v>38</v>
      </c>
      <c r="D148" s="3" t="s">
        <v>164</v>
      </c>
      <c r="E148" s="3">
        <v>2</v>
      </c>
      <c r="F148" s="3">
        <v>405</v>
      </c>
      <c r="G148" s="6" t="s">
        <v>14</v>
      </c>
      <c r="H148" s="3" t="s">
        <v>333</v>
      </c>
      <c r="I148" s="6" t="s">
        <v>49</v>
      </c>
      <c r="J148" s="3">
        <v>2</v>
      </c>
      <c r="K148" s="3">
        <v>2</v>
      </c>
      <c r="L148" s="3">
        <v>7.1</v>
      </c>
      <c r="M148" s="3"/>
      <c r="N148" s="3"/>
      <c r="O148" s="3">
        <v>3.3</v>
      </c>
      <c r="P148" s="3"/>
      <c r="Q148" s="3"/>
      <c r="R148" s="3"/>
      <c r="S148" s="3"/>
      <c r="T148" s="3"/>
      <c r="U148" s="3"/>
      <c r="V148" s="3"/>
      <c r="W148" s="3"/>
      <c r="X148" s="3" t="s">
        <v>346</v>
      </c>
      <c r="Y148" s="3"/>
    </row>
    <row r="149" spans="1:25" ht="15" customHeight="1" x14ac:dyDescent="0.3">
      <c r="A149" s="5">
        <v>45849</v>
      </c>
      <c r="B149" s="25">
        <v>32</v>
      </c>
      <c r="C149" s="3" t="s">
        <v>38</v>
      </c>
      <c r="D149" s="3" t="s">
        <v>164</v>
      </c>
      <c r="E149" s="3">
        <v>2</v>
      </c>
      <c r="F149" s="3">
        <v>173</v>
      </c>
      <c r="G149" s="6" t="s">
        <v>334</v>
      </c>
      <c r="H149" s="3" t="s">
        <v>335</v>
      </c>
      <c r="I149" s="6" t="s">
        <v>49</v>
      </c>
      <c r="J149" s="3">
        <v>5</v>
      </c>
      <c r="K149" s="3">
        <v>5</v>
      </c>
      <c r="L149" s="3">
        <v>16.46</v>
      </c>
      <c r="M149" s="3">
        <v>0.7</v>
      </c>
      <c r="N149" s="3">
        <v>11</v>
      </c>
      <c r="O149" s="3">
        <v>7.2</v>
      </c>
      <c r="P149" s="3" t="s">
        <v>341</v>
      </c>
      <c r="Q149" s="3">
        <v>170</v>
      </c>
      <c r="R149" s="3"/>
      <c r="S149" s="3"/>
      <c r="T149" s="3"/>
      <c r="U149" s="3"/>
      <c r="V149" s="3"/>
      <c r="W149" s="3"/>
      <c r="X149" s="3" t="s">
        <v>288</v>
      </c>
      <c r="Y149" s="3" t="s">
        <v>138</v>
      </c>
    </row>
    <row r="150" spans="1:25" ht="15" customHeight="1" x14ac:dyDescent="0.3">
      <c r="A150" s="5">
        <v>45849</v>
      </c>
      <c r="B150" s="25">
        <v>32</v>
      </c>
      <c r="C150" s="3" t="s">
        <v>38</v>
      </c>
      <c r="D150" s="3" t="s">
        <v>164</v>
      </c>
      <c r="E150" s="3">
        <v>2</v>
      </c>
      <c r="F150" s="3">
        <v>174</v>
      </c>
      <c r="G150" s="6" t="s">
        <v>181</v>
      </c>
      <c r="H150" s="3" t="s">
        <v>182</v>
      </c>
      <c r="I150" s="6" t="s">
        <v>49</v>
      </c>
      <c r="J150" s="3">
        <v>5</v>
      </c>
      <c r="K150" s="3">
        <v>5</v>
      </c>
      <c r="L150" s="3">
        <v>13.53</v>
      </c>
      <c r="M150" s="3">
        <v>0.8</v>
      </c>
      <c r="N150" s="3">
        <v>8.4</v>
      </c>
      <c r="O150" s="3">
        <v>6</v>
      </c>
      <c r="P150" s="3" t="s">
        <v>198</v>
      </c>
      <c r="Q150" s="3">
        <v>170</v>
      </c>
      <c r="R150" s="3"/>
      <c r="S150" s="3"/>
      <c r="T150" s="3"/>
      <c r="U150" s="3"/>
      <c r="V150" s="3"/>
      <c r="W150" s="3"/>
      <c r="X150" s="3" t="s">
        <v>253</v>
      </c>
      <c r="Y150" s="3" t="s">
        <v>80</v>
      </c>
    </row>
    <row r="151" spans="1:25" ht="15" customHeight="1" x14ac:dyDescent="0.3">
      <c r="A151" s="5">
        <v>45849</v>
      </c>
      <c r="B151" s="25">
        <v>32</v>
      </c>
      <c r="C151" s="3" t="s">
        <v>38</v>
      </c>
      <c r="D151" s="3" t="s">
        <v>164</v>
      </c>
      <c r="E151" s="3">
        <v>2</v>
      </c>
      <c r="F151" s="3">
        <v>176</v>
      </c>
      <c r="G151" s="6" t="s">
        <v>17</v>
      </c>
      <c r="H151" s="3" t="s">
        <v>183</v>
      </c>
      <c r="I151" s="6" t="s">
        <v>49</v>
      </c>
      <c r="J151" s="3">
        <v>5</v>
      </c>
      <c r="K151" s="3">
        <v>5</v>
      </c>
      <c r="L151" s="3">
        <v>17.079999999999998</v>
      </c>
      <c r="M151" s="3">
        <v>2</v>
      </c>
      <c r="N151" s="3">
        <v>11.5</v>
      </c>
      <c r="O151" s="3">
        <v>8</v>
      </c>
      <c r="P151" s="3" t="s">
        <v>282</v>
      </c>
      <c r="Q151" s="3">
        <v>175</v>
      </c>
      <c r="R151" s="3"/>
      <c r="S151" s="3"/>
      <c r="T151" s="3"/>
      <c r="U151" s="3"/>
      <c r="V151" s="3"/>
      <c r="W151" s="3"/>
      <c r="X151" s="3" t="s">
        <v>253</v>
      </c>
      <c r="Y151" s="3" t="s">
        <v>80</v>
      </c>
    </row>
    <row r="152" spans="1:25" ht="15" customHeight="1" x14ac:dyDescent="0.3">
      <c r="A152" s="5">
        <v>45849</v>
      </c>
      <c r="B152" s="25">
        <v>32</v>
      </c>
      <c r="C152" s="3" t="s">
        <v>38</v>
      </c>
      <c r="D152" s="3" t="s">
        <v>164</v>
      </c>
      <c r="E152" s="3">
        <v>2</v>
      </c>
      <c r="F152" s="3">
        <v>177</v>
      </c>
      <c r="G152" s="6" t="s">
        <v>18</v>
      </c>
      <c r="H152" s="3" t="s">
        <v>184</v>
      </c>
      <c r="I152" s="6" t="s">
        <v>49</v>
      </c>
      <c r="J152" s="3">
        <v>3</v>
      </c>
      <c r="K152" s="3">
        <v>3</v>
      </c>
      <c r="L152" s="3">
        <v>13.06</v>
      </c>
      <c r="M152" s="3">
        <v>3.6</v>
      </c>
      <c r="N152" s="3">
        <v>5.9</v>
      </c>
      <c r="O152" s="3">
        <v>4.2</v>
      </c>
      <c r="P152" s="3"/>
      <c r="Q152" s="3">
        <v>170</v>
      </c>
      <c r="R152" s="3"/>
      <c r="S152" s="3"/>
      <c r="T152" s="3"/>
      <c r="U152" s="3"/>
      <c r="V152" s="3"/>
      <c r="W152" s="3"/>
      <c r="X152" s="3" t="s">
        <v>254</v>
      </c>
      <c r="Y152" s="3" t="s">
        <v>296</v>
      </c>
    </row>
    <row r="153" spans="1:25" ht="15" customHeight="1" x14ac:dyDescent="0.3">
      <c r="A153" s="5">
        <v>45849</v>
      </c>
      <c r="B153" s="25">
        <v>32</v>
      </c>
      <c r="C153" s="3" t="s">
        <v>38</v>
      </c>
      <c r="D153" s="3" t="s">
        <v>164</v>
      </c>
      <c r="E153" s="3">
        <v>2</v>
      </c>
      <c r="F153" s="3">
        <v>131</v>
      </c>
      <c r="G153" s="6" t="s">
        <v>229</v>
      </c>
      <c r="H153" s="3" t="s">
        <v>230</v>
      </c>
      <c r="I153" s="6" t="s">
        <v>49</v>
      </c>
      <c r="J153" s="3">
        <v>3</v>
      </c>
      <c r="K153" s="23">
        <v>2</v>
      </c>
      <c r="L153" s="3">
        <v>17.89</v>
      </c>
      <c r="M153" s="3">
        <v>3.5</v>
      </c>
      <c r="N153" s="3">
        <v>9.6999999999999993</v>
      </c>
      <c r="O153" s="3">
        <v>6</v>
      </c>
      <c r="P153" s="3"/>
      <c r="Q153" s="3"/>
      <c r="R153" s="3"/>
      <c r="S153" s="3"/>
      <c r="T153" s="3"/>
      <c r="U153" s="3"/>
      <c r="V153" s="3"/>
      <c r="W153" s="3"/>
      <c r="X153" s="3" t="s">
        <v>289</v>
      </c>
      <c r="Y153" s="3" t="s">
        <v>327</v>
      </c>
    </row>
    <row r="154" spans="1:25" ht="15" customHeight="1" x14ac:dyDescent="0.3">
      <c r="A154" s="5">
        <v>45849</v>
      </c>
      <c r="B154" s="25">
        <v>32</v>
      </c>
      <c r="C154" s="3" t="s">
        <v>38</v>
      </c>
      <c r="D154" s="3" t="s">
        <v>164</v>
      </c>
      <c r="E154" s="3">
        <v>2</v>
      </c>
      <c r="F154" s="3">
        <v>135</v>
      </c>
      <c r="G154" s="6" t="s">
        <v>336</v>
      </c>
      <c r="H154" s="3" t="s">
        <v>337</v>
      </c>
      <c r="I154" s="6" t="s">
        <v>49</v>
      </c>
      <c r="J154" s="3">
        <v>3</v>
      </c>
      <c r="K154" s="3">
        <v>3</v>
      </c>
      <c r="L154" s="3">
        <v>15.28</v>
      </c>
      <c r="M154" s="3">
        <v>3.75</v>
      </c>
      <c r="N154" s="3">
        <v>5.5</v>
      </c>
      <c r="O154" s="3">
        <v>5</v>
      </c>
      <c r="P154" s="3"/>
      <c r="Q154" s="3">
        <v>170</v>
      </c>
      <c r="R154" s="3"/>
      <c r="S154" s="3"/>
      <c r="T154" s="3"/>
      <c r="U154" s="3"/>
      <c r="V154" s="3"/>
      <c r="W154" s="3"/>
      <c r="X154" s="3" t="s">
        <v>323</v>
      </c>
      <c r="Y154" s="3" t="s">
        <v>352</v>
      </c>
    </row>
    <row r="155" spans="1:25" ht="15" customHeight="1" x14ac:dyDescent="0.3">
      <c r="A155" s="5">
        <v>45849</v>
      </c>
      <c r="B155" s="25">
        <v>32</v>
      </c>
      <c r="C155" s="3" t="s">
        <v>38</v>
      </c>
      <c r="D155" s="3" t="s">
        <v>164</v>
      </c>
      <c r="E155" s="3">
        <v>2</v>
      </c>
      <c r="F155" s="3">
        <v>202</v>
      </c>
      <c r="G155" s="6" t="s">
        <v>233</v>
      </c>
      <c r="H155" s="3" t="s">
        <v>234</v>
      </c>
      <c r="I155" s="6" t="s">
        <v>111</v>
      </c>
      <c r="J155" s="3">
        <v>12</v>
      </c>
      <c r="K155" s="23">
        <v>10</v>
      </c>
      <c r="L155" s="3">
        <v>28</v>
      </c>
      <c r="M155" s="3">
        <v>16</v>
      </c>
      <c r="N155" s="3">
        <v>3</v>
      </c>
      <c r="O155" s="3"/>
      <c r="P155" s="3"/>
      <c r="Q155" s="3"/>
      <c r="R155" s="3" t="s">
        <v>315</v>
      </c>
      <c r="S155" s="3" t="s">
        <v>63</v>
      </c>
      <c r="T155" s="3">
        <v>1</v>
      </c>
      <c r="U155" s="3">
        <v>20</v>
      </c>
      <c r="V155" s="3">
        <v>25</v>
      </c>
      <c r="W155" s="3">
        <v>120</v>
      </c>
      <c r="X155" s="3" t="s">
        <v>347</v>
      </c>
    </row>
    <row r="156" spans="1:25" ht="15" customHeight="1" x14ac:dyDescent="0.3">
      <c r="A156" s="5">
        <v>45849</v>
      </c>
      <c r="B156" s="25">
        <v>32</v>
      </c>
      <c r="C156" s="3" t="s">
        <v>38</v>
      </c>
      <c r="D156" s="3" t="s">
        <v>164</v>
      </c>
      <c r="E156" s="3">
        <v>2</v>
      </c>
      <c r="F156" s="3">
        <v>203</v>
      </c>
      <c r="G156" s="6" t="s">
        <v>23</v>
      </c>
      <c r="H156" s="3" t="s">
        <v>188</v>
      </c>
      <c r="I156" s="6" t="s">
        <v>111</v>
      </c>
      <c r="J156" s="3">
        <v>8</v>
      </c>
      <c r="K156" s="3">
        <v>8</v>
      </c>
      <c r="L156" s="3">
        <v>15</v>
      </c>
      <c r="M156" s="3">
        <v>5</v>
      </c>
      <c r="N156" s="3">
        <v>3</v>
      </c>
      <c r="O156" s="3"/>
      <c r="P156" s="3"/>
      <c r="Q156" s="3"/>
      <c r="R156" s="3" t="s">
        <v>65</v>
      </c>
      <c r="S156" s="3" t="s">
        <v>73</v>
      </c>
      <c r="T156" s="3">
        <v>1</v>
      </c>
      <c r="U156" s="3">
        <v>20</v>
      </c>
      <c r="V156" s="3">
        <v>25</v>
      </c>
      <c r="W156" s="3">
        <v>115</v>
      </c>
      <c r="X156" s="3" t="s">
        <v>348</v>
      </c>
      <c r="Y156" s="6" t="s">
        <v>329</v>
      </c>
    </row>
    <row r="157" spans="1:25" ht="15" customHeight="1" x14ac:dyDescent="0.3">
      <c r="A157" s="5">
        <v>45849</v>
      </c>
      <c r="B157" s="25">
        <v>32</v>
      </c>
      <c r="C157" s="3" t="s">
        <v>38</v>
      </c>
      <c r="D157" s="3" t="s">
        <v>164</v>
      </c>
      <c r="E157" s="3">
        <v>2</v>
      </c>
      <c r="F157" s="3">
        <v>205</v>
      </c>
      <c r="G157" s="6" t="s">
        <v>338</v>
      </c>
      <c r="H157" s="3" t="s">
        <v>339</v>
      </c>
      <c r="I157" s="6" t="s">
        <v>111</v>
      </c>
      <c r="J157" s="3">
        <v>4</v>
      </c>
      <c r="K157" s="23">
        <v>3</v>
      </c>
      <c r="L157" s="3">
        <v>21.7</v>
      </c>
      <c r="M157" s="3">
        <v>8</v>
      </c>
      <c r="N157" s="3">
        <v>2.1</v>
      </c>
      <c r="O157" s="3"/>
      <c r="P157" s="3"/>
      <c r="Q157" s="3"/>
      <c r="R157" s="3" t="s">
        <v>342</v>
      </c>
      <c r="S157" s="3" t="s">
        <v>344</v>
      </c>
      <c r="T157" s="3">
        <v>1</v>
      </c>
      <c r="U157" s="3">
        <v>5</v>
      </c>
      <c r="V157" s="3">
        <v>10</v>
      </c>
      <c r="W157" s="3">
        <v>140</v>
      </c>
      <c r="X157" s="3" t="s">
        <v>349</v>
      </c>
      <c r="Y157" s="3"/>
    </row>
    <row r="158" spans="1:25" ht="15" customHeight="1" x14ac:dyDescent="0.3">
      <c r="A158" s="5">
        <v>45849</v>
      </c>
      <c r="B158" s="25">
        <v>32</v>
      </c>
      <c r="C158" s="3" t="s">
        <v>38</v>
      </c>
      <c r="D158" s="3" t="s">
        <v>164</v>
      </c>
      <c r="E158" s="3">
        <v>2</v>
      </c>
      <c r="F158" s="3">
        <v>208</v>
      </c>
      <c r="G158" s="6" t="s">
        <v>26</v>
      </c>
      <c r="H158" s="3" t="s">
        <v>190</v>
      </c>
      <c r="I158" s="6" t="s">
        <v>112</v>
      </c>
      <c r="J158" s="3">
        <v>2</v>
      </c>
      <c r="K158" s="3">
        <v>2</v>
      </c>
      <c r="L158" s="3">
        <v>35.799999999999997</v>
      </c>
      <c r="M158" s="3">
        <v>20</v>
      </c>
      <c r="N158" s="3">
        <v>3</v>
      </c>
      <c r="O158" s="3"/>
      <c r="P158" s="3"/>
      <c r="Q158" s="3"/>
      <c r="R158" s="3" t="s">
        <v>343</v>
      </c>
      <c r="S158" s="3" t="s">
        <v>203</v>
      </c>
      <c r="T158" s="3">
        <v>1</v>
      </c>
      <c r="U158" s="3">
        <v>25</v>
      </c>
      <c r="V158" s="3">
        <v>30</v>
      </c>
      <c r="W158" s="3">
        <v>120</v>
      </c>
      <c r="X158" s="3" t="s">
        <v>101</v>
      </c>
      <c r="Y158" s="3"/>
    </row>
    <row r="159" spans="1:25" ht="15" customHeight="1" x14ac:dyDescent="0.3">
      <c r="A159" s="5">
        <v>45849</v>
      </c>
      <c r="B159" s="25">
        <v>32</v>
      </c>
      <c r="C159" s="3" t="s">
        <v>38</v>
      </c>
      <c r="D159" s="3" t="s">
        <v>164</v>
      </c>
      <c r="E159" s="3">
        <v>2</v>
      </c>
      <c r="F159" s="3">
        <v>210</v>
      </c>
      <c r="G159" s="6" t="s">
        <v>191</v>
      </c>
      <c r="H159" s="3" t="s">
        <v>340</v>
      </c>
      <c r="I159" s="6" t="s">
        <v>111</v>
      </c>
      <c r="J159" s="3">
        <v>4</v>
      </c>
      <c r="K159" s="23">
        <v>3</v>
      </c>
      <c r="L159" s="3">
        <v>21.1</v>
      </c>
      <c r="M159" s="3">
        <v>7</v>
      </c>
      <c r="N159" s="3">
        <v>4</v>
      </c>
      <c r="O159" s="3"/>
      <c r="P159" s="3"/>
      <c r="Q159" s="3"/>
      <c r="R159" s="3" t="s">
        <v>70</v>
      </c>
      <c r="S159" s="3" t="s">
        <v>77</v>
      </c>
      <c r="T159" s="3">
        <v>1</v>
      </c>
      <c r="U159" s="3">
        <v>20</v>
      </c>
      <c r="V159" s="3">
        <v>30</v>
      </c>
      <c r="W159" s="3">
        <v>100</v>
      </c>
      <c r="X159" s="3" t="s">
        <v>350</v>
      </c>
      <c r="Y159" s="3" t="s">
        <v>353</v>
      </c>
    </row>
    <row r="160" spans="1:25" ht="15" customHeight="1" x14ac:dyDescent="0.3">
      <c r="A160" s="5">
        <v>45849</v>
      </c>
      <c r="B160" s="25">
        <v>33</v>
      </c>
      <c r="C160" s="3" t="s">
        <v>38</v>
      </c>
      <c r="D160" s="3" t="s">
        <v>164</v>
      </c>
      <c r="E160" s="3">
        <v>2</v>
      </c>
      <c r="F160" s="3">
        <v>401</v>
      </c>
      <c r="G160" s="6" t="s">
        <v>280</v>
      </c>
      <c r="H160" s="3" t="s">
        <v>281</v>
      </c>
      <c r="I160" s="6" t="s">
        <v>49</v>
      </c>
      <c r="J160" s="3">
        <v>1</v>
      </c>
      <c r="K160" s="3">
        <v>1</v>
      </c>
      <c r="L160" s="3">
        <v>10.57</v>
      </c>
      <c r="M160" s="3"/>
      <c r="N160" s="3"/>
      <c r="O160" s="3">
        <v>3</v>
      </c>
      <c r="P160" s="3"/>
      <c r="Q160" s="3"/>
      <c r="R160" s="3"/>
      <c r="S160" s="3"/>
      <c r="T160" s="3"/>
      <c r="U160" s="3"/>
      <c r="V160" s="3"/>
      <c r="W160" s="3"/>
      <c r="X160" s="3" t="s">
        <v>263</v>
      </c>
      <c r="Y160" s="3"/>
    </row>
    <row r="161" spans="1:25" ht="15" customHeight="1" x14ac:dyDescent="0.3">
      <c r="A161" s="5">
        <v>45849</v>
      </c>
      <c r="B161" s="25">
        <v>32</v>
      </c>
      <c r="C161" s="3" t="s">
        <v>38</v>
      </c>
      <c r="D161" s="3" t="s">
        <v>164</v>
      </c>
      <c r="E161" s="3">
        <v>2</v>
      </c>
      <c r="F161" s="3">
        <v>301</v>
      </c>
      <c r="G161" s="6" t="s">
        <v>30</v>
      </c>
      <c r="H161" s="3" t="s">
        <v>194</v>
      </c>
      <c r="I161" s="6" t="s">
        <v>5</v>
      </c>
      <c r="J161" s="3">
        <v>8</v>
      </c>
      <c r="K161" s="23">
        <v>5</v>
      </c>
      <c r="L161" s="3">
        <v>29</v>
      </c>
      <c r="M161" s="3">
        <v>8</v>
      </c>
      <c r="N161" s="3">
        <v>9.6999999999999993</v>
      </c>
      <c r="O161" s="3"/>
      <c r="P161" s="3"/>
      <c r="Q161" s="3"/>
      <c r="R161" s="3" t="s">
        <v>128</v>
      </c>
      <c r="S161" s="3" t="s">
        <v>133</v>
      </c>
      <c r="T161" s="3">
        <v>2</v>
      </c>
      <c r="U161" s="3">
        <v>25</v>
      </c>
      <c r="V161" s="3">
        <v>50</v>
      </c>
      <c r="W161" s="3">
        <v>130</v>
      </c>
      <c r="X161" s="3" t="s">
        <v>147</v>
      </c>
      <c r="Y161" s="3" t="s">
        <v>354</v>
      </c>
    </row>
    <row r="162" spans="1:25" ht="15" customHeight="1" x14ac:dyDescent="0.3">
      <c r="A162" s="5">
        <v>45849</v>
      </c>
      <c r="B162" s="25">
        <v>32</v>
      </c>
      <c r="C162" s="3" t="s">
        <v>38</v>
      </c>
      <c r="D162" s="3" t="s">
        <v>164</v>
      </c>
      <c r="E162" s="3">
        <v>2</v>
      </c>
      <c r="F162" s="3">
        <v>303</v>
      </c>
      <c r="G162" s="6" t="s">
        <v>32</v>
      </c>
      <c r="H162" s="3" t="s">
        <v>238</v>
      </c>
      <c r="I162" s="6" t="s">
        <v>49</v>
      </c>
      <c r="J162" s="3">
        <v>12</v>
      </c>
      <c r="K162" s="23">
        <v>7</v>
      </c>
      <c r="L162" s="3">
        <v>38.6</v>
      </c>
      <c r="M162" s="3">
        <v>15</v>
      </c>
      <c r="N162" s="3">
        <v>7</v>
      </c>
      <c r="O162" s="3"/>
      <c r="P162" s="3"/>
      <c r="Q162" s="3">
        <v>150</v>
      </c>
      <c r="R162" s="3" t="s">
        <v>317</v>
      </c>
      <c r="S162" s="3" t="s">
        <v>320</v>
      </c>
      <c r="T162" s="3">
        <v>3</v>
      </c>
      <c r="U162" s="3">
        <v>20</v>
      </c>
      <c r="V162" s="3">
        <v>35</v>
      </c>
      <c r="W162" s="3">
        <v>135</v>
      </c>
      <c r="X162" s="3" t="s">
        <v>351</v>
      </c>
      <c r="Y162" s="3" t="s">
        <v>331</v>
      </c>
    </row>
    <row r="163" spans="1:25" ht="15" customHeight="1" x14ac:dyDescent="0.3">
      <c r="A163" s="5">
        <v>45849</v>
      </c>
      <c r="B163" s="25">
        <v>32</v>
      </c>
      <c r="C163" s="3" t="s">
        <v>38</v>
      </c>
      <c r="D163" s="3" t="s">
        <v>164</v>
      </c>
      <c r="E163" s="3">
        <v>2</v>
      </c>
      <c r="F163" s="3">
        <v>175</v>
      </c>
      <c r="G163" s="6" t="s">
        <v>310</v>
      </c>
      <c r="H163" s="3" t="s">
        <v>311</v>
      </c>
      <c r="I163" s="6" t="s">
        <v>49</v>
      </c>
      <c r="J163" s="3">
        <v>3</v>
      </c>
      <c r="K163" s="3">
        <v>3</v>
      </c>
      <c r="L163" s="3">
        <v>18.059999999999999</v>
      </c>
      <c r="M163" s="3">
        <v>3.9</v>
      </c>
      <c r="N163" s="3">
        <v>9.9</v>
      </c>
      <c r="O163" s="3">
        <v>5.6</v>
      </c>
      <c r="P163" s="3" t="s">
        <v>241</v>
      </c>
      <c r="Q163" s="3">
        <v>175</v>
      </c>
      <c r="R163" s="3"/>
      <c r="S163" s="3"/>
      <c r="T163" s="3"/>
      <c r="U163" s="3"/>
      <c r="V163" s="3"/>
      <c r="W163" s="3"/>
      <c r="X163" s="3" t="s">
        <v>79</v>
      </c>
      <c r="Y163" s="3" t="s">
        <v>80</v>
      </c>
    </row>
    <row r="164" spans="1:25" ht="15" customHeight="1" x14ac:dyDescent="0.3">
      <c r="A164" s="5">
        <v>45849</v>
      </c>
      <c r="B164" s="25">
        <v>32</v>
      </c>
      <c r="C164" s="3" t="s">
        <v>38</v>
      </c>
      <c r="D164" s="3" t="s">
        <v>164</v>
      </c>
      <c r="E164" s="3">
        <v>2</v>
      </c>
      <c r="F164" s="3">
        <v>504</v>
      </c>
      <c r="G164" s="6" t="s">
        <v>312</v>
      </c>
      <c r="H164" s="3" t="s">
        <v>313</v>
      </c>
      <c r="I164" s="6" t="s">
        <v>49</v>
      </c>
      <c r="J164" s="3">
        <v>2</v>
      </c>
      <c r="K164" s="3">
        <v>2</v>
      </c>
      <c r="L164" s="3">
        <v>28</v>
      </c>
      <c r="M164" s="3"/>
      <c r="N164" s="3"/>
      <c r="O164" s="3">
        <v>12</v>
      </c>
      <c r="P164" s="3"/>
      <c r="Q164" s="3"/>
      <c r="R164" s="3"/>
      <c r="S164" s="3"/>
      <c r="T164" s="3"/>
      <c r="U164" s="3"/>
      <c r="V164" s="3"/>
      <c r="W164" s="3"/>
      <c r="X164" s="3" t="s">
        <v>326</v>
      </c>
      <c r="Y164" s="3"/>
    </row>
    <row r="165" spans="1:25" ht="15" customHeight="1" x14ac:dyDescent="0.3">
      <c r="A165" s="27">
        <v>45852</v>
      </c>
      <c r="B165" s="25">
        <v>33</v>
      </c>
      <c r="C165" s="3" t="s">
        <v>38</v>
      </c>
      <c r="D165" s="3" t="s">
        <v>355</v>
      </c>
      <c r="E165" s="3">
        <v>2</v>
      </c>
      <c r="F165" s="3">
        <v>103</v>
      </c>
      <c r="G165" s="6" t="s">
        <v>163</v>
      </c>
      <c r="H165" s="3" t="s">
        <v>168</v>
      </c>
      <c r="I165" s="6" t="s">
        <v>5</v>
      </c>
      <c r="J165" s="3">
        <v>5</v>
      </c>
      <c r="K165" s="3">
        <v>5</v>
      </c>
      <c r="L165" s="3">
        <v>15.08</v>
      </c>
      <c r="M165" s="3">
        <v>3.8</v>
      </c>
      <c r="N165" s="3">
        <v>7</v>
      </c>
      <c r="O165" s="3">
        <v>5.7</v>
      </c>
      <c r="P165" s="3">
        <v>35</v>
      </c>
      <c r="Q165" s="3">
        <v>170</v>
      </c>
      <c r="R165" s="3"/>
      <c r="S165" s="3"/>
      <c r="T165" s="3"/>
      <c r="U165" s="3"/>
      <c r="V165" s="3"/>
      <c r="W165" s="3"/>
      <c r="X165" s="3" t="s">
        <v>79</v>
      </c>
      <c r="Y165" s="3" t="s">
        <v>254</v>
      </c>
    </row>
    <row r="166" spans="1:25" ht="15" customHeight="1" x14ac:dyDescent="0.3">
      <c r="A166" s="27">
        <v>45852</v>
      </c>
      <c r="B166" s="25">
        <v>33</v>
      </c>
      <c r="C166" s="3" t="s">
        <v>38</v>
      </c>
      <c r="D166" s="3" t="s">
        <v>355</v>
      </c>
      <c r="E166" s="3">
        <v>2</v>
      </c>
      <c r="F166" s="3">
        <v>104</v>
      </c>
      <c r="G166" s="6" t="s">
        <v>356</v>
      </c>
      <c r="H166" s="3" t="s">
        <v>357</v>
      </c>
      <c r="I166" s="6" t="s">
        <v>5</v>
      </c>
      <c r="J166" s="3">
        <v>9</v>
      </c>
      <c r="K166" s="3">
        <v>9</v>
      </c>
      <c r="L166" s="3">
        <v>13.96</v>
      </c>
      <c r="M166" s="3">
        <v>3</v>
      </c>
      <c r="N166" s="3">
        <v>6.6</v>
      </c>
      <c r="O166" s="3">
        <v>4</v>
      </c>
      <c r="P166" s="3"/>
      <c r="Q166" s="3">
        <v>170</v>
      </c>
      <c r="R166" s="3"/>
      <c r="S166" s="3"/>
      <c r="T166" s="3"/>
      <c r="U166" s="3"/>
      <c r="V166" s="3"/>
      <c r="W166" s="3"/>
      <c r="X166" s="3" t="s">
        <v>288</v>
      </c>
      <c r="Y166" s="3" t="s">
        <v>84</v>
      </c>
    </row>
    <row r="167" spans="1:25" ht="15" customHeight="1" x14ac:dyDescent="0.3">
      <c r="A167" s="27">
        <v>45852</v>
      </c>
      <c r="B167" s="25">
        <v>33</v>
      </c>
      <c r="C167" s="3" t="s">
        <v>38</v>
      </c>
      <c r="D167" s="3" t="s">
        <v>355</v>
      </c>
      <c r="E167" s="3">
        <v>2</v>
      </c>
      <c r="F167" s="3">
        <v>161</v>
      </c>
      <c r="G167" s="6" t="s">
        <v>274</v>
      </c>
      <c r="H167" s="3" t="s">
        <v>358</v>
      </c>
      <c r="I167" s="6" t="s">
        <v>49</v>
      </c>
      <c r="J167" s="3">
        <v>2</v>
      </c>
      <c r="K167" s="3">
        <v>2</v>
      </c>
      <c r="L167" s="3">
        <v>24</v>
      </c>
      <c r="M167" s="3">
        <v>5.5</v>
      </c>
      <c r="N167" s="3">
        <v>10</v>
      </c>
      <c r="O167" s="3">
        <v>4</v>
      </c>
      <c r="P167" s="3">
        <v>40</v>
      </c>
      <c r="Q167" s="3">
        <v>175</v>
      </c>
      <c r="R167" s="3"/>
      <c r="S167" s="3"/>
      <c r="T167" s="3"/>
      <c r="U167" s="3"/>
      <c r="V167" s="3"/>
      <c r="W167" s="3"/>
      <c r="X167" s="3" t="s">
        <v>388</v>
      </c>
      <c r="Y167" s="3" t="s">
        <v>396</v>
      </c>
    </row>
    <row r="168" spans="1:25" ht="15" customHeight="1" x14ac:dyDescent="0.3">
      <c r="A168" s="27">
        <v>45852</v>
      </c>
      <c r="B168" s="25">
        <v>33</v>
      </c>
      <c r="C168" s="3" t="s">
        <v>38</v>
      </c>
      <c r="D168" s="3" t="s">
        <v>355</v>
      </c>
      <c r="E168" s="3">
        <v>2</v>
      </c>
      <c r="F168" s="3">
        <v>162</v>
      </c>
      <c r="G168" s="6" t="s">
        <v>359</v>
      </c>
      <c r="H168" s="3" t="s">
        <v>360</v>
      </c>
      <c r="I168" s="6" t="s">
        <v>49</v>
      </c>
      <c r="J168" s="3">
        <v>2</v>
      </c>
      <c r="K168" s="3">
        <v>2</v>
      </c>
      <c r="L168" s="3">
        <v>21.3</v>
      </c>
      <c r="M168" s="3">
        <v>3.5</v>
      </c>
      <c r="N168" s="3">
        <v>6</v>
      </c>
      <c r="O168" s="3">
        <v>2.8</v>
      </c>
      <c r="P168" s="3">
        <v>21</v>
      </c>
      <c r="Q168" s="3">
        <v>170</v>
      </c>
      <c r="R168" s="3"/>
      <c r="S168" s="3"/>
      <c r="T168" s="3"/>
      <c r="U168" s="3"/>
      <c r="V168" s="3"/>
      <c r="W168" s="3"/>
      <c r="X168" s="3" t="s">
        <v>252</v>
      </c>
      <c r="Y168" s="3" t="s">
        <v>83</v>
      </c>
    </row>
    <row r="169" spans="1:25" ht="15" customHeight="1" x14ac:dyDescent="0.3">
      <c r="A169" s="27">
        <v>45852</v>
      </c>
      <c r="B169" s="25">
        <v>33</v>
      </c>
      <c r="C169" s="3" t="s">
        <v>38</v>
      </c>
      <c r="D169" s="3" t="s">
        <v>355</v>
      </c>
      <c r="E169" s="3">
        <v>2</v>
      </c>
      <c r="F169" s="3">
        <v>163</v>
      </c>
      <c r="G169" s="6" t="s">
        <v>11</v>
      </c>
      <c r="H169" s="3" t="s">
        <v>305</v>
      </c>
      <c r="I169" s="6" t="s">
        <v>49</v>
      </c>
      <c r="J169" s="3">
        <v>2</v>
      </c>
      <c r="K169" s="3">
        <v>2</v>
      </c>
      <c r="L169" s="3">
        <v>24</v>
      </c>
      <c r="M169" s="3">
        <v>6</v>
      </c>
      <c r="N169" s="3">
        <v>11</v>
      </c>
      <c r="O169" s="3">
        <v>3.5</v>
      </c>
      <c r="P169" s="3">
        <v>26</v>
      </c>
      <c r="Q169" s="3">
        <v>175</v>
      </c>
      <c r="R169" s="3"/>
      <c r="S169" s="3"/>
      <c r="T169" s="3"/>
      <c r="U169" s="3"/>
      <c r="V169" s="3"/>
      <c r="W169" s="3"/>
      <c r="X169" s="3" t="s">
        <v>388</v>
      </c>
      <c r="Y169" s="3" t="s">
        <v>396</v>
      </c>
    </row>
    <row r="170" spans="1:25" ht="15" customHeight="1" x14ac:dyDescent="0.3">
      <c r="A170" s="27">
        <v>45852</v>
      </c>
      <c r="B170" s="25">
        <v>33</v>
      </c>
      <c r="C170" s="3" t="s">
        <v>38</v>
      </c>
      <c r="D170" s="3" t="s">
        <v>355</v>
      </c>
      <c r="E170" s="3">
        <v>2</v>
      </c>
      <c r="F170" s="3">
        <v>164</v>
      </c>
      <c r="G170" s="6" t="s">
        <v>361</v>
      </c>
      <c r="H170" s="3" t="s">
        <v>362</v>
      </c>
      <c r="I170" s="6" t="s">
        <v>49</v>
      </c>
      <c r="J170" s="3">
        <v>2</v>
      </c>
      <c r="K170" s="3">
        <v>2</v>
      </c>
      <c r="L170" s="3">
        <v>22.67</v>
      </c>
      <c r="M170" s="3">
        <v>6.1</v>
      </c>
      <c r="N170" s="3">
        <v>12</v>
      </c>
      <c r="O170" s="3">
        <v>3.25</v>
      </c>
      <c r="P170" s="3">
        <v>24</v>
      </c>
      <c r="Q170" s="3">
        <v>175</v>
      </c>
      <c r="R170" s="3"/>
      <c r="S170" s="3"/>
      <c r="T170" s="3"/>
      <c r="U170" s="3"/>
      <c r="V170" s="3"/>
      <c r="W170" s="3"/>
      <c r="X170" s="3" t="s">
        <v>138</v>
      </c>
      <c r="Y170" s="3" t="s">
        <v>153</v>
      </c>
    </row>
    <row r="171" spans="1:25" ht="15" customHeight="1" x14ac:dyDescent="0.3">
      <c r="A171" s="27">
        <v>45852</v>
      </c>
      <c r="B171" s="25">
        <v>33</v>
      </c>
      <c r="C171" s="3" t="s">
        <v>38</v>
      </c>
      <c r="D171" s="3" t="s">
        <v>355</v>
      </c>
      <c r="E171" s="3">
        <v>2</v>
      </c>
      <c r="F171" s="3">
        <v>171</v>
      </c>
      <c r="G171" s="6" t="s">
        <v>363</v>
      </c>
      <c r="H171" s="3" t="s">
        <v>364</v>
      </c>
      <c r="I171" s="6" t="s">
        <v>49</v>
      </c>
      <c r="J171" s="3">
        <v>4</v>
      </c>
      <c r="K171" s="3">
        <v>4</v>
      </c>
      <c r="L171" s="3">
        <v>14.98</v>
      </c>
      <c r="M171" s="3">
        <v>4.7</v>
      </c>
      <c r="N171" s="3">
        <v>6</v>
      </c>
      <c r="O171" s="3">
        <v>4.5</v>
      </c>
      <c r="P171" s="3"/>
      <c r="Q171" s="3">
        <v>170</v>
      </c>
      <c r="R171" s="3"/>
      <c r="S171" s="3"/>
      <c r="T171" s="3"/>
      <c r="U171" s="3"/>
      <c r="V171" s="3"/>
      <c r="W171" s="3"/>
      <c r="X171" s="3" t="s">
        <v>389</v>
      </c>
      <c r="Y171" s="3" t="s">
        <v>397</v>
      </c>
    </row>
    <row r="172" spans="1:25" ht="15" customHeight="1" x14ac:dyDescent="0.3">
      <c r="A172" s="27">
        <v>45852</v>
      </c>
      <c r="B172" s="25">
        <v>33</v>
      </c>
      <c r="C172" s="3" t="s">
        <v>38</v>
      </c>
      <c r="D172" s="3" t="s">
        <v>355</v>
      </c>
      <c r="E172" s="3">
        <v>2</v>
      </c>
      <c r="F172" s="3">
        <v>172</v>
      </c>
      <c r="G172" s="6" t="s">
        <v>365</v>
      </c>
      <c r="H172" s="3" t="s">
        <v>366</v>
      </c>
      <c r="I172" s="6" t="s">
        <v>49</v>
      </c>
      <c r="J172" s="3">
        <v>4</v>
      </c>
      <c r="K172" s="3">
        <v>4</v>
      </c>
      <c r="L172" s="3">
        <v>15.71</v>
      </c>
      <c r="M172" s="3">
        <v>1</v>
      </c>
      <c r="N172" s="3">
        <v>9.8000000000000007</v>
      </c>
      <c r="O172" s="3">
        <v>6.5</v>
      </c>
      <c r="P172" s="3" t="s">
        <v>314</v>
      </c>
      <c r="Q172" s="3">
        <v>170</v>
      </c>
      <c r="R172" s="3"/>
      <c r="S172" s="3"/>
      <c r="T172" s="3"/>
      <c r="U172" s="3"/>
      <c r="V172" s="3"/>
      <c r="W172" s="3"/>
      <c r="X172" s="3" t="s">
        <v>390</v>
      </c>
      <c r="Y172" s="3" t="s">
        <v>398</v>
      </c>
    </row>
    <row r="173" spans="1:25" ht="15" customHeight="1" x14ac:dyDescent="0.3">
      <c r="A173" s="27">
        <v>45852</v>
      </c>
      <c r="B173" s="25">
        <v>33</v>
      </c>
      <c r="C173" s="3" t="s">
        <v>38</v>
      </c>
      <c r="D173" s="3" t="s">
        <v>355</v>
      </c>
      <c r="E173" s="3">
        <v>2</v>
      </c>
      <c r="F173" s="3">
        <v>173</v>
      </c>
      <c r="G173" s="6" t="s">
        <v>367</v>
      </c>
      <c r="H173" s="3" t="s">
        <v>368</v>
      </c>
      <c r="I173" s="6" t="s">
        <v>49</v>
      </c>
      <c r="J173" s="3">
        <v>5</v>
      </c>
      <c r="K173" s="3">
        <v>5</v>
      </c>
      <c r="L173" s="3">
        <v>18.48</v>
      </c>
      <c r="M173" s="3">
        <v>2.2999999999999998</v>
      </c>
      <c r="N173" s="3">
        <v>12</v>
      </c>
      <c r="O173" s="3">
        <v>6.5</v>
      </c>
      <c r="P173" s="3" t="s">
        <v>380</v>
      </c>
      <c r="Q173" s="3">
        <v>170</v>
      </c>
      <c r="R173" s="3"/>
      <c r="S173" s="3"/>
      <c r="T173" s="3"/>
      <c r="U173" s="3"/>
      <c r="V173" s="3"/>
      <c r="W173" s="3"/>
      <c r="X173" s="3" t="s">
        <v>288</v>
      </c>
      <c r="Y173" s="3" t="s">
        <v>138</v>
      </c>
    </row>
    <row r="174" spans="1:25" ht="15" customHeight="1" x14ac:dyDescent="0.3">
      <c r="A174" s="27">
        <v>45852</v>
      </c>
      <c r="B174" s="25">
        <v>33</v>
      </c>
      <c r="C174" s="3" t="s">
        <v>38</v>
      </c>
      <c r="D174" s="3" t="s">
        <v>355</v>
      </c>
      <c r="E174" s="3">
        <v>2</v>
      </c>
      <c r="F174" s="3">
        <v>174</v>
      </c>
      <c r="G174" s="6" t="s">
        <v>181</v>
      </c>
      <c r="H174" s="3" t="s">
        <v>182</v>
      </c>
      <c r="I174" s="6" t="s">
        <v>49</v>
      </c>
      <c r="J174" s="3">
        <v>5</v>
      </c>
      <c r="K174" s="3">
        <v>5</v>
      </c>
      <c r="L174" s="3">
        <v>13.62</v>
      </c>
      <c r="M174" s="3">
        <v>0.9</v>
      </c>
      <c r="N174" s="3">
        <v>8.5</v>
      </c>
      <c r="O174" s="3">
        <v>6</v>
      </c>
      <c r="P174" s="3" t="s">
        <v>381</v>
      </c>
      <c r="Q174" s="3">
        <v>170</v>
      </c>
      <c r="R174" s="3"/>
      <c r="S174" s="3"/>
      <c r="T174" s="3"/>
      <c r="U174" s="3"/>
      <c r="V174" s="3"/>
      <c r="W174" s="3"/>
      <c r="X174" s="3" t="s">
        <v>253</v>
      </c>
      <c r="Y174" s="3" t="s">
        <v>80</v>
      </c>
    </row>
    <row r="175" spans="1:25" ht="15" customHeight="1" x14ac:dyDescent="0.3">
      <c r="A175" s="27">
        <v>45852</v>
      </c>
      <c r="B175" s="25">
        <v>33</v>
      </c>
      <c r="C175" s="3" t="s">
        <v>38</v>
      </c>
      <c r="D175" s="3" t="s">
        <v>355</v>
      </c>
      <c r="E175" s="3">
        <v>2</v>
      </c>
      <c r="F175" s="3">
        <v>176</v>
      </c>
      <c r="G175" s="6" t="s">
        <v>17</v>
      </c>
      <c r="H175" s="3" t="s">
        <v>183</v>
      </c>
      <c r="I175" s="6" t="s">
        <v>49</v>
      </c>
      <c r="J175" s="3">
        <v>5</v>
      </c>
      <c r="K175" s="3">
        <v>5</v>
      </c>
      <c r="L175" s="3">
        <v>17.43</v>
      </c>
      <c r="M175" s="3">
        <v>2</v>
      </c>
      <c r="N175" s="3">
        <v>11.5</v>
      </c>
      <c r="O175" s="3">
        <v>8</v>
      </c>
      <c r="P175" s="3" t="s">
        <v>282</v>
      </c>
      <c r="Q175" s="3">
        <v>175</v>
      </c>
      <c r="R175" s="3"/>
      <c r="S175" s="3"/>
      <c r="T175" s="3"/>
      <c r="U175" s="3"/>
      <c r="V175" s="3"/>
      <c r="W175" s="3"/>
      <c r="X175" s="3" t="s">
        <v>253</v>
      </c>
      <c r="Y175" s="3" t="s">
        <v>80</v>
      </c>
    </row>
    <row r="176" spans="1:25" ht="15" customHeight="1" x14ac:dyDescent="0.3">
      <c r="A176" s="27">
        <v>45852</v>
      </c>
      <c r="B176" s="25">
        <v>33</v>
      </c>
      <c r="C176" s="3" t="s">
        <v>38</v>
      </c>
      <c r="D176" s="3" t="s">
        <v>355</v>
      </c>
      <c r="E176" s="3">
        <v>2</v>
      </c>
      <c r="F176" s="3">
        <v>131</v>
      </c>
      <c r="G176" s="6" t="s">
        <v>369</v>
      </c>
      <c r="H176" s="3" t="s">
        <v>370</v>
      </c>
      <c r="I176" s="6" t="s">
        <v>49</v>
      </c>
      <c r="J176" s="3">
        <v>3</v>
      </c>
      <c r="K176" s="23">
        <v>2</v>
      </c>
      <c r="L176" s="3">
        <v>17.899999999999999</v>
      </c>
      <c r="M176" s="3">
        <v>3.5</v>
      </c>
      <c r="N176" s="3">
        <v>9.6999999999999993</v>
      </c>
      <c r="O176" s="3">
        <v>6</v>
      </c>
      <c r="P176" s="3"/>
      <c r="Q176" s="3">
        <v>170</v>
      </c>
      <c r="R176" s="3"/>
      <c r="S176" s="3"/>
      <c r="T176" s="3"/>
      <c r="U176" s="3"/>
      <c r="V176" s="3"/>
      <c r="W176" s="3"/>
      <c r="X176" s="3" t="s">
        <v>289</v>
      </c>
      <c r="Y176" s="3" t="s">
        <v>154</v>
      </c>
    </row>
    <row r="177" spans="1:25" ht="15" customHeight="1" x14ac:dyDescent="0.3">
      <c r="A177" s="27">
        <v>45852</v>
      </c>
      <c r="B177" s="25">
        <v>33</v>
      </c>
      <c r="C177" s="3" t="s">
        <v>38</v>
      </c>
      <c r="D177" s="3" t="s">
        <v>355</v>
      </c>
      <c r="E177" s="3">
        <v>2</v>
      </c>
      <c r="F177" s="3">
        <v>135</v>
      </c>
      <c r="G177" s="6" t="s">
        <v>336</v>
      </c>
      <c r="H177" s="3" t="s">
        <v>337</v>
      </c>
      <c r="I177" s="6" t="s">
        <v>49</v>
      </c>
      <c r="J177" s="3">
        <v>3</v>
      </c>
      <c r="K177" s="3">
        <v>3</v>
      </c>
      <c r="L177" s="3">
        <v>15.28</v>
      </c>
      <c r="M177" s="3">
        <v>3.75</v>
      </c>
      <c r="N177" s="3">
        <v>5.5</v>
      </c>
      <c r="O177" s="3">
        <v>5</v>
      </c>
      <c r="P177" s="3"/>
      <c r="Q177" s="3"/>
      <c r="R177" s="3"/>
      <c r="S177" s="3"/>
      <c r="T177" s="3"/>
      <c r="U177" s="3"/>
      <c r="V177" s="3"/>
      <c r="W177" s="3"/>
      <c r="X177" s="3" t="s">
        <v>323</v>
      </c>
      <c r="Y177" s="3" t="s">
        <v>399</v>
      </c>
    </row>
    <row r="178" spans="1:25" ht="15" customHeight="1" x14ac:dyDescent="0.3">
      <c r="A178" s="27">
        <v>45852</v>
      </c>
      <c r="B178" s="25">
        <v>33</v>
      </c>
      <c r="C178" s="3" t="s">
        <v>38</v>
      </c>
      <c r="D178" s="3" t="s">
        <v>355</v>
      </c>
      <c r="E178" s="3">
        <v>2</v>
      </c>
      <c r="F178" s="3">
        <v>205</v>
      </c>
      <c r="G178" s="6" t="s">
        <v>371</v>
      </c>
      <c r="H178" s="3" t="s">
        <v>372</v>
      </c>
      <c r="I178" s="6" t="s">
        <v>111</v>
      </c>
      <c r="J178" s="3">
        <v>4</v>
      </c>
      <c r="K178" s="23">
        <v>3</v>
      </c>
      <c r="L178" s="3">
        <v>21.3</v>
      </c>
      <c r="M178" s="3">
        <v>8</v>
      </c>
      <c r="N178" s="3">
        <v>2.1</v>
      </c>
      <c r="O178" s="3"/>
      <c r="P178" s="3"/>
      <c r="Q178" s="3"/>
      <c r="R178" s="3" t="s">
        <v>382</v>
      </c>
      <c r="S178" s="3" t="s">
        <v>385</v>
      </c>
      <c r="T178" s="3">
        <v>1</v>
      </c>
      <c r="U178" s="3">
        <v>5</v>
      </c>
      <c r="V178" s="3">
        <v>10</v>
      </c>
      <c r="W178" s="3">
        <v>140</v>
      </c>
      <c r="X178" s="3" t="s">
        <v>391</v>
      </c>
      <c r="Y178" s="3"/>
    </row>
    <row r="179" spans="1:25" ht="15" customHeight="1" x14ac:dyDescent="0.3">
      <c r="A179" s="27">
        <v>45852</v>
      </c>
      <c r="B179" s="25">
        <v>33</v>
      </c>
      <c r="C179" s="3" t="s">
        <v>38</v>
      </c>
      <c r="D179" s="3" t="s">
        <v>355</v>
      </c>
      <c r="E179" s="3">
        <v>2</v>
      </c>
      <c r="F179" s="3">
        <v>206</v>
      </c>
      <c r="G179" s="6" t="s">
        <v>373</v>
      </c>
      <c r="H179" s="3" t="s">
        <v>374</v>
      </c>
      <c r="I179" s="6" t="s">
        <v>111</v>
      </c>
      <c r="J179" s="3">
        <v>12</v>
      </c>
      <c r="K179" s="23">
        <v>11</v>
      </c>
      <c r="L179" s="3">
        <v>24.7</v>
      </c>
      <c r="M179" s="3">
        <v>16</v>
      </c>
      <c r="N179" s="3">
        <v>1.2</v>
      </c>
      <c r="O179" s="3"/>
      <c r="P179" s="3"/>
      <c r="Q179" s="3"/>
      <c r="R179" s="3" t="s">
        <v>383</v>
      </c>
      <c r="S179" s="3" t="s">
        <v>319</v>
      </c>
      <c r="T179" s="3">
        <v>0.5</v>
      </c>
      <c r="U179" s="3">
        <v>30</v>
      </c>
      <c r="V179" s="3">
        <v>39</v>
      </c>
      <c r="W179" s="3">
        <v>120</v>
      </c>
      <c r="X179" s="3" t="s">
        <v>392</v>
      </c>
      <c r="Y179" s="3" t="s">
        <v>400</v>
      </c>
    </row>
    <row r="180" spans="1:25" ht="15" customHeight="1" x14ac:dyDescent="0.3">
      <c r="A180" s="27">
        <v>45852</v>
      </c>
      <c r="B180" s="25">
        <v>33</v>
      </c>
      <c r="C180" s="3" t="s">
        <v>38</v>
      </c>
      <c r="D180" s="3" t="s">
        <v>355</v>
      </c>
      <c r="E180" s="3">
        <v>2</v>
      </c>
      <c r="F180" s="3">
        <v>208</v>
      </c>
      <c r="G180" s="6" t="s">
        <v>26</v>
      </c>
      <c r="H180" s="3" t="s">
        <v>376</v>
      </c>
      <c r="I180" s="6" t="s">
        <v>112</v>
      </c>
      <c r="J180" s="3">
        <v>2</v>
      </c>
      <c r="K180" s="3">
        <v>2</v>
      </c>
      <c r="L180" s="3">
        <v>35.86</v>
      </c>
      <c r="M180" s="3">
        <v>20</v>
      </c>
      <c r="N180" s="3">
        <v>3</v>
      </c>
      <c r="O180" s="3"/>
      <c r="P180" s="3"/>
      <c r="Q180" s="3"/>
      <c r="R180" s="3" t="s">
        <v>130</v>
      </c>
      <c r="S180" s="3" t="s">
        <v>386</v>
      </c>
      <c r="T180" s="3">
        <v>1</v>
      </c>
      <c r="U180" s="3">
        <v>25</v>
      </c>
      <c r="V180" s="3">
        <v>30</v>
      </c>
      <c r="W180" s="3">
        <v>120</v>
      </c>
      <c r="X180" s="3" t="s">
        <v>101</v>
      </c>
      <c r="Y180" s="3"/>
    </row>
    <row r="181" spans="1:25" ht="15" customHeight="1" x14ac:dyDescent="0.3">
      <c r="A181" s="27">
        <v>45852</v>
      </c>
      <c r="B181" s="25">
        <v>33</v>
      </c>
      <c r="C181" s="3" t="s">
        <v>38</v>
      </c>
      <c r="D181" s="3" t="s">
        <v>355</v>
      </c>
      <c r="E181" s="3">
        <v>2</v>
      </c>
      <c r="F181" s="3">
        <v>209</v>
      </c>
      <c r="G181" s="6" t="s">
        <v>377</v>
      </c>
      <c r="H181" s="3" t="s">
        <v>378</v>
      </c>
      <c r="I181" s="6" t="s">
        <v>111</v>
      </c>
      <c r="J181" s="3">
        <v>8</v>
      </c>
      <c r="K181" s="23">
        <v>7</v>
      </c>
      <c r="L181" s="3">
        <v>29.4</v>
      </c>
      <c r="M181" s="3">
        <v>13</v>
      </c>
      <c r="N181" s="3">
        <v>1.3</v>
      </c>
      <c r="O181" s="3"/>
      <c r="P181" s="3"/>
      <c r="Q181" s="3"/>
      <c r="R181" s="3" t="s">
        <v>384</v>
      </c>
      <c r="S181" s="3" t="s">
        <v>387</v>
      </c>
      <c r="T181" s="3">
        <v>0.5</v>
      </c>
      <c r="U181" s="3">
        <v>30</v>
      </c>
      <c r="V181" s="3">
        <v>40</v>
      </c>
      <c r="W181" s="3">
        <v>168</v>
      </c>
      <c r="X181" s="3" t="s">
        <v>393</v>
      </c>
      <c r="Y181" s="3"/>
    </row>
    <row r="182" spans="1:25" ht="15" customHeight="1" x14ac:dyDescent="0.3">
      <c r="A182" s="27">
        <v>45852</v>
      </c>
      <c r="B182" s="25">
        <v>33</v>
      </c>
      <c r="C182" s="3" t="s">
        <v>38</v>
      </c>
      <c r="D182" s="3" t="s">
        <v>355</v>
      </c>
      <c r="E182" s="3">
        <v>2</v>
      </c>
      <c r="F182" s="3">
        <v>210</v>
      </c>
      <c r="G182" s="6" t="s">
        <v>191</v>
      </c>
      <c r="H182" s="3" t="s">
        <v>340</v>
      </c>
      <c r="I182" s="6" t="s">
        <v>111</v>
      </c>
      <c r="J182" s="3">
        <v>4</v>
      </c>
      <c r="K182" s="3">
        <v>4</v>
      </c>
      <c r="L182" s="3">
        <v>21.1</v>
      </c>
      <c r="M182" s="3">
        <v>7</v>
      </c>
      <c r="N182" s="3">
        <v>4</v>
      </c>
      <c r="O182" s="3"/>
      <c r="P182" s="3"/>
      <c r="Q182" s="3"/>
      <c r="R182" s="3" t="s">
        <v>70</v>
      </c>
      <c r="S182" s="3" t="s">
        <v>77</v>
      </c>
      <c r="T182" s="3">
        <v>1</v>
      </c>
      <c r="U182" s="3">
        <v>20</v>
      </c>
      <c r="V182" s="3">
        <v>30</v>
      </c>
      <c r="W182" s="3">
        <v>100</v>
      </c>
      <c r="X182" s="3" t="s">
        <v>394</v>
      </c>
      <c r="Y182" s="3" t="s">
        <v>401</v>
      </c>
    </row>
    <row r="183" spans="1:25" ht="15" customHeight="1" x14ac:dyDescent="0.3">
      <c r="A183" s="27">
        <v>45852</v>
      </c>
      <c r="B183" s="25">
        <v>33</v>
      </c>
      <c r="C183" s="3" t="s">
        <v>38</v>
      </c>
      <c r="D183" s="3" t="s">
        <v>355</v>
      </c>
      <c r="E183" s="3">
        <v>2</v>
      </c>
      <c r="F183" s="3">
        <v>401</v>
      </c>
      <c r="G183" s="6" t="s">
        <v>280</v>
      </c>
      <c r="H183" s="3" t="s">
        <v>281</v>
      </c>
      <c r="I183" s="6" t="s">
        <v>49</v>
      </c>
      <c r="J183" s="3">
        <v>1</v>
      </c>
      <c r="K183" s="3">
        <v>1</v>
      </c>
      <c r="L183" s="3">
        <v>10.62</v>
      </c>
      <c r="M183" s="3"/>
      <c r="N183" s="3"/>
      <c r="O183" s="3">
        <v>3</v>
      </c>
      <c r="P183" s="3"/>
      <c r="Q183" s="3"/>
      <c r="R183" s="3"/>
      <c r="S183" s="3"/>
      <c r="T183" s="3"/>
      <c r="U183" s="3"/>
      <c r="V183" s="3"/>
      <c r="W183" s="3"/>
      <c r="X183" s="3" t="s">
        <v>395</v>
      </c>
      <c r="Y183" s="3"/>
    </row>
    <row r="184" spans="1:25" ht="15" customHeight="1" x14ac:dyDescent="0.3">
      <c r="A184" s="27">
        <v>45852</v>
      </c>
      <c r="B184" s="25">
        <v>33</v>
      </c>
      <c r="C184" s="3" t="s">
        <v>38</v>
      </c>
      <c r="D184" s="3" t="s">
        <v>355</v>
      </c>
      <c r="E184" s="3">
        <v>2</v>
      </c>
      <c r="F184" s="3">
        <v>301</v>
      </c>
      <c r="G184" s="6" t="s">
        <v>30</v>
      </c>
      <c r="H184" s="3" t="s">
        <v>194</v>
      </c>
      <c r="I184" s="6" t="s">
        <v>49</v>
      </c>
      <c r="J184" s="3">
        <v>8</v>
      </c>
      <c r="K184" s="23">
        <v>5</v>
      </c>
      <c r="L184" s="3">
        <v>29.8</v>
      </c>
      <c r="M184" s="3">
        <v>9</v>
      </c>
      <c r="N184" s="3">
        <v>9.6999999999999993</v>
      </c>
      <c r="O184" s="3"/>
      <c r="P184" s="3"/>
      <c r="Q184" s="3"/>
      <c r="R184" s="3" t="s">
        <v>128</v>
      </c>
      <c r="S184" s="3" t="s">
        <v>133</v>
      </c>
      <c r="T184" s="3">
        <v>2</v>
      </c>
      <c r="U184" s="3">
        <v>35</v>
      </c>
      <c r="V184" s="3">
        <v>45</v>
      </c>
      <c r="W184" s="3">
        <v>130</v>
      </c>
      <c r="X184" s="3" t="s">
        <v>147</v>
      </c>
      <c r="Y184" s="3" t="s">
        <v>402</v>
      </c>
    </row>
    <row r="185" spans="1:25" ht="15" customHeight="1" x14ac:dyDescent="0.3">
      <c r="A185" s="27">
        <v>45852</v>
      </c>
      <c r="B185" s="25">
        <v>33</v>
      </c>
      <c r="C185" s="3" t="s">
        <v>38</v>
      </c>
      <c r="D185" s="3" t="s">
        <v>355</v>
      </c>
      <c r="E185" s="3">
        <v>2</v>
      </c>
      <c r="F185" s="3">
        <v>175</v>
      </c>
      <c r="G185" s="6" t="s">
        <v>310</v>
      </c>
      <c r="H185" s="3" t="s">
        <v>379</v>
      </c>
      <c r="I185" s="6" t="s">
        <v>49</v>
      </c>
      <c r="J185" s="3">
        <v>3</v>
      </c>
      <c r="K185" s="3">
        <v>3</v>
      </c>
      <c r="L185" s="3">
        <v>18.059999999999999</v>
      </c>
      <c r="M185" s="3">
        <v>3.9</v>
      </c>
      <c r="N185" s="3">
        <v>9.9</v>
      </c>
      <c r="O185" s="3">
        <v>5.6</v>
      </c>
      <c r="P185" s="3" t="s">
        <v>241</v>
      </c>
      <c r="Q185" s="3">
        <v>175</v>
      </c>
      <c r="R185" s="3"/>
      <c r="S185" s="3"/>
      <c r="T185" s="3"/>
      <c r="U185" s="3"/>
      <c r="V185" s="3"/>
      <c r="W185" s="3"/>
      <c r="X185" s="3" t="s">
        <v>79</v>
      </c>
      <c r="Y185" s="3" t="s">
        <v>80</v>
      </c>
    </row>
    <row r="186" spans="1:25" ht="15" customHeight="1" x14ac:dyDescent="0.3">
      <c r="A186" s="27">
        <v>45852</v>
      </c>
      <c r="B186" s="25">
        <v>33</v>
      </c>
      <c r="C186" s="3" t="s">
        <v>38</v>
      </c>
      <c r="D186" s="3" t="s">
        <v>355</v>
      </c>
      <c r="E186" s="3">
        <v>2</v>
      </c>
      <c r="F186" s="3">
        <v>504</v>
      </c>
      <c r="G186" s="6" t="s">
        <v>312</v>
      </c>
      <c r="H186" s="3" t="s">
        <v>313</v>
      </c>
      <c r="I186" s="6" t="s">
        <v>49</v>
      </c>
      <c r="J186" s="3">
        <v>2</v>
      </c>
      <c r="K186" s="3">
        <v>2</v>
      </c>
      <c r="L186" s="3">
        <v>28.1</v>
      </c>
      <c r="M186" s="3"/>
      <c r="N186" s="3"/>
      <c r="O186" s="3">
        <v>12</v>
      </c>
      <c r="P186" s="3"/>
      <c r="Q186" s="3"/>
      <c r="R186" s="3"/>
      <c r="S186" s="3"/>
      <c r="T186" s="3"/>
      <c r="U186" s="3"/>
      <c r="V186" s="3"/>
      <c r="W186" s="3"/>
      <c r="X186" s="3" t="s">
        <v>326</v>
      </c>
      <c r="Y186" s="3"/>
    </row>
    <row r="187" spans="1:25" ht="15" customHeight="1" x14ac:dyDescent="0.3">
      <c r="A187" s="5">
        <v>45853</v>
      </c>
      <c r="B187" s="25">
        <v>33</v>
      </c>
      <c r="C187" s="3" t="s">
        <v>38</v>
      </c>
      <c r="D187" s="3" t="s">
        <v>355</v>
      </c>
      <c r="E187" s="3">
        <v>2</v>
      </c>
      <c r="F187" s="3">
        <v>103</v>
      </c>
      <c r="G187" s="6" t="s">
        <v>163</v>
      </c>
      <c r="H187" s="3" t="s">
        <v>168</v>
      </c>
      <c r="I187" s="6" t="s">
        <v>5</v>
      </c>
      <c r="J187" s="3">
        <v>5</v>
      </c>
      <c r="K187" s="3">
        <v>5</v>
      </c>
      <c r="L187" s="3">
        <v>15.08</v>
      </c>
      <c r="M187" s="3">
        <v>3.8</v>
      </c>
      <c r="N187" s="3">
        <v>7</v>
      </c>
      <c r="O187" s="3">
        <v>5.7</v>
      </c>
      <c r="P187" s="3">
        <v>35</v>
      </c>
      <c r="Q187" s="3">
        <v>165</v>
      </c>
      <c r="R187" s="3"/>
      <c r="S187" s="3"/>
      <c r="T187" s="3"/>
      <c r="U187" s="3"/>
      <c r="V187" s="3"/>
      <c r="W187" s="3"/>
      <c r="X187" s="3" t="s">
        <v>79</v>
      </c>
      <c r="Y187" s="3" t="s">
        <v>254</v>
      </c>
    </row>
    <row r="188" spans="1:25" ht="15" customHeight="1" x14ac:dyDescent="0.3">
      <c r="A188" s="5">
        <v>45853</v>
      </c>
      <c r="B188" s="25">
        <v>33</v>
      </c>
      <c r="C188" s="3" t="s">
        <v>38</v>
      </c>
      <c r="D188" s="3" t="s">
        <v>355</v>
      </c>
      <c r="E188" s="3">
        <v>2</v>
      </c>
      <c r="F188" s="3">
        <v>104</v>
      </c>
      <c r="G188" s="6" t="s">
        <v>403</v>
      </c>
      <c r="H188" s="3" t="s">
        <v>404</v>
      </c>
      <c r="I188" s="6" t="s">
        <v>5</v>
      </c>
      <c r="J188" s="3">
        <v>9</v>
      </c>
      <c r="K188" s="3">
        <v>9</v>
      </c>
      <c r="L188" s="3">
        <v>13.22</v>
      </c>
      <c r="M188" s="3">
        <v>2.2999999999999998</v>
      </c>
      <c r="N188" s="3">
        <v>6.5</v>
      </c>
      <c r="O188" s="3">
        <v>5</v>
      </c>
      <c r="P188" s="3"/>
      <c r="Q188" s="3">
        <v>170</v>
      </c>
      <c r="R188" s="3"/>
      <c r="S188" s="3"/>
      <c r="T188" s="3"/>
      <c r="U188" s="3"/>
      <c r="V188" s="3"/>
      <c r="W188" s="3"/>
      <c r="X188" s="3" t="s">
        <v>288</v>
      </c>
      <c r="Y188" s="3" t="s">
        <v>84</v>
      </c>
    </row>
    <row r="189" spans="1:25" ht="15" customHeight="1" x14ac:dyDescent="0.3">
      <c r="A189" s="5">
        <v>45853</v>
      </c>
      <c r="B189" s="25">
        <v>33</v>
      </c>
      <c r="C189" s="3" t="s">
        <v>38</v>
      </c>
      <c r="D189" s="3" t="s">
        <v>355</v>
      </c>
      <c r="E189" s="3">
        <v>2</v>
      </c>
      <c r="F189" s="3">
        <v>162</v>
      </c>
      <c r="G189" s="6" t="s">
        <v>359</v>
      </c>
      <c r="H189" s="3" t="s">
        <v>360</v>
      </c>
      <c r="I189" s="6" t="s">
        <v>49</v>
      </c>
      <c r="J189" s="3">
        <v>2</v>
      </c>
      <c r="K189" s="3">
        <v>2</v>
      </c>
      <c r="L189" s="3">
        <v>21.3</v>
      </c>
      <c r="M189" s="3">
        <v>3.5</v>
      </c>
      <c r="N189" s="3">
        <v>6</v>
      </c>
      <c r="O189" s="3">
        <v>2.8</v>
      </c>
      <c r="P189" s="3">
        <v>19</v>
      </c>
      <c r="Q189" s="3">
        <v>170</v>
      </c>
      <c r="R189" s="3"/>
      <c r="S189" s="3"/>
      <c r="T189" s="3"/>
      <c r="U189" s="3"/>
      <c r="V189" s="3"/>
      <c r="W189" s="3"/>
      <c r="X189" s="3" t="s">
        <v>252</v>
      </c>
      <c r="Y189" s="3" t="s">
        <v>83</v>
      </c>
    </row>
    <row r="190" spans="1:25" ht="15" customHeight="1" x14ac:dyDescent="0.3">
      <c r="A190" s="5">
        <v>45853</v>
      </c>
      <c r="B190" s="25">
        <v>33</v>
      </c>
      <c r="C190" s="3" t="s">
        <v>38</v>
      </c>
      <c r="D190" s="3" t="s">
        <v>355</v>
      </c>
      <c r="E190" s="3">
        <v>2</v>
      </c>
      <c r="F190" s="3">
        <v>163</v>
      </c>
      <c r="G190" s="6" t="s">
        <v>11</v>
      </c>
      <c r="H190" s="3" t="s">
        <v>305</v>
      </c>
      <c r="I190" s="6" t="s">
        <v>49</v>
      </c>
      <c r="J190" s="3">
        <v>2</v>
      </c>
      <c r="K190" s="3">
        <v>2</v>
      </c>
      <c r="L190" s="3">
        <v>24</v>
      </c>
      <c r="M190" s="3">
        <v>6</v>
      </c>
      <c r="N190" s="3">
        <v>11</v>
      </c>
      <c r="O190" s="3">
        <v>3.5</v>
      </c>
      <c r="P190" s="3">
        <v>26</v>
      </c>
      <c r="Q190" s="3">
        <v>175</v>
      </c>
      <c r="R190" s="3"/>
      <c r="S190" s="3"/>
      <c r="T190" s="3"/>
      <c r="U190" s="3"/>
      <c r="V190" s="3"/>
      <c r="W190" s="3"/>
      <c r="X190" s="3" t="s">
        <v>388</v>
      </c>
      <c r="Y190" s="3" t="s">
        <v>153</v>
      </c>
    </row>
    <row r="191" spans="1:25" ht="15" customHeight="1" x14ac:dyDescent="0.3">
      <c r="A191" s="5">
        <v>45853</v>
      </c>
      <c r="B191" s="25">
        <v>33</v>
      </c>
      <c r="C191" s="3" t="s">
        <v>38</v>
      </c>
      <c r="D191" s="3" t="s">
        <v>355</v>
      </c>
      <c r="E191" s="3">
        <v>2</v>
      </c>
      <c r="F191" s="3">
        <v>164</v>
      </c>
      <c r="G191" s="6" t="s">
        <v>361</v>
      </c>
      <c r="H191" s="3" t="s">
        <v>362</v>
      </c>
      <c r="I191" s="6" t="s">
        <v>49</v>
      </c>
      <c r="J191" s="3">
        <v>2</v>
      </c>
      <c r="K191" s="3">
        <v>2</v>
      </c>
      <c r="L191" s="3">
        <v>22.52</v>
      </c>
      <c r="M191" s="3">
        <v>6</v>
      </c>
      <c r="N191" s="3">
        <v>12</v>
      </c>
      <c r="O191" s="3">
        <v>3.6</v>
      </c>
      <c r="P191" s="3">
        <v>26</v>
      </c>
      <c r="Q191" s="3">
        <v>180</v>
      </c>
      <c r="R191" s="3"/>
      <c r="S191" s="3"/>
      <c r="T191" s="3"/>
      <c r="U191" s="3"/>
      <c r="V191" s="3"/>
      <c r="W191" s="3"/>
      <c r="X191" s="3" t="s">
        <v>388</v>
      </c>
      <c r="Y191" s="3" t="s">
        <v>153</v>
      </c>
    </row>
    <row r="192" spans="1:25" ht="15" customHeight="1" x14ac:dyDescent="0.3">
      <c r="A192" s="5">
        <v>45853</v>
      </c>
      <c r="B192" s="25">
        <v>33</v>
      </c>
      <c r="C192" s="3" t="s">
        <v>38</v>
      </c>
      <c r="D192" s="3" t="s">
        <v>355</v>
      </c>
      <c r="E192" s="3">
        <v>2</v>
      </c>
      <c r="F192" s="3">
        <v>402</v>
      </c>
      <c r="G192" s="6" t="s">
        <v>405</v>
      </c>
      <c r="H192" s="3" t="s">
        <v>406</v>
      </c>
      <c r="I192" s="6" t="s">
        <v>49</v>
      </c>
      <c r="J192" s="3">
        <v>2</v>
      </c>
      <c r="K192" s="3">
        <v>2</v>
      </c>
      <c r="L192" s="3">
        <v>11.2</v>
      </c>
      <c r="M192" s="3"/>
      <c r="N192" s="3"/>
      <c r="O192" s="3">
        <v>4.2</v>
      </c>
      <c r="P192" s="3"/>
      <c r="Q192" s="3"/>
      <c r="R192" s="3"/>
      <c r="S192" s="3"/>
      <c r="T192" s="3"/>
      <c r="U192" s="3"/>
      <c r="V192" s="3"/>
      <c r="W192" s="3"/>
      <c r="X192" s="3" t="s">
        <v>423</v>
      </c>
      <c r="Y192" s="3"/>
    </row>
    <row r="193" spans="1:25" ht="15" customHeight="1" x14ac:dyDescent="0.3">
      <c r="A193" s="5">
        <v>45853</v>
      </c>
      <c r="B193" s="25">
        <v>33</v>
      </c>
      <c r="C193" s="3" t="s">
        <v>38</v>
      </c>
      <c r="D193" s="3" t="s">
        <v>355</v>
      </c>
      <c r="E193" s="3">
        <v>2</v>
      </c>
      <c r="F193" s="3">
        <v>404</v>
      </c>
      <c r="G193" s="6" t="s">
        <v>407</v>
      </c>
      <c r="H193" s="3" t="s">
        <v>408</v>
      </c>
      <c r="I193" s="6" t="s">
        <v>49</v>
      </c>
      <c r="J193" s="3">
        <v>2</v>
      </c>
      <c r="K193" s="3">
        <v>2</v>
      </c>
      <c r="L193" s="3">
        <v>8.9</v>
      </c>
      <c r="M193" s="3"/>
      <c r="N193" s="3"/>
      <c r="O193" s="3">
        <v>4</v>
      </c>
      <c r="P193" s="3"/>
      <c r="Q193" s="3"/>
      <c r="R193" s="3"/>
      <c r="S193" s="3"/>
      <c r="T193" s="3"/>
      <c r="U193" s="3"/>
      <c r="V193" s="3"/>
      <c r="W193" s="3"/>
      <c r="X193" s="3" t="s">
        <v>424</v>
      </c>
      <c r="Y193" s="3"/>
    </row>
    <row r="194" spans="1:25" ht="15" customHeight="1" x14ac:dyDescent="0.3">
      <c r="A194" s="5">
        <v>45853</v>
      </c>
      <c r="B194" s="25">
        <v>33</v>
      </c>
      <c r="C194" s="3" t="s">
        <v>38</v>
      </c>
      <c r="D194" s="3" t="s">
        <v>355</v>
      </c>
      <c r="E194" s="3">
        <v>2</v>
      </c>
      <c r="F194" s="3">
        <v>171</v>
      </c>
      <c r="G194" s="6" t="s">
        <v>363</v>
      </c>
      <c r="H194" s="3" t="s">
        <v>364</v>
      </c>
      <c r="I194" s="6" t="s">
        <v>49</v>
      </c>
      <c r="J194" s="3">
        <v>4</v>
      </c>
      <c r="K194" s="3">
        <v>4</v>
      </c>
      <c r="L194" s="3">
        <v>15.84</v>
      </c>
      <c r="M194" s="3">
        <v>5.6</v>
      </c>
      <c r="N194" s="3">
        <v>6</v>
      </c>
      <c r="O194" s="3">
        <v>5</v>
      </c>
      <c r="P194" s="3"/>
      <c r="Q194" s="3">
        <v>150</v>
      </c>
      <c r="R194" s="3"/>
      <c r="S194" s="3"/>
      <c r="T194" s="3"/>
      <c r="U194" s="3"/>
      <c r="V194" s="3"/>
      <c r="W194" s="3"/>
      <c r="X194" s="3" t="s">
        <v>253</v>
      </c>
      <c r="Y194" s="3" t="s">
        <v>81</v>
      </c>
    </row>
    <row r="195" spans="1:25" ht="15" customHeight="1" x14ac:dyDescent="0.3">
      <c r="A195" s="5">
        <v>45853</v>
      </c>
      <c r="B195" s="25">
        <v>33</v>
      </c>
      <c r="C195" s="3" t="s">
        <v>38</v>
      </c>
      <c r="D195" s="3" t="s">
        <v>355</v>
      </c>
      <c r="E195" s="3">
        <v>2</v>
      </c>
      <c r="F195" s="3">
        <v>172</v>
      </c>
      <c r="G195" s="6" t="s">
        <v>365</v>
      </c>
      <c r="H195" s="3" t="s">
        <v>366</v>
      </c>
      <c r="I195" s="6" t="s">
        <v>49</v>
      </c>
      <c r="J195" s="3">
        <v>4</v>
      </c>
      <c r="K195" s="3">
        <v>4</v>
      </c>
      <c r="L195" s="3">
        <v>15.53</v>
      </c>
      <c r="M195" s="3">
        <v>1</v>
      </c>
      <c r="N195" s="3">
        <v>9.8000000000000007</v>
      </c>
      <c r="O195" s="3">
        <v>6.5</v>
      </c>
      <c r="P195" s="3" t="s">
        <v>314</v>
      </c>
      <c r="Q195" s="3">
        <v>170</v>
      </c>
      <c r="R195" s="3"/>
      <c r="S195" s="3"/>
      <c r="T195" s="3"/>
      <c r="U195" s="3"/>
      <c r="V195" s="3"/>
      <c r="W195" s="3"/>
      <c r="X195" s="3" t="s">
        <v>390</v>
      </c>
      <c r="Y195" s="3" t="s">
        <v>398</v>
      </c>
    </row>
    <row r="196" spans="1:25" ht="15" customHeight="1" x14ac:dyDescent="0.3">
      <c r="A196" s="5">
        <v>45853</v>
      </c>
      <c r="B196" s="25">
        <v>33</v>
      </c>
      <c r="C196" s="3" t="s">
        <v>38</v>
      </c>
      <c r="D196" s="3" t="s">
        <v>355</v>
      </c>
      <c r="E196" s="3">
        <v>2</v>
      </c>
      <c r="F196" s="3">
        <v>173</v>
      </c>
      <c r="G196" s="6" t="s">
        <v>367</v>
      </c>
      <c r="H196" s="3" t="s">
        <v>368</v>
      </c>
      <c r="I196" s="6" t="s">
        <v>49</v>
      </c>
      <c r="J196" s="3">
        <v>5</v>
      </c>
      <c r="K196" s="3">
        <v>5</v>
      </c>
      <c r="L196" s="3">
        <v>18.649999999999999</v>
      </c>
      <c r="M196" s="3">
        <v>2.5</v>
      </c>
      <c r="N196" s="3">
        <v>12</v>
      </c>
      <c r="O196" s="3">
        <v>6.5</v>
      </c>
      <c r="P196" s="3" t="s">
        <v>414</v>
      </c>
      <c r="Q196" s="3">
        <v>170</v>
      </c>
      <c r="R196" s="3"/>
      <c r="S196" s="3"/>
      <c r="T196" s="3"/>
      <c r="U196" s="3"/>
      <c r="V196" s="3"/>
      <c r="W196" s="3"/>
      <c r="X196" s="3" t="s">
        <v>253</v>
      </c>
      <c r="Y196" s="3" t="s">
        <v>87</v>
      </c>
    </row>
    <row r="197" spans="1:25" ht="15" customHeight="1" x14ac:dyDescent="0.3">
      <c r="A197" s="5">
        <v>45853</v>
      </c>
      <c r="B197" s="25">
        <v>33</v>
      </c>
      <c r="C197" s="3" t="s">
        <v>38</v>
      </c>
      <c r="D197" s="3" t="s">
        <v>355</v>
      </c>
      <c r="E197" s="3">
        <v>2</v>
      </c>
      <c r="F197" s="3">
        <v>174</v>
      </c>
      <c r="G197" s="6" t="s">
        <v>181</v>
      </c>
      <c r="H197" s="3" t="s">
        <v>182</v>
      </c>
      <c r="I197" s="6" t="s">
        <v>49</v>
      </c>
      <c r="J197" s="3">
        <v>5</v>
      </c>
      <c r="K197" s="3">
        <v>5</v>
      </c>
      <c r="L197" s="3">
        <v>13.62</v>
      </c>
      <c r="M197" s="3">
        <v>0.9</v>
      </c>
      <c r="N197" s="3">
        <v>8.5</v>
      </c>
      <c r="O197" s="3">
        <v>6</v>
      </c>
      <c r="P197" s="3" t="s">
        <v>381</v>
      </c>
      <c r="Q197" s="3">
        <v>170</v>
      </c>
      <c r="R197" s="3"/>
      <c r="S197" s="3"/>
      <c r="T197" s="3"/>
      <c r="U197" s="3"/>
      <c r="V197" s="3"/>
      <c r="W197" s="3"/>
      <c r="X197" s="3" t="s">
        <v>253</v>
      </c>
      <c r="Y197" s="3" t="s">
        <v>80</v>
      </c>
    </row>
    <row r="198" spans="1:25" ht="15" customHeight="1" x14ac:dyDescent="0.3">
      <c r="A198" s="5">
        <v>45853</v>
      </c>
      <c r="B198" s="25">
        <v>33</v>
      </c>
      <c r="C198" s="3" t="s">
        <v>38</v>
      </c>
      <c r="D198" s="3" t="s">
        <v>355</v>
      </c>
      <c r="E198" s="3">
        <v>2</v>
      </c>
      <c r="F198" s="3">
        <v>176</v>
      </c>
      <c r="G198" s="6" t="s">
        <v>17</v>
      </c>
      <c r="H198" s="3" t="s">
        <v>183</v>
      </c>
      <c r="I198" s="6" t="s">
        <v>49</v>
      </c>
      <c r="J198" s="3">
        <v>5</v>
      </c>
      <c r="K198" s="3">
        <v>5</v>
      </c>
      <c r="L198" s="3">
        <v>17.43</v>
      </c>
      <c r="M198" s="3">
        <v>2</v>
      </c>
      <c r="N198" s="3">
        <v>11.5</v>
      </c>
      <c r="O198" s="3">
        <v>8</v>
      </c>
      <c r="P198" s="3" t="s">
        <v>282</v>
      </c>
      <c r="Q198" s="3">
        <v>175</v>
      </c>
      <c r="R198" s="3"/>
      <c r="S198" s="3"/>
      <c r="T198" s="3"/>
      <c r="U198" s="3"/>
      <c r="V198" s="3"/>
      <c r="W198" s="3"/>
      <c r="X198" s="3" t="s">
        <v>253</v>
      </c>
      <c r="Y198" s="3" t="s">
        <v>80</v>
      </c>
    </row>
    <row r="199" spans="1:25" ht="15" customHeight="1" x14ac:dyDescent="0.3">
      <c r="A199" s="5">
        <v>45853</v>
      </c>
      <c r="B199" s="25">
        <v>33</v>
      </c>
      <c r="C199" s="3" t="s">
        <v>38</v>
      </c>
      <c r="D199" s="3" t="s">
        <v>355</v>
      </c>
      <c r="E199" s="3">
        <v>2</v>
      </c>
      <c r="F199" s="3">
        <v>131</v>
      </c>
      <c r="G199" s="6" t="s">
        <v>369</v>
      </c>
      <c r="H199" s="3" t="s">
        <v>370</v>
      </c>
      <c r="I199" s="6" t="s">
        <v>49</v>
      </c>
      <c r="J199" s="3">
        <v>3</v>
      </c>
      <c r="K199" s="23">
        <v>2</v>
      </c>
      <c r="L199" s="3">
        <v>17.86</v>
      </c>
      <c r="M199" s="3">
        <v>3.5</v>
      </c>
      <c r="N199" s="3">
        <v>9.6999999999999993</v>
      </c>
      <c r="O199" s="3">
        <v>3</v>
      </c>
      <c r="P199" s="3"/>
      <c r="Q199" s="3">
        <v>170</v>
      </c>
      <c r="R199" s="3"/>
      <c r="S199" s="3"/>
      <c r="T199" s="3"/>
      <c r="U199" s="3"/>
      <c r="V199" s="3"/>
      <c r="W199" s="3"/>
      <c r="X199" s="3" t="s">
        <v>425</v>
      </c>
      <c r="Y199" s="3" t="s">
        <v>154</v>
      </c>
    </row>
    <row r="200" spans="1:25" ht="15" customHeight="1" x14ac:dyDescent="0.3">
      <c r="A200" s="5">
        <v>45853</v>
      </c>
      <c r="B200" s="25">
        <v>33</v>
      </c>
      <c r="C200" s="3" t="s">
        <v>38</v>
      </c>
      <c r="D200" s="3" t="s">
        <v>355</v>
      </c>
      <c r="E200" s="3">
        <v>2</v>
      </c>
      <c r="F200" s="3">
        <v>133</v>
      </c>
      <c r="G200" s="6" t="s">
        <v>409</v>
      </c>
      <c r="H200" s="3" t="s">
        <v>410</v>
      </c>
      <c r="I200" s="6" t="s">
        <v>49</v>
      </c>
      <c r="J200" s="3">
        <v>4</v>
      </c>
      <c r="K200" s="3">
        <v>4</v>
      </c>
      <c r="L200" s="3">
        <v>16.32</v>
      </c>
      <c r="M200" s="3">
        <v>3.1</v>
      </c>
      <c r="N200" s="3">
        <v>5.55</v>
      </c>
      <c r="O200" s="3">
        <v>4</v>
      </c>
      <c r="P200" s="3"/>
      <c r="Q200" s="3">
        <v>170</v>
      </c>
      <c r="R200" s="3"/>
      <c r="S200" s="3"/>
      <c r="T200" s="3"/>
      <c r="U200" s="3"/>
      <c r="V200" s="3"/>
      <c r="W200" s="3"/>
      <c r="X200" s="3" t="s">
        <v>80</v>
      </c>
      <c r="Y200" s="3" t="s">
        <v>431</v>
      </c>
    </row>
    <row r="201" spans="1:25" ht="15" customHeight="1" x14ac:dyDescent="0.3">
      <c r="A201" s="5">
        <v>45853</v>
      </c>
      <c r="B201" s="25">
        <v>33</v>
      </c>
      <c r="C201" s="3" t="s">
        <v>38</v>
      </c>
      <c r="D201" s="3" t="s">
        <v>355</v>
      </c>
      <c r="E201" s="3">
        <v>2</v>
      </c>
      <c r="F201" s="3">
        <v>205</v>
      </c>
      <c r="G201" s="6" t="s">
        <v>371</v>
      </c>
      <c r="H201" s="3" t="s">
        <v>372</v>
      </c>
      <c r="I201" s="6" t="s">
        <v>111</v>
      </c>
      <c r="J201" s="3">
        <v>4</v>
      </c>
      <c r="K201" s="23">
        <v>3</v>
      </c>
      <c r="L201" s="3">
        <v>21.3</v>
      </c>
      <c r="M201" s="3">
        <v>8</v>
      </c>
      <c r="N201" s="3">
        <v>2.1</v>
      </c>
      <c r="O201" s="3"/>
      <c r="P201" s="3"/>
      <c r="Q201" s="3"/>
      <c r="R201" s="3" t="s">
        <v>415</v>
      </c>
      <c r="S201" s="3" t="s">
        <v>419</v>
      </c>
      <c r="T201" s="3">
        <v>1</v>
      </c>
      <c r="U201" s="3">
        <v>5</v>
      </c>
      <c r="V201" s="3">
        <v>10</v>
      </c>
      <c r="W201" s="3">
        <v>140</v>
      </c>
      <c r="X201" s="3" t="s">
        <v>391</v>
      </c>
      <c r="Y201" s="6" t="s">
        <v>432</v>
      </c>
    </row>
    <row r="202" spans="1:25" ht="15" customHeight="1" x14ac:dyDescent="0.3">
      <c r="A202" s="5">
        <v>45853</v>
      </c>
      <c r="B202" s="25">
        <v>33</v>
      </c>
      <c r="C202" s="3" t="s">
        <v>38</v>
      </c>
      <c r="D202" s="3" t="s">
        <v>355</v>
      </c>
      <c r="E202" s="3">
        <v>2</v>
      </c>
      <c r="F202" s="3">
        <v>206</v>
      </c>
      <c r="G202" s="6" t="s">
        <v>24</v>
      </c>
      <c r="H202" s="3" t="s">
        <v>411</v>
      </c>
      <c r="I202" s="6" t="s">
        <v>111</v>
      </c>
      <c r="J202" s="3">
        <v>12</v>
      </c>
      <c r="K202" s="23">
        <v>11</v>
      </c>
      <c r="L202" s="3">
        <v>26.9</v>
      </c>
      <c r="M202" s="3">
        <v>18</v>
      </c>
      <c r="N202" s="3">
        <v>1.2</v>
      </c>
      <c r="O202" s="3"/>
      <c r="P202" s="3"/>
      <c r="Q202" s="3"/>
      <c r="R202" s="3" t="s">
        <v>416</v>
      </c>
      <c r="S202" s="3" t="s">
        <v>420</v>
      </c>
      <c r="T202" s="3">
        <v>0.5</v>
      </c>
      <c r="U202" s="3">
        <v>32</v>
      </c>
      <c r="V202" s="3">
        <v>39</v>
      </c>
      <c r="W202" s="3">
        <v>120</v>
      </c>
      <c r="X202" s="3" t="s">
        <v>426</v>
      </c>
      <c r="Y202" s="3"/>
    </row>
    <row r="203" spans="1:25" ht="15" customHeight="1" x14ac:dyDescent="0.3">
      <c r="A203" s="5">
        <v>45853</v>
      </c>
      <c r="B203" s="25">
        <v>33</v>
      </c>
      <c r="C203" s="3" t="s">
        <v>38</v>
      </c>
      <c r="D203" s="3" t="s">
        <v>355</v>
      </c>
      <c r="E203" s="3">
        <v>2</v>
      </c>
      <c r="F203" s="3">
        <v>208</v>
      </c>
      <c r="G203" s="6" t="s">
        <v>375</v>
      </c>
      <c r="H203" s="3" t="s">
        <v>376</v>
      </c>
      <c r="I203" s="6" t="s">
        <v>111</v>
      </c>
      <c r="J203" s="3">
        <v>16</v>
      </c>
      <c r="K203" s="23">
        <v>9</v>
      </c>
      <c r="L203" s="3">
        <v>26.26</v>
      </c>
      <c r="M203" s="3">
        <v>7</v>
      </c>
      <c r="N203" s="3">
        <v>5.3</v>
      </c>
      <c r="O203" s="3"/>
      <c r="P203" s="3"/>
      <c r="Q203" s="3"/>
      <c r="R203" s="3" t="s">
        <v>417</v>
      </c>
      <c r="S203" s="3" t="s">
        <v>71</v>
      </c>
      <c r="T203" s="3">
        <v>1</v>
      </c>
      <c r="U203" s="3">
        <v>15</v>
      </c>
      <c r="V203" s="3">
        <v>20</v>
      </c>
      <c r="W203" s="3">
        <v>120</v>
      </c>
      <c r="X203" s="3" t="s">
        <v>427</v>
      </c>
      <c r="Y203" s="3"/>
    </row>
    <row r="204" spans="1:25" ht="15" customHeight="1" x14ac:dyDescent="0.3">
      <c r="A204" s="5">
        <v>45853</v>
      </c>
      <c r="B204" s="25">
        <v>33</v>
      </c>
      <c r="C204" s="3" t="s">
        <v>38</v>
      </c>
      <c r="D204" s="3" t="s">
        <v>355</v>
      </c>
      <c r="E204" s="3">
        <v>2</v>
      </c>
      <c r="F204" s="3">
        <v>210</v>
      </c>
      <c r="G204" s="6" t="s">
        <v>412</v>
      </c>
      <c r="H204" s="3" t="s">
        <v>413</v>
      </c>
      <c r="I204" s="6" t="s">
        <v>111</v>
      </c>
      <c r="J204" s="3">
        <v>4</v>
      </c>
      <c r="K204" s="3">
        <v>4</v>
      </c>
      <c r="L204" s="3">
        <v>22.2</v>
      </c>
      <c r="M204" s="3">
        <v>8</v>
      </c>
      <c r="N204" s="3">
        <v>4</v>
      </c>
      <c r="O204" s="3"/>
      <c r="P204" s="3"/>
      <c r="Q204" s="3"/>
      <c r="R204" s="3" t="s">
        <v>418</v>
      </c>
      <c r="S204" s="3" t="s">
        <v>421</v>
      </c>
      <c r="T204" s="3">
        <v>1</v>
      </c>
      <c r="U204" s="3">
        <v>20</v>
      </c>
      <c r="V204" s="3">
        <v>30</v>
      </c>
      <c r="W204" s="3">
        <v>100</v>
      </c>
      <c r="X204" s="3" t="s">
        <v>428</v>
      </c>
      <c r="Y204" s="3" t="s">
        <v>433</v>
      </c>
    </row>
    <row r="205" spans="1:25" ht="15" customHeight="1" x14ac:dyDescent="0.3">
      <c r="A205" s="5">
        <v>45853</v>
      </c>
      <c r="B205" s="25">
        <v>33</v>
      </c>
      <c r="C205" s="3" t="s">
        <v>38</v>
      </c>
      <c r="D205" s="3" t="s">
        <v>355</v>
      </c>
      <c r="E205" s="3">
        <v>2</v>
      </c>
      <c r="F205" s="3">
        <v>301</v>
      </c>
      <c r="G205" s="6" t="s">
        <v>30</v>
      </c>
      <c r="H205" s="3" t="s">
        <v>194</v>
      </c>
      <c r="I205" s="6" t="s">
        <v>5</v>
      </c>
      <c r="J205" s="3">
        <v>8</v>
      </c>
      <c r="K205" s="23">
        <v>5</v>
      </c>
      <c r="L205" s="3">
        <v>29.9</v>
      </c>
      <c r="M205" s="3">
        <v>9</v>
      </c>
      <c r="N205" s="3">
        <v>9.6999999999999993</v>
      </c>
      <c r="O205" s="3"/>
      <c r="P205" s="3"/>
      <c r="Q205" s="3"/>
      <c r="R205" s="3" t="s">
        <v>128</v>
      </c>
      <c r="S205" s="3" t="s">
        <v>133</v>
      </c>
      <c r="T205" s="3">
        <v>2</v>
      </c>
      <c r="U205" s="3">
        <v>35</v>
      </c>
      <c r="V205" s="3">
        <v>45</v>
      </c>
      <c r="W205" s="3">
        <v>130</v>
      </c>
      <c r="X205" s="3" t="s">
        <v>429</v>
      </c>
      <c r="Y205" s="3" t="s">
        <v>402</v>
      </c>
    </row>
    <row r="206" spans="1:25" ht="15" customHeight="1" x14ac:dyDescent="0.3">
      <c r="A206" s="5">
        <v>45853</v>
      </c>
      <c r="B206" s="25">
        <v>33</v>
      </c>
      <c r="C206" s="3" t="s">
        <v>38</v>
      </c>
      <c r="D206" s="3" t="s">
        <v>355</v>
      </c>
      <c r="E206" s="3">
        <v>2</v>
      </c>
      <c r="F206" s="3">
        <v>302</v>
      </c>
      <c r="G206" s="6" t="s">
        <v>31</v>
      </c>
      <c r="H206" s="3" t="s">
        <v>195</v>
      </c>
      <c r="I206" s="6" t="s">
        <v>49</v>
      </c>
      <c r="J206" s="3">
        <v>12</v>
      </c>
      <c r="K206" s="23">
        <v>9</v>
      </c>
      <c r="L206" s="3">
        <v>60.9</v>
      </c>
      <c r="M206" s="3">
        <v>17</v>
      </c>
      <c r="N206" s="3">
        <v>13</v>
      </c>
      <c r="O206" s="3"/>
      <c r="P206" s="3"/>
      <c r="Q206" s="3"/>
      <c r="R206" s="3" t="s">
        <v>201</v>
      </c>
      <c r="S206" s="3" t="s">
        <v>422</v>
      </c>
      <c r="T206" s="3">
        <v>5.5</v>
      </c>
      <c r="U206" s="3">
        <v>35</v>
      </c>
      <c r="V206" s="3">
        <v>65</v>
      </c>
      <c r="W206" s="3">
        <v>150</v>
      </c>
      <c r="X206" s="3" t="s">
        <v>430</v>
      </c>
      <c r="Y206" s="6" t="s">
        <v>434</v>
      </c>
    </row>
    <row r="207" spans="1:25" ht="15" customHeight="1" x14ac:dyDescent="0.3">
      <c r="A207" s="5">
        <v>45853</v>
      </c>
      <c r="B207" s="25">
        <v>33</v>
      </c>
      <c r="C207" s="3" t="s">
        <v>38</v>
      </c>
      <c r="D207" s="3" t="s">
        <v>355</v>
      </c>
      <c r="E207" s="3">
        <v>2</v>
      </c>
      <c r="F207" s="3">
        <v>175</v>
      </c>
      <c r="G207" s="6" t="s">
        <v>310</v>
      </c>
      <c r="H207" s="3" t="s">
        <v>379</v>
      </c>
      <c r="I207" s="6" t="s">
        <v>49</v>
      </c>
      <c r="J207" s="3">
        <v>3</v>
      </c>
      <c r="K207" s="3">
        <v>3</v>
      </c>
      <c r="L207" s="3">
        <v>18.010000000000002</v>
      </c>
      <c r="M207" s="3">
        <v>3.9</v>
      </c>
      <c r="N207" s="3">
        <v>9.9</v>
      </c>
      <c r="O207" s="3">
        <v>5.6</v>
      </c>
      <c r="P207" s="3" t="s">
        <v>241</v>
      </c>
      <c r="Q207" s="3">
        <v>175</v>
      </c>
      <c r="R207" s="3"/>
      <c r="S207" s="3"/>
      <c r="T207" s="3"/>
      <c r="U207" s="3"/>
      <c r="V207" s="3"/>
      <c r="W207" s="3"/>
      <c r="X207" s="3" t="s">
        <v>79</v>
      </c>
      <c r="Y207" s="3" t="s">
        <v>80</v>
      </c>
    </row>
    <row r="208" spans="1:25" ht="15" customHeight="1" x14ac:dyDescent="0.3">
      <c r="A208" s="5">
        <v>45853</v>
      </c>
      <c r="B208" s="25">
        <v>33</v>
      </c>
      <c r="C208" s="3" t="s">
        <v>38</v>
      </c>
      <c r="D208" s="3" t="s">
        <v>355</v>
      </c>
      <c r="E208" s="3">
        <v>2</v>
      </c>
      <c r="F208" s="3">
        <v>504</v>
      </c>
      <c r="G208" s="6" t="s">
        <v>312</v>
      </c>
      <c r="H208" s="3" t="s">
        <v>313</v>
      </c>
      <c r="I208" s="6" t="s">
        <v>49</v>
      </c>
      <c r="J208" s="3">
        <v>2</v>
      </c>
      <c r="K208" s="3">
        <v>2</v>
      </c>
      <c r="L208" s="3">
        <v>28</v>
      </c>
      <c r="M208" s="3"/>
      <c r="N208" s="3"/>
      <c r="O208" s="3">
        <v>12</v>
      </c>
      <c r="P208" s="3"/>
      <c r="Q208" s="3"/>
      <c r="R208" s="3"/>
      <c r="S208" s="3"/>
      <c r="T208" s="3"/>
      <c r="U208" s="3"/>
      <c r="V208" s="3"/>
      <c r="W208" s="3"/>
      <c r="X208" s="3" t="s">
        <v>326</v>
      </c>
      <c r="Y208" s="3"/>
    </row>
    <row r="209" spans="1:25" ht="15" customHeight="1" x14ac:dyDescent="0.3">
      <c r="A209" s="27">
        <v>45854</v>
      </c>
      <c r="B209" s="25">
        <v>30</v>
      </c>
      <c r="C209" s="3" t="s">
        <v>38</v>
      </c>
      <c r="D209" s="3" t="s">
        <v>355</v>
      </c>
      <c r="E209" s="3">
        <v>2</v>
      </c>
      <c r="F209" s="3">
        <v>103</v>
      </c>
      <c r="G209" s="6" t="s">
        <v>163</v>
      </c>
      <c r="H209" s="3" t="s">
        <v>168</v>
      </c>
      <c r="I209" s="6" t="s">
        <v>5</v>
      </c>
      <c r="J209" s="3">
        <v>5</v>
      </c>
      <c r="K209" s="3">
        <v>5</v>
      </c>
      <c r="L209" s="3">
        <v>15.08</v>
      </c>
      <c r="M209" s="3">
        <v>3.8</v>
      </c>
      <c r="N209" s="3">
        <v>7</v>
      </c>
      <c r="O209" s="3">
        <v>5.7</v>
      </c>
      <c r="P209" s="3">
        <v>35</v>
      </c>
      <c r="Q209" s="3">
        <v>165</v>
      </c>
      <c r="R209" s="3"/>
      <c r="S209" s="3"/>
      <c r="T209" s="3"/>
      <c r="U209" s="3"/>
      <c r="V209" s="3"/>
      <c r="W209" s="3"/>
      <c r="X209" s="3" t="s">
        <v>79</v>
      </c>
      <c r="Y209" s="3" t="s">
        <v>254</v>
      </c>
    </row>
    <row r="210" spans="1:25" ht="15" customHeight="1" x14ac:dyDescent="0.3">
      <c r="A210" s="27">
        <v>45854</v>
      </c>
      <c r="B210" s="25">
        <v>30</v>
      </c>
      <c r="C210" s="3" t="s">
        <v>38</v>
      </c>
      <c r="D210" s="3" t="s">
        <v>355</v>
      </c>
      <c r="E210" s="3">
        <v>2</v>
      </c>
      <c r="F210" s="3">
        <v>104</v>
      </c>
      <c r="G210" s="6" t="s">
        <v>403</v>
      </c>
      <c r="H210" s="3" t="s">
        <v>404</v>
      </c>
      <c r="I210" s="6" t="s">
        <v>5</v>
      </c>
      <c r="J210" s="3">
        <v>9</v>
      </c>
      <c r="K210" s="3">
        <v>9</v>
      </c>
      <c r="L210" s="3">
        <v>12.24</v>
      </c>
      <c r="M210" s="3">
        <v>2.2999999999999998</v>
      </c>
      <c r="N210" s="3">
        <v>6.5</v>
      </c>
      <c r="O210" s="3">
        <v>5</v>
      </c>
      <c r="P210" s="3"/>
      <c r="Q210" s="3">
        <v>170</v>
      </c>
      <c r="R210" s="3"/>
      <c r="S210" s="3"/>
      <c r="T210" s="3"/>
      <c r="U210" s="3"/>
      <c r="V210" s="3"/>
      <c r="W210" s="3"/>
      <c r="X210" s="3" t="s">
        <v>288</v>
      </c>
      <c r="Y210" s="3" t="s">
        <v>84</v>
      </c>
    </row>
    <row r="211" spans="1:25" ht="15" customHeight="1" x14ac:dyDescent="0.3">
      <c r="A211" s="27">
        <v>45854</v>
      </c>
      <c r="B211" s="25">
        <v>30</v>
      </c>
      <c r="C211" s="3" t="s">
        <v>38</v>
      </c>
      <c r="D211" s="3" t="s">
        <v>355</v>
      </c>
      <c r="E211" s="3">
        <v>2</v>
      </c>
      <c r="F211" s="3">
        <v>161</v>
      </c>
      <c r="G211" s="6" t="s">
        <v>274</v>
      </c>
      <c r="H211" s="3" t="s">
        <v>358</v>
      </c>
      <c r="I211" s="6" t="s">
        <v>49</v>
      </c>
      <c r="J211" s="3">
        <v>2</v>
      </c>
      <c r="K211" s="3">
        <v>2</v>
      </c>
      <c r="L211" s="3">
        <v>24.01</v>
      </c>
      <c r="M211" s="3">
        <v>6</v>
      </c>
      <c r="N211" s="3">
        <v>10</v>
      </c>
      <c r="O211" s="3">
        <v>4</v>
      </c>
      <c r="P211" s="3">
        <v>34</v>
      </c>
      <c r="Q211" s="3">
        <v>170</v>
      </c>
      <c r="R211" s="3"/>
      <c r="S211" s="3"/>
      <c r="T211" s="3"/>
      <c r="U211" s="3"/>
      <c r="V211" s="3"/>
      <c r="W211" s="3"/>
      <c r="X211" s="3" t="s">
        <v>388</v>
      </c>
      <c r="Y211" s="3" t="s">
        <v>396</v>
      </c>
    </row>
    <row r="212" spans="1:25" ht="15" customHeight="1" x14ac:dyDescent="0.3">
      <c r="A212" s="27">
        <v>45854</v>
      </c>
      <c r="B212" s="25">
        <v>30</v>
      </c>
      <c r="C212" s="3" t="s">
        <v>38</v>
      </c>
      <c r="D212" s="3" t="s">
        <v>355</v>
      </c>
      <c r="E212" s="3">
        <v>2</v>
      </c>
      <c r="F212" s="3">
        <v>163</v>
      </c>
      <c r="G212" s="6" t="s">
        <v>11</v>
      </c>
      <c r="H212" s="3" t="s">
        <v>305</v>
      </c>
      <c r="I212" s="6" t="s">
        <v>49</v>
      </c>
      <c r="J212" s="3">
        <v>2</v>
      </c>
      <c r="K212" s="3">
        <v>2</v>
      </c>
      <c r="L212" s="3">
        <v>24</v>
      </c>
      <c r="M212" s="3">
        <v>6</v>
      </c>
      <c r="N212" s="3">
        <v>11</v>
      </c>
      <c r="O212" s="3">
        <v>3.7</v>
      </c>
      <c r="P212" s="3">
        <v>20</v>
      </c>
      <c r="Q212" s="3">
        <v>175</v>
      </c>
      <c r="R212" s="3"/>
      <c r="S212" s="3"/>
      <c r="T212" s="3"/>
      <c r="U212" s="3"/>
      <c r="V212" s="3"/>
      <c r="W212" s="3"/>
      <c r="X212" s="3" t="s">
        <v>388</v>
      </c>
      <c r="Y212" s="3" t="s">
        <v>153</v>
      </c>
    </row>
    <row r="213" spans="1:25" ht="15" customHeight="1" x14ac:dyDescent="0.3">
      <c r="A213" s="27">
        <v>45854</v>
      </c>
      <c r="B213" s="25">
        <v>30</v>
      </c>
      <c r="C213" s="3" t="s">
        <v>38</v>
      </c>
      <c r="D213" s="3" t="s">
        <v>355</v>
      </c>
      <c r="E213" s="3">
        <v>2</v>
      </c>
      <c r="F213" s="3">
        <v>402</v>
      </c>
      <c r="G213" s="6" t="s">
        <v>405</v>
      </c>
      <c r="H213" s="3" t="s">
        <v>406</v>
      </c>
      <c r="I213" s="6" t="s">
        <v>49</v>
      </c>
      <c r="J213" s="3">
        <v>2</v>
      </c>
      <c r="K213" s="3">
        <v>2</v>
      </c>
      <c r="L213" s="3">
        <v>11.2</v>
      </c>
      <c r="M213" s="3"/>
      <c r="N213" s="3"/>
      <c r="O213" s="3">
        <v>4.2</v>
      </c>
      <c r="P213" s="3">
        <v>29</v>
      </c>
      <c r="Q213" s="3"/>
      <c r="R213" s="3"/>
      <c r="S213" s="3"/>
      <c r="T213" s="3"/>
      <c r="U213" s="3"/>
      <c r="V213" s="3"/>
      <c r="W213" s="3"/>
      <c r="X213" s="3" t="s">
        <v>452</v>
      </c>
      <c r="Y213" s="3"/>
    </row>
    <row r="214" spans="1:25" ht="15" customHeight="1" x14ac:dyDescent="0.3">
      <c r="A214" s="27">
        <v>45854</v>
      </c>
      <c r="B214" s="25">
        <v>30</v>
      </c>
      <c r="C214" s="3" t="s">
        <v>38</v>
      </c>
      <c r="D214" s="3" t="s">
        <v>355</v>
      </c>
      <c r="E214" s="3">
        <v>2</v>
      </c>
      <c r="F214" s="3">
        <v>404</v>
      </c>
      <c r="G214" s="6" t="s">
        <v>407</v>
      </c>
      <c r="H214" s="3" t="s">
        <v>408</v>
      </c>
      <c r="I214" s="6" t="s">
        <v>49</v>
      </c>
      <c r="J214" s="3">
        <v>2</v>
      </c>
      <c r="K214" s="3">
        <v>2</v>
      </c>
      <c r="L214" s="3">
        <v>8.8000000000000007</v>
      </c>
      <c r="M214" s="3"/>
      <c r="N214" s="3"/>
      <c r="O214" s="3">
        <v>4</v>
      </c>
      <c r="P214" s="3"/>
      <c r="Q214" s="3"/>
      <c r="R214" s="3"/>
      <c r="S214" s="3"/>
      <c r="T214" s="3"/>
      <c r="U214" s="3"/>
      <c r="V214" s="3"/>
      <c r="W214" s="3"/>
      <c r="X214" s="3" t="s">
        <v>453</v>
      </c>
      <c r="Y214" s="3"/>
    </row>
    <row r="215" spans="1:25" ht="15" customHeight="1" x14ac:dyDescent="0.3">
      <c r="A215" s="27">
        <v>45854</v>
      </c>
      <c r="B215" s="25">
        <v>30</v>
      </c>
      <c r="C215" s="3" t="s">
        <v>38</v>
      </c>
      <c r="D215" s="3" t="s">
        <v>355</v>
      </c>
      <c r="E215" s="3">
        <v>2</v>
      </c>
      <c r="F215" s="3">
        <v>405</v>
      </c>
      <c r="G215" s="6" t="s">
        <v>435</v>
      </c>
      <c r="H215" s="3" t="s">
        <v>436</v>
      </c>
      <c r="I215" s="6" t="s">
        <v>49</v>
      </c>
      <c r="J215" s="3">
        <v>2</v>
      </c>
      <c r="K215" s="3">
        <v>2</v>
      </c>
      <c r="L215" s="3">
        <v>8.5</v>
      </c>
      <c r="M215" s="3"/>
      <c r="N215" s="3"/>
      <c r="O215" s="3">
        <v>3.8</v>
      </c>
      <c r="P215" s="3"/>
      <c r="Q215" s="3"/>
      <c r="R215" s="3"/>
      <c r="S215" s="3"/>
      <c r="T215" s="3"/>
      <c r="U215" s="3"/>
      <c r="V215" s="3"/>
      <c r="W215" s="3"/>
      <c r="X215" s="3" t="s">
        <v>454</v>
      </c>
      <c r="Y215" s="3"/>
    </row>
    <row r="216" spans="1:25" ht="15" customHeight="1" x14ac:dyDescent="0.3">
      <c r="A216" s="27">
        <v>45854</v>
      </c>
      <c r="B216" s="25">
        <v>30</v>
      </c>
      <c r="C216" s="3" t="s">
        <v>38</v>
      </c>
      <c r="D216" s="3" t="s">
        <v>355</v>
      </c>
      <c r="E216" s="3">
        <v>2</v>
      </c>
      <c r="F216" s="3">
        <v>173</v>
      </c>
      <c r="G216" s="6" t="s">
        <v>437</v>
      </c>
      <c r="H216" s="3" t="s">
        <v>438</v>
      </c>
      <c r="I216" s="6" t="s">
        <v>49</v>
      </c>
      <c r="J216" s="3">
        <v>5</v>
      </c>
      <c r="K216" s="3">
        <v>5</v>
      </c>
      <c r="L216" s="3">
        <v>15.21</v>
      </c>
      <c r="M216" s="3">
        <v>1</v>
      </c>
      <c r="N216" s="3">
        <v>9.9</v>
      </c>
      <c r="O216" s="3">
        <v>6</v>
      </c>
      <c r="P216" s="3" t="s">
        <v>441</v>
      </c>
      <c r="Q216" s="3">
        <v>170</v>
      </c>
      <c r="R216" s="3"/>
      <c r="S216" s="3"/>
      <c r="T216" s="3"/>
      <c r="U216" s="3"/>
      <c r="V216" s="3"/>
      <c r="W216" s="3"/>
      <c r="X216" s="3" t="s">
        <v>79</v>
      </c>
      <c r="Y216" s="3" t="s">
        <v>87</v>
      </c>
    </row>
    <row r="217" spans="1:25" ht="15" customHeight="1" x14ac:dyDescent="0.3">
      <c r="A217" s="27">
        <v>45854</v>
      </c>
      <c r="B217" s="25">
        <v>30</v>
      </c>
      <c r="C217" s="3" t="s">
        <v>38</v>
      </c>
      <c r="D217" s="3" t="s">
        <v>355</v>
      </c>
      <c r="E217" s="3">
        <v>2</v>
      </c>
      <c r="F217" s="3">
        <v>174</v>
      </c>
      <c r="G217" s="6" t="s">
        <v>181</v>
      </c>
      <c r="H217" s="3" t="s">
        <v>182</v>
      </c>
      <c r="I217" s="6" t="s">
        <v>49</v>
      </c>
      <c r="J217" s="3">
        <v>5</v>
      </c>
      <c r="K217" s="3">
        <v>5</v>
      </c>
      <c r="L217" s="3">
        <v>13.64</v>
      </c>
      <c r="M217" s="3">
        <v>0.9</v>
      </c>
      <c r="N217" s="3">
        <v>8.5</v>
      </c>
      <c r="O217" s="3">
        <v>6</v>
      </c>
      <c r="P217" s="3" t="s">
        <v>442</v>
      </c>
      <c r="Q217" s="3">
        <v>170</v>
      </c>
      <c r="R217" s="3"/>
      <c r="S217" s="3"/>
      <c r="T217" s="3"/>
      <c r="U217" s="3"/>
      <c r="V217" s="3"/>
      <c r="W217" s="3"/>
      <c r="X217" s="3" t="s">
        <v>253</v>
      </c>
      <c r="Y217" s="3" t="s">
        <v>80</v>
      </c>
    </row>
    <row r="218" spans="1:25" ht="15" customHeight="1" x14ac:dyDescent="0.3">
      <c r="A218" s="27">
        <v>45854</v>
      </c>
      <c r="B218" s="25">
        <v>30</v>
      </c>
      <c r="C218" s="3" t="s">
        <v>38</v>
      </c>
      <c r="D218" s="3" t="s">
        <v>355</v>
      </c>
      <c r="E218" s="3">
        <v>2</v>
      </c>
      <c r="F218" s="3">
        <v>176</v>
      </c>
      <c r="G218" s="6" t="s">
        <v>17</v>
      </c>
      <c r="H218" s="3" t="s">
        <v>183</v>
      </c>
      <c r="I218" s="6" t="s">
        <v>49</v>
      </c>
      <c r="J218" s="3">
        <v>5</v>
      </c>
      <c r="K218" s="3">
        <v>5</v>
      </c>
      <c r="L218" s="3">
        <v>17.149999999999999</v>
      </c>
      <c r="M218" s="3">
        <v>2</v>
      </c>
      <c r="N218" s="3">
        <v>11.5</v>
      </c>
      <c r="O218" s="3">
        <v>8</v>
      </c>
      <c r="P218" s="3"/>
      <c r="Q218" s="3">
        <v>175</v>
      </c>
      <c r="R218" s="3"/>
      <c r="S218" s="3"/>
      <c r="T218" s="3"/>
      <c r="U218" s="3"/>
      <c r="V218" s="3"/>
      <c r="W218" s="3"/>
      <c r="X218" s="3" t="s">
        <v>253</v>
      </c>
      <c r="Y218" s="3" t="s">
        <v>80</v>
      </c>
    </row>
    <row r="219" spans="1:25" ht="15" customHeight="1" x14ac:dyDescent="0.3">
      <c r="A219" s="27">
        <v>45854</v>
      </c>
      <c r="B219" s="25">
        <v>30</v>
      </c>
      <c r="C219" s="3" t="s">
        <v>38</v>
      </c>
      <c r="D219" s="3" t="s">
        <v>355</v>
      </c>
      <c r="E219" s="3">
        <v>2</v>
      </c>
      <c r="F219" s="3">
        <v>177</v>
      </c>
      <c r="G219" s="6" t="s">
        <v>18</v>
      </c>
      <c r="H219" s="3" t="s">
        <v>184</v>
      </c>
      <c r="I219" s="6" t="s">
        <v>49</v>
      </c>
      <c r="J219" s="3">
        <v>3</v>
      </c>
      <c r="K219" s="3">
        <v>3</v>
      </c>
      <c r="L219" s="3">
        <v>13.57</v>
      </c>
      <c r="M219" s="3">
        <v>4</v>
      </c>
      <c r="N219" s="3">
        <v>6</v>
      </c>
      <c r="O219" s="3">
        <v>4.2</v>
      </c>
      <c r="P219" s="3"/>
      <c r="Q219" s="3">
        <v>170</v>
      </c>
      <c r="R219" s="3"/>
      <c r="S219" s="3"/>
      <c r="T219" s="3"/>
      <c r="U219" s="3"/>
      <c r="V219" s="3"/>
      <c r="W219" s="3"/>
      <c r="X219" s="3" t="s">
        <v>254</v>
      </c>
      <c r="Y219" s="3" t="s">
        <v>89</v>
      </c>
    </row>
    <row r="220" spans="1:25" ht="15" customHeight="1" x14ac:dyDescent="0.3">
      <c r="A220" s="27">
        <v>45854</v>
      </c>
      <c r="B220" s="25">
        <v>30</v>
      </c>
      <c r="C220" s="3" t="s">
        <v>38</v>
      </c>
      <c r="D220" s="3" t="s">
        <v>355</v>
      </c>
      <c r="E220" s="3">
        <v>2</v>
      </c>
      <c r="F220" s="3">
        <v>131</v>
      </c>
      <c r="G220" s="6" t="s">
        <v>369</v>
      </c>
      <c r="H220" s="3" t="s">
        <v>370</v>
      </c>
      <c r="I220" s="6" t="s">
        <v>49</v>
      </c>
      <c r="J220" s="3">
        <v>3</v>
      </c>
      <c r="K220" s="23">
        <v>2</v>
      </c>
      <c r="L220" s="3">
        <v>17.88</v>
      </c>
      <c r="M220" s="3">
        <v>3.5</v>
      </c>
      <c r="N220" s="3">
        <v>9.6999999999999993</v>
      </c>
      <c r="O220" s="3">
        <v>5</v>
      </c>
      <c r="P220" s="3"/>
      <c r="Q220" s="3">
        <v>170</v>
      </c>
      <c r="R220" s="3"/>
      <c r="S220" s="3"/>
      <c r="T220" s="3"/>
      <c r="U220" s="3"/>
      <c r="V220" s="3"/>
      <c r="W220" s="3"/>
      <c r="X220" s="3" t="s">
        <v>289</v>
      </c>
      <c r="Y220" s="3" t="s">
        <v>154</v>
      </c>
    </row>
    <row r="221" spans="1:25" ht="15" customHeight="1" x14ac:dyDescent="0.3">
      <c r="A221" s="27">
        <v>45854</v>
      </c>
      <c r="B221" s="25">
        <v>30</v>
      </c>
      <c r="C221" s="3" t="s">
        <v>38</v>
      </c>
      <c r="D221" s="3" t="s">
        <v>355</v>
      </c>
      <c r="E221" s="3">
        <v>2</v>
      </c>
      <c r="F221" s="3">
        <v>206</v>
      </c>
      <c r="G221" s="6" t="s">
        <v>24</v>
      </c>
      <c r="H221" s="3" t="s">
        <v>411</v>
      </c>
      <c r="I221" s="6" t="s">
        <v>111</v>
      </c>
      <c r="J221" s="3">
        <v>12</v>
      </c>
      <c r="K221" s="23">
        <v>11</v>
      </c>
      <c r="L221" s="3">
        <v>26.8</v>
      </c>
      <c r="M221" s="3">
        <v>18</v>
      </c>
      <c r="N221" s="3">
        <v>1.2</v>
      </c>
      <c r="O221" s="3"/>
      <c r="P221" s="3"/>
      <c r="Q221" s="3"/>
      <c r="R221" s="3" t="s">
        <v>444</v>
      </c>
      <c r="S221" s="3" t="s">
        <v>319</v>
      </c>
      <c r="T221" s="3">
        <v>0.5</v>
      </c>
      <c r="U221" s="3">
        <v>40</v>
      </c>
      <c r="V221" s="3">
        <v>45</v>
      </c>
      <c r="W221" s="3">
        <v>120</v>
      </c>
      <c r="X221" s="3" t="s">
        <v>392</v>
      </c>
      <c r="Y221" s="6" t="s">
        <v>460</v>
      </c>
    </row>
    <row r="222" spans="1:25" ht="15" customHeight="1" x14ac:dyDescent="0.3">
      <c r="A222" s="27">
        <v>45854</v>
      </c>
      <c r="B222" s="25">
        <v>30</v>
      </c>
      <c r="C222" s="3" t="s">
        <v>38</v>
      </c>
      <c r="D222" s="3" t="s">
        <v>355</v>
      </c>
      <c r="E222" s="3">
        <v>2</v>
      </c>
      <c r="F222" s="3">
        <v>207</v>
      </c>
      <c r="G222" s="6" t="s">
        <v>25</v>
      </c>
      <c r="H222" s="3" t="s">
        <v>189</v>
      </c>
      <c r="I222" s="6" t="s">
        <v>111</v>
      </c>
      <c r="J222" s="3">
        <v>12</v>
      </c>
      <c r="K222" s="23">
        <v>9</v>
      </c>
      <c r="L222" s="3">
        <v>34.630000000000003</v>
      </c>
      <c r="M222" s="3">
        <v>15</v>
      </c>
      <c r="N222" s="3">
        <v>3</v>
      </c>
      <c r="O222" s="3"/>
      <c r="P222" s="3"/>
      <c r="Q222" s="3"/>
      <c r="R222" s="3" t="s">
        <v>445</v>
      </c>
      <c r="S222" s="3" t="s">
        <v>75</v>
      </c>
      <c r="T222" s="3">
        <v>2.5</v>
      </c>
      <c r="U222" s="3">
        <v>20</v>
      </c>
      <c r="V222" s="3">
        <v>30</v>
      </c>
      <c r="W222" s="3">
        <v>140</v>
      </c>
      <c r="X222" s="3" t="s">
        <v>455</v>
      </c>
      <c r="Y222" s="6" t="s">
        <v>461</v>
      </c>
    </row>
    <row r="223" spans="1:25" ht="15" customHeight="1" x14ac:dyDescent="0.3">
      <c r="A223" s="27">
        <v>45854</v>
      </c>
      <c r="B223" s="25">
        <v>30</v>
      </c>
      <c r="C223" s="3" t="s">
        <v>38</v>
      </c>
      <c r="D223" s="3" t="s">
        <v>355</v>
      </c>
      <c r="E223" s="3">
        <v>2</v>
      </c>
      <c r="F223" s="3">
        <v>208</v>
      </c>
      <c r="G223" s="6" t="s">
        <v>375</v>
      </c>
      <c r="H223" s="3" t="s">
        <v>376</v>
      </c>
      <c r="I223" s="6" t="s">
        <v>111</v>
      </c>
      <c r="J223" s="3">
        <v>16</v>
      </c>
      <c r="K223" s="23">
        <v>9</v>
      </c>
      <c r="L223" s="3">
        <v>25.38</v>
      </c>
      <c r="M223" s="3">
        <v>7</v>
      </c>
      <c r="N223" s="3">
        <v>3</v>
      </c>
      <c r="O223" s="3"/>
      <c r="P223" s="3"/>
      <c r="Q223" s="3"/>
      <c r="R223" s="3" t="s">
        <v>417</v>
      </c>
      <c r="S223" s="3" t="s">
        <v>71</v>
      </c>
      <c r="T223" s="3">
        <v>0.75</v>
      </c>
      <c r="U223" s="3">
        <v>15</v>
      </c>
      <c r="V223" s="3">
        <v>20</v>
      </c>
      <c r="W223" s="3">
        <v>120</v>
      </c>
      <c r="X223" s="3" t="s">
        <v>427</v>
      </c>
      <c r="Y223" s="3"/>
    </row>
    <row r="224" spans="1:25" ht="15" customHeight="1" x14ac:dyDescent="0.3">
      <c r="A224" s="27">
        <v>45854</v>
      </c>
      <c r="B224" s="25">
        <v>30</v>
      </c>
      <c r="C224" s="3" t="s">
        <v>38</v>
      </c>
      <c r="D224" s="3" t="s">
        <v>355</v>
      </c>
      <c r="E224" s="3">
        <v>2</v>
      </c>
      <c r="F224" s="3">
        <v>209</v>
      </c>
      <c r="G224" s="6" t="s">
        <v>377</v>
      </c>
      <c r="H224" s="3" t="s">
        <v>378</v>
      </c>
      <c r="I224" s="6" t="s">
        <v>111</v>
      </c>
      <c r="J224" s="3">
        <v>8</v>
      </c>
      <c r="K224" s="23">
        <v>7</v>
      </c>
      <c r="L224" s="3">
        <v>29.5</v>
      </c>
      <c r="M224" s="3">
        <v>13</v>
      </c>
      <c r="N224" s="3">
        <v>1.3</v>
      </c>
      <c r="O224" s="3"/>
      <c r="P224" s="3"/>
      <c r="Q224" s="3"/>
      <c r="R224" s="3" t="s">
        <v>446</v>
      </c>
      <c r="S224" s="3" t="s">
        <v>449</v>
      </c>
      <c r="T224" s="3">
        <v>0.5</v>
      </c>
      <c r="U224" s="3">
        <v>30</v>
      </c>
      <c r="V224" s="3">
        <v>40</v>
      </c>
      <c r="W224" s="3">
        <v>168</v>
      </c>
      <c r="X224" s="3" t="s">
        <v>456</v>
      </c>
      <c r="Y224" s="3"/>
    </row>
    <row r="225" spans="1:25" ht="15" customHeight="1" x14ac:dyDescent="0.3">
      <c r="A225" s="27">
        <v>45854</v>
      </c>
      <c r="B225" s="25">
        <v>30</v>
      </c>
      <c r="C225" s="3" t="s">
        <v>38</v>
      </c>
      <c r="D225" s="3" t="s">
        <v>355</v>
      </c>
      <c r="E225" s="3">
        <v>2</v>
      </c>
      <c r="F225" s="3">
        <v>210</v>
      </c>
      <c r="G225" s="6" t="s">
        <v>412</v>
      </c>
      <c r="H225" s="3" t="s">
        <v>413</v>
      </c>
      <c r="I225" s="6" t="s">
        <v>111</v>
      </c>
      <c r="J225" s="3">
        <v>4</v>
      </c>
      <c r="K225" s="3">
        <v>4</v>
      </c>
      <c r="L225" s="3">
        <v>22.2</v>
      </c>
      <c r="M225" s="3">
        <v>8</v>
      </c>
      <c r="N225" s="3">
        <v>4</v>
      </c>
      <c r="O225" s="3"/>
      <c r="P225" s="3"/>
      <c r="Q225" s="3"/>
      <c r="R225" s="3" t="s">
        <v>447</v>
      </c>
      <c r="S225" s="3" t="s">
        <v>450</v>
      </c>
      <c r="T225" s="3">
        <v>1</v>
      </c>
      <c r="U225" s="3">
        <v>20</v>
      </c>
      <c r="V225" s="3">
        <v>30</v>
      </c>
      <c r="W225" s="3">
        <v>100</v>
      </c>
      <c r="X225" s="3" t="s">
        <v>428</v>
      </c>
      <c r="Y225" s="3" t="s">
        <v>462</v>
      </c>
    </row>
    <row r="226" spans="1:25" ht="15" customHeight="1" x14ac:dyDescent="0.3">
      <c r="A226" s="27">
        <v>45854</v>
      </c>
      <c r="B226" s="25">
        <v>30</v>
      </c>
      <c r="C226" s="3" t="s">
        <v>38</v>
      </c>
      <c r="D226" s="3" t="s">
        <v>355</v>
      </c>
      <c r="E226" s="3">
        <v>2</v>
      </c>
      <c r="F226" s="3">
        <v>401</v>
      </c>
      <c r="G226" s="6" t="s">
        <v>280</v>
      </c>
      <c r="H226" s="3" t="s">
        <v>281</v>
      </c>
      <c r="I226" s="6" t="s">
        <v>49</v>
      </c>
      <c r="J226" s="3">
        <v>1</v>
      </c>
      <c r="K226" s="3">
        <v>1</v>
      </c>
      <c r="L226" s="3">
        <v>10.77</v>
      </c>
      <c r="M226" s="3"/>
      <c r="N226" s="3"/>
      <c r="O226" s="3">
        <v>3</v>
      </c>
      <c r="P226" s="3"/>
      <c r="Q226" s="3"/>
      <c r="R226" s="3"/>
      <c r="S226" s="3"/>
      <c r="T226" s="3"/>
      <c r="U226" s="3"/>
      <c r="V226" s="3"/>
      <c r="W226" s="3"/>
      <c r="X226" s="3" t="s">
        <v>395</v>
      </c>
      <c r="Y226" s="6"/>
    </row>
    <row r="227" spans="1:25" ht="15" customHeight="1" x14ac:dyDescent="0.3">
      <c r="A227" s="27">
        <v>45854</v>
      </c>
      <c r="B227" s="25">
        <v>30</v>
      </c>
      <c r="C227" s="3" t="s">
        <v>38</v>
      </c>
      <c r="D227" s="3" t="s">
        <v>355</v>
      </c>
      <c r="E227" s="3">
        <v>2</v>
      </c>
      <c r="F227" s="3">
        <v>301</v>
      </c>
      <c r="G227" s="6" t="s">
        <v>30</v>
      </c>
      <c r="H227" s="3" t="s">
        <v>194</v>
      </c>
      <c r="I227" s="6" t="s">
        <v>5</v>
      </c>
      <c r="J227" s="3">
        <v>8</v>
      </c>
      <c r="K227" s="23">
        <v>5</v>
      </c>
      <c r="L227" s="3">
        <v>29.9</v>
      </c>
      <c r="M227" s="3">
        <v>9</v>
      </c>
      <c r="N227" s="3">
        <v>5.5</v>
      </c>
      <c r="O227" s="3"/>
      <c r="P227" s="3"/>
      <c r="Q227" s="3"/>
      <c r="R227" s="3" t="s">
        <v>128</v>
      </c>
      <c r="S227" s="3" t="s">
        <v>133</v>
      </c>
      <c r="T227" s="3">
        <v>2</v>
      </c>
      <c r="U227" s="3">
        <v>35</v>
      </c>
      <c r="V227" s="3">
        <v>45</v>
      </c>
      <c r="W227" s="3">
        <v>130</v>
      </c>
      <c r="X227" s="3" t="s">
        <v>457</v>
      </c>
      <c r="Y227" s="3" t="s">
        <v>402</v>
      </c>
    </row>
    <row r="228" spans="1:25" ht="15" customHeight="1" x14ac:dyDescent="0.3">
      <c r="A228" s="27">
        <v>45854</v>
      </c>
      <c r="B228" s="25">
        <v>30</v>
      </c>
      <c r="C228" s="3" t="s">
        <v>38</v>
      </c>
      <c r="D228" s="3" t="s">
        <v>355</v>
      </c>
      <c r="E228" s="3">
        <v>2</v>
      </c>
      <c r="F228" s="3">
        <v>302</v>
      </c>
      <c r="G228" s="6" t="s">
        <v>31</v>
      </c>
      <c r="H228" s="3" t="s">
        <v>195</v>
      </c>
      <c r="I228" s="6" t="s">
        <v>49</v>
      </c>
      <c r="J228" s="3">
        <v>12</v>
      </c>
      <c r="K228" s="23">
        <v>9</v>
      </c>
      <c r="L228" s="3">
        <v>60.92</v>
      </c>
      <c r="M228" s="3">
        <v>17</v>
      </c>
      <c r="N228" s="3">
        <v>13</v>
      </c>
      <c r="O228" s="3"/>
      <c r="P228" s="3"/>
      <c r="Q228" s="3"/>
      <c r="R228" s="3" t="s">
        <v>201</v>
      </c>
      <c r="S228" s="3" t="s">
        <v>422</v>
      </c>
      <c r="T228" s="3">
        <v>5.5</v>
      </c>
      <c r="U228" s="3">
        <v>35</v>
      </c>
      <c r="V228" s="3">
        <v>65</v>
      </c>
      <c r="W228" s="3">
        <v>150</v>
      </c>
      <c r="X228" s="3" t="s">
        <v>458</v>
      </c>
      <c r="Y228" s="6" t="s">
        <v>463</v>
      </c>
    </row>
    <row r="229" spans="1:25" ht="15" customHeight="1" x14ac:dyDescent="0.3">
      <c r="A229" s="27">
        <v>45854</v>
      </c>
      <c r="B229" s="25">
        <v>30</v>
      </c>
      <c r="C229" s="3" t="s">
        <v>38</v>
      </c>
      <c r="D229" s="3" t="s">
        <v>355</v>
      </c>
      <c r="E229" s="3">
        <v>2</v>
      </c>
      <c r="F229" s="3">
        <v>175</v>
      </c>
      <c r="G229" s="6" t="s">
        <v>310</v>
      </c>
      <c r="H229" s="3" t="s">
        <v>379</v>
      </c>
      <c r="I229" s="6" t="s">
        <v>49</v>
      </c>
      <c r="J229" s="3">
        <v>3</v>
      </c>
      <c r="K229" s="3">
        <v>3</v>
      </c>
      <c r="L229" s="3">
        <v>18.07</v>
      </c>
      <c r="M229" s="3">
        <v>3.9</v>
      </c>
      <c r="N229" s="3">
        <v>9.9</v>
      </c>
      <c r="O229" s="3">
        <v>5.6</v>
      </c>
      <c r="P229" s="3" t="s">
        <v>443</v>
      </c>
      <c r="Q229" s="3">
        <v>175</v>
      </c>
      <c r="R229" s="3"/>
      <c r="S229" s="3"/>
      <c r="T229" s="3"/>
      <c r="U229" s="3"/>
      <c r="V229" s="3"/>
      <c r="W229" s="3"/>
      <c r="X229" s="3" t="s">
        <v>79</v>
      </c>
      <c r="Y229" s="3" t="s">
        <v>80</v>
      </c>
    </row>
    <row r="230" spans="1:25" ht="15" customHeight="1" x14ac:dyDescent="0.3">
      <c r="A230" s="27">
        <v>45854</v>
      </c>
      <c r="B230" s="25">
        <v>30</v>
      </c>
      <c r="C230" s="3" t="s">
        <v>38</v>
      </c>
      <c r="D230" s="3" t="s">
        <v>355</v>
      </c>
      <c r="E230" s="3">
        <v>2</v>
      </c>
      <c r="F230" s="3">
        <v>204</v>
      </c>
      <c r="G230" s="6" t="s">
        <v>439</v>
      </c>
      <c r="H230" s="3" t="s">
        <v>440</v>
      </c>
      <c r="I230" s="6" t="s">
        <v>111</v>
      </c>
      <c r="J230" s="3">
        <v>4</v>
      </c>
      <c r="K230" s="23">
        <v>3</v>
      </c>
      <c r="L230" s="3">
        <v>20.9</v>
      </c>
      <c r="M230" s="3">
        <v>20.9</v>
      </c>
      <c r="N230" s="3">
        <v>3</v>
      </c>
      <c r="O230" s="3"/>
      <c r="P230" s="3"/>
      <c r="Q230" s="3"/>
      <c r="R230" s="3" t="s">
        <v>448</v>
      </c>
      <c r="S230" s="3" t="s">
        <v>451</v>
      </c>
      <c r="T230" s="3">
        <v>0.8</v>
      </c>
      <c r="U230" s="3">
        <v>15</v>
      </c>
      <c r="V230" s="3">
        <v>20</v>
      </c>
      <c r="W230" s="3">
        <v>135</v>
      </c>
      <c r="X230" s="3" t="s">
        <v>459</v>
      </c>
      <c r="Y230" s="3" t="s">
        <v>464</v>
      </c>
    </row>
    <row r="231" spans="1:25" ht="15" customHeight="1" x14ac:dyDescent="0.3">
      <c r="A231" s="5">
        <v>45855</v>
      </c>
      <c r="B231" s="25">
        <v>31</v>
      </c>
      <c r="C231" s="3" t="s">
        <v>38</v>
      </c>
      <c r="D231" s="3" t="s">
        <v>355</v>
      </c>
      <c r="E231" s="3">
        <v>2</v>
      </c>
      <c r="F231" s="3">
        <v>103</v>
      </c>
      <c r="G231" s="6" t="s">
        <v>163</v>
      </c>
      <c r="H231" s="3" t="s">
        <v>168</v>
      </c>
      <c r="I231" s="6" t="s">
        <v>5</v>
      </c>
      <c r="J231" s="3">
        <v>5</v>
      </c>
      <c r="K231" s="3">
        <v>5</v>
      </c>
      <c r="L231" s="3">
        <v>15.04</v>
      </c>
      <c r="M231" s="3">
        <v>3.8</v>
      </c>
      <c r="N231" s="3">
        <v>7</v>
      </c>
      <c r="O231" s="3">
        <v>5.7</v>
      </c>
      <c r="P231" s="3">
        <v>35</v>
      </c>
      <c r="Q231" s="3">
        <v>170</v>
      </c>
      <c r="R231" s="3"/>
      <c r="S231" s="3"/>
      <c r="T231" s="3"/>
      <c r="U231" s="3"/>
      <c r="V231" s="3"/>
      <c r="W231" s="3"/>
      <c r="X231" s="3" t="s">
        <v>79</v>
      </c>
      <c r="Y231" s="3" t="s">
        <v>254</v>
      </c>
    </row>
    <row r="232" spans="1:25" ht="15" customHeight="1" x14ac:dyDescent="0.3">
      <c r="A232" s="5">
        <v>45855</v>
      </c>
      <c r="B232" s="25">
        <v>31</v>
      </c>
      <c r="C232" s="3" t="s">
        <v>38</v>
      </c>
      <c r="D232" s="3" t="s">
        <v>355</v>
      </c>
      <c r="E232" s="3">
        <v>2</v>
      </c>
      <c r="F232" s="3">
        <v>104</v>
      </c>
      <c r="G232" s="6" t="s">
        <v>403</v>
      </c>
      <c r="H232" s="3" t="s">
        <v>404</v>
      </c>
      <c r="I232" s="6" t="s">
        <v>5</v>
      </c>
      <c r="J232" s="3">
        <v>9</v>
      </c>
      <c r="K232" s="3">
        <v>9</v>
      </c>
      <c r="L232" s="3">
        <v>14.51</v>
      </c>
      <c r="M232" s="3">
        <v>2.2999999999999998</v>
      </c>
      <c r="N232" s="3">
        <v>6.5</v>
      </c>
      <c r="O232" s="3">
        <v>5.5</v>
      </c>
      <c r="P232" s="3"/>
      <c r="Q232" s="3">
        <v>170</v>
      </c>
      <c r="R232" s="3"/>
      <c r="S232" s="3"/>
      <c r="T232" s="3"/>
      <c r="U232" s="3"/>
      <c r="V232" s="3"/>
      <c r="W232" s="3"/>
      <c r="X232" s="3" t="s">
        <v>288</v>
      </c>
      <c r="Y232" s="3" t="s">
        <v>84</v>
      </c>
    </row>
    <row r="233" spans="1:25" ht="15" customHeight="1" x14ac:dyDescent="0.3">
      <c r="A233" s="5">
        <v>45855</v>
      </c>
      <c r="B233" s="25">
        <v>31</v>
      </c>
      <c r="C233" s="3" t="s">
        <v>38</v>
      </c>
      <c r="D233" s="3" t="s">
        <v>355</v>
      </c>
      <c r="E233" s="3">
        <v>2</v>
      </c>
      <c r="F233" s="3">
        <v>161</v>
      </c>
      <c r="G233" s="6" t="s">
        <v>274</v>
      </c>
      <c r="H233" s="3" t="s">
        <v>358</v>
      </c>
      <c r="I233" s="6" t="s">
        <v>483</v>
      </c>
      <c r="J233" s="3">
        <v>2</v>
      </c>
      <c r="K233" s="3">
        <v>2</v>
      </c>
      <c r="L233" s="3">
        <v>24.01</v>
      </c>
      <c r="M233" s="3">
        <v>6</v>
      </c>
      <c r="N233" s="3">
        <v>10</v>
      </c>
      <c r="O233" s="3">
        <v>4</v>
      </c>
      <c r="P233" s="3">
        <v>34</v>
      </c>
      <c r="Q233" s="3">
        <v>170</v>
      </c>
      <c r="R233" s="3"/>
      <c r="S233" s="3"/>
      <c r="T233" s="3"/>
      <c r="U233" s="3"/>
      <c r="V233" s="3"/>
      <c r="W233" s="3"/>
      <c r="X233" s="3" t="s">
        <v>388</v>
      </c>
      <c r="Y233" s="3" t="s">
        <v>396</v>
      </c>
    </row>
    <row r="234" spans="1:25" ht="15" customHeight="1" x14ac:dyDescent="0.3">
      <c r="A234" s="5">
        <v>45855</v>
      </c>
      <c r="B234" s="25">
        <v>31</v>
      </c>
      <c r="C234" s="3" t="s">
        <v>38</v>
      </c>
      <c r="D234" s="3" t="s">
        <v>355</v>
      </c>
      <c r="E234" s="3">
        <v>2</v>
      </c>
      <c r="F234" s="3">
        <v>162</v>
      </c>
      <c r="G234" s="6" t="s">
        <v>465</v>
      </c>
      <c r="H234" s="3" t="s">
        <v>466</v>
      </c>
      <c r="I234" s="6" t="s">
        <v>483</v>
      </c>
      <c r="J234" s="3">
        <v>2</v>
      </c>
      <c r="K234" s="3">
        <v>2</v>
      </c>
      <c r="L234" s="3">
        <v>21</v>
      </c>
      <c r="M234" s="3">
        <v>6</v>
      </c>
      <c r="N234" s="3">
        <v>3.3</v>
      </c>
      <c r="O234" s="3">
        <v>2.5</v>
      </c>
      <c r="P234" s="3">
        <v>21</v>
      </c>
      <c r="Q234" s="3">
        <v>170</v>
      </c>
      <c r="R234" s="3"/>
      <c r="S234" s="3"/>
      <c r="T234" s="3"/>
      <c r="U234" s="3"/>
      <c r="V234" s="3"/>
      <c r="W234" s="3"/>
      <c r="X234" s="3" t="s">
        <v>494</v>
      </c>
      <c r="Y234" s="3" t="s">
        <v>505</v>
      </c>
    </row>
    <row r="235" spans="1:25" ht="15" customHeight="1" x14ac:dyDescent="0.3">
      <c r="A235" s="5">
        <v>45855</v>
      </c>
      <c r="B235" s="25">
        <v>31</v>
      </c>
      <c r="C235" s="3" t="s">
        <v>38</v>
      </c>
      <c r="D235" s="3" t="s">
        <v>355</v>
      </c>
      <c r="E235" s="3">
        <v>2</v>
      </c>
      <c r="F235" s="3">
        <v>163</v>
      </c>
      <c r="G235" s="6" t="s">
        <v>11</v>
      </c>
      <c r="H235" s="3" t="s">
        <v>305</v>
      </c>
      <c r="I235" s="6" t="s">
        <v>483</v>
      </c>
      <c r="J235" s="3">
        <v>2</v>
      </c>
      <c r="K235" s="3">
        <v>2</v>
      </c>
      <c r="L235" s="3">
        <v>24</v>
      </c>
      <c r="M235" s="3">
        <v>7</v>
      </c>
      <c r="N235" s="3">
        <v>10</v>
      </c>
      <c r="O235" s="3">
        <v>3.7</v>
      </c>
      <c r="P235" s="3">
        <v>31</v>
      </c>
      <c r="Q235" s="3">
        <v>175</v>
      </c>
      <c r="R235" s="3"/>
      <c r="S235" s="3"/>
      <c r="T235" s="3"/>
      <c r="U235" s="3"/>
      <c r="V235" s="3"/>
      <c r="W235" s="3"/>
      <c r="X235" s="3" t="s">
        <v>138</v>
      </c>
      <c r="Y235" s="3" t="s">
        <v>153</v>
      </c>
    </row>
    <row r="236" spans="1:25" ht="15" customHeight="1" x14ac:dyDescent="0.3">
      <c r="A236" s="5">
        <v>45855</v>
      </c>
      <c r="B236" s="25">
        <v>31</v>
      </c>
      <c r="C236" s="3" t="s">
        <v>38</v>
      </c>
      <c r="D236" s="3" t="s">
        <v>355</v>
      </c>
      <c r="E236" s="3">
        <v>2</v>
      </c>
      <c r="F236" s="3">
        <v>164</v>
      </c>
      <c r="G236" s="6" t="s">
        <v>467</v>
      </c>
      <c r="H236" s="3" t="s">
        <v>468</v>
      </c>
      <c r="I236" s="6" t="s">
        <v>483</v>
      </c>
      <c r="J236" s="3">
        <v>2</v>
      </c>
      <c r="K236" s="3">
        <v>2</v>
      </c>
      <c r="L236" s="3">
        <v>22.49</v>
      </c>
      <c r="M236" s="3">
        <v>6</v>
      </c>
      <c r="N236" s="3">
        <v>12</v>
      </c>
      <c r="O236" s="3">
        <v>3.6</v>
      </c>
      <c r="P236" s="3"/>
      <c r="Q236" s="3">
        <v>180</v>
      </c>
      <c r="R236" s="3"/>
      <c r="S236" s="3"/>
      <c r="T236" s="3"/>
      <c r="U236" s="3"/>
      <c r="V236" s="3"/>
      <c r="W236" s="3"/>
      <c r="X236" s="3" t="s">
        <v>84</v>
      </c>
      <c r="Y236" s="3" t="s">
        <v>153</v>
      </c>
    </row>
    <row r="237" spans="1:25" ht="15" customHeight="1" x14ac:dyDescent="0.3">
      <c r="A237" s="5">
        <v>45855</v>
      </c>
      <c r="B237" s="25">
        <v>31</v>
      </c>
      <c r="C237" s="3" t="s">
        <v>38</v>
      </c>
      <c r="D237" s="3" t="s">
        <v>355</v>
      </c>
      <c r="E237" s="3">
        <v>2</v>
      </c>
      <c r="F237" s="3">
        <v>181</v>
      </c>
      <c r="G237" s="6" t="s">
        <v>479</v>
      </c>
      <c r="H237" s="3" t="s">
        <v>480</v>
      </c>
      <c r="I237" s="6" t="s">
        <v>483</v>
      </c>
      <c r="J237" s="3">
        <v>4</v>
      </c>
      <c r="K237" s="3">
        <v>4</v>
      </c>
      <c r="L237" s="3">
        <v>14</v>
      </c>
      <c r="M237" s="3">
        <v>3.75</v>
      </c>
      <c r="N237" s="3">
        <v>6</v>
      </c>
      <c r="O237" s="3">
        <v>2.6</v>
      </c>
      <c r="P237" s="3"/>
      <c r="Q237" s="3">
        <v>175</v>
      </c>
      <c r="R237" s="3"/>
      <c r="S237" s="3"/>
      <c r="T237" s="3"/>
      <c r="U237" s="3"/>
      <c r="V237" s="3"/>
      <c r="W237" s="3"/>
      <c r="X237" s="3" t="s">
        <v>388</v>
      </c>
      <c r="Y237" s="3" t="s">
        <v>396</v>
      </c>
    </row>
    <row r="238" spans="1:25" ht="15" customHeight="1" x14ac:dyDescent="0.3">
      <c r="A238" s="5">
        <v>45855</v>
      </c>
      <c r="B238" s="25">
        <v>31</v>
      </c>
      <c r="C238" s="3" t="s">
        <v>38</v>
      </c>
      <c r="D238" s="3" t="s">
        <v>355</v>
      </c>
      <c r="E238" s="3">
        <v>2</v>
      </c>
      <c r="F238" s="3">
        <v>182</v>
      </c>
      <c r="G238" s="6" t="s">
        <v>469</v>
      </c>
      <c r="H238" s="3" t="s">
        <v>470</v>
      </c>
      <c r="I238" s="6" t="s">
        <v>483</v>
      </c>
      <c r="J238" s="3">
        <v>4</v>
      </c>
      <c r="K238" s="3">
        <v>4</v>
      </c>
      <c r="L238" s="3">
        <v>14</v>
      </c>
      <c r="M238" s="3">
        <v>3.5</v>
      </c>
      <c r="N238" s="3">
        <v>6</v>
      </c>
      <c r="O238" s="3">
        <v>3</v>
      </c>
      <c r="P238" s="3"/>
      <c r="Q238" s="3">
        <v>170</v>
      </c>
      <c r="R238" s="3"/>
      <c r="S238" s="3"/>
      <c r="T238" s="3"/>
      <c r="U238" s="3"/>
      <c r="V238" s="3"/>
      <c r="W238" s="3"/>
      <c r="X238" s="3" t="s">
        <v>82</v>
      </c>
      <c r="Y238" s="3" t="s">
        <v>153</v>
      </c>
    </row>
    <row r="239" spans="1:25" ht="15" customHeight="1" x14ac:dyDescent="0.3">
      <c r="A239" s="5">
        <v>45855</v>
      </c>
      <c r="B239" s="25">
        <v>31</v>
      </c>
      <c r="C239" s="3" t="s">
        <v>38</v>
      </c>
      <c r="D239" s="3" t="s">
        <v>355</v>
      </c>
      <c r="E239" s="3">
        <v>2</v>
      </c>
      <c r="F239" s="3">
        <v>172</v>
      </c>
      <c r="G239" s="6" t="s">
        <v>472</v>
      </c>
      <c r="H239" s="3" t="s">
        <v>473</v>
      </c>
      <c r="I239" s="6" t="s">
        <v>483</v>
      </c>
      <c r="J239" s="3">
        <v>4</v>
      </c>
      <c r="K239" s="3">
        <v>4</v>
      </c>
      <c r="L239" s="3">
        <v>17.75</v>
      </c>
      <c r="M239" s="3">
        <v>1</v>
      </c>
      <c r="N239" s="3">
        <v>12</v>
      </c>
      <c r="O239" s="3">
        <v>8</v>
      </c>
      <c r="P239" s="3" t="s">
        <v>484</v>
      </c>
      <c r="Q239" s="3">
        <v>170</v>
      </c>
      <c r="R239" s="3"/>
      <c r="S239" s="3"/>
      <c r="T239" s="3"/>
      <c r="U239" s="3"/>
      <c r="V239" s="3"/>
      <c r="W239" s="3"/>
      <c r="X239" s="3" t="s">
        <v>496</v>
      </c>
      <c r="Y239" s="3" t="s">
        <v>87</v>
      </c>
    </row>
    <row r="240" spans="1:25" ht="15" customHeight="1" x14ac:dyDescent="0.3">
      <c r="A240" s="5">
        <v>45855</v>
      </c>
      <c r="B240" s="25">
        <v>31</v>
      </c>
      <c r="C240" s="3" t="s">
        <v>38</v>
      </c>
      <c r="D240" s="3" t="s">
        <v>355</v>
      </c>
      <c r="E240" s="3">
        <v>2</v>
      </c>
      <c r="F240" s="3">
        <v>173</v>
      </c>
      <c r="G240" s="6" t="s">
        <v>437</v>
      </c>
      <c r="H240" s="3" t="s">
        <v>438</v>
      </c>
      <c r="I240" s="6" t="s">
        <v>483</v>
      </c>
      <c r="J240" s="3">
        <v>5</v>
      </c>
      <c r="K240" s="3">
        <v>5</v>
      </c>
      <c r="L240" s="3">
        <v>15.19</v>
      </c>
      <c r="M240" s="3">
        <v>1</v>
      </c>
      <c r="N240" s="3">
        <v>9.9</v>
      </c>
      <c r="O240" s="3">
        <v>6</v>
      </c>
      <c r="P240" s="3" t="s">
        <v>441</v>
      </c>
      <c r="Q240" s="3">
        <v>170</v>
      </c>
      <c r="R240" s="3"/>
      <c r="S240" s="3"/>
      <c r="T240" s="3"/>
      <c r="U240" s="3"/>
      <c r="V240" s="3"/>
      <c r="W240" s="3"/>
      <c r="X240" s="3" t="s">
        <v>497</v>
      </c>
      <c r="Y240" s="3" t="s">
        <v>87</v>
      </c>
    </row>
    <row r="241" spans="1:25" ht="15" customHeight="1" x14ac:dyDescent="0.3">
      <c r="A241" s="5">
        <v>45855</v>
      </c>
      <c r="B241" s="25">
        <v>31</v>
      </c>
      <c r="C241" s="3" t="s">
        <v>38</v>
      </c>
      <c r="D241" s="3" t="s">
        <v>355</v>
      </c>
      <c r="E241" s="3">
        <v>2</v>
      </c>
      <c r="F241" s="3">
        <v>174</v>
      </c>
      <c r="G241" s="6" t="s">
        <v>474</v>
      </c>
      <c r="H241" s="3" t="s">
        <v>475</v>
      </c>
      <c r="I241" s="6" t="s">
        <v>483</v>
      </c>
      <c r="J241" s="3">
        <v>5</v>
      </c>
      <c r="K241" s="3">
        <v>5</v>
      </c>
      <c r="L241" s="3">
        <v>13.65</v>
      </c>
      <c r="M241" s="3">
        <v>0.6</v>
      </c>
      <c r="N241" s="3">
        <v>8.5</v>
      </c>
      <c r="O241" s="3">
        <v>5.5</v>
      </c>
      <c r="P241" s="3" t="s">
        <v>485</v>
      </c>
      <c r="Q241" s="3">
        <v>170</v>
      </c>
      <c r="R241" s="3"/>
      <c r="S241" s="3"/>
      <c r="T241" s="3"/>
      <c r="U241" s="3"/>
      <c r="V241" s="3"/>
      <c r="W241" s="3"/>
      <c r="X241" s="3" t="s">
        <v>498</v>
      </c>
      <c r="Y241" s="3" t="s">
        <v>80</v>
      </c>
    </row>
    <row r="242" spans="1:25" ht="15" customHeight="1" x14ac:dyDescent="0.3">
      <c r="A242" s="5">
        <v>45855</v>
      </c>
      <c r="B242" s="25">
        <v>31</v>
      </c>
      <c r="C242" s="3" t="s">
        <v>38</v>
      </c>
      <c r="D242" s="3" t="s">
        <v>355</v>
      </c>
      <c r="E242" s="3">
        <v>2</v>
      </c>
      <c r="F242" s="3">
        <v>175</v>
      </c>
      <c r="G242" s="6" t="s">
        <v>310</v>
      </c>
      <c r="H242" s="3" t="s">
        <v>478</v>
      </c>
      <c r="I242" s="6" t="s">
        <v>483</v>
      </c>
      <c r="J242" s="3">
        <v>3</v>
      </c>
      <c r="K242" s="3">
        <v>3</v>
      </c>
      <c r="L242" s="3">
        <v>17.989999999999998</v>
      </c>
      <c r="M242" s="3">
        <v>3.9</v>
      </c>
      <c r="N242" s="3">
        <v>9.9</v>
      </c>
      <c r="O242" s="3">
        <v>5.6</v>
      </c>
      <c r="P242" s="3" t="s">
        <v>241</v>
      </c>
      <c r="Q242" s="3">
        <v>175</v>
      </c>
      <c r="R242" s="3"/>
      <c r="S242" s="3"/>
      <c r="T242" s="3"/>
      <c r="U242" s="3"/>
      <c r="V242" s="3"/>
      <c r="W242" s="3"/>
      <c r="X242" s="3" t="s">
        <v>79</v>
      </c>
      <c r="Y242" s="3" t="s">
        <v>80</v>
      </c>
    </row>
    <row r="243" spans="1:25" ht="15" customHeight="1" x14ac:dyDescent="0.3">
      <c r="A243" s="5">
        <v>45855</v>
      </c>
      <c r="B243" s="25">
        <v>31</v>
      </c>
      <c r="C243" s="3" t="s">
        <v>38</v>
      </c>
      <c r="D243" s="3" t="s">
        <v>355</v>
      </c>
      <c r="E243" s="3">
        <v>2</v>
      </c>
      <c r="F243" s="3">
        <v>176</v>
      </c>
      <c r="G243" s="6" t="s">
        <v>17</v>
      </c>
      <c r="H243" s="3" t="s">
        <v>183</v>
      </c>
      <c r="I243" s="6" t="s">
        <v>483</v>
      </c>
      <c r="J243" s="3">
        <v>5</v>
      </c>
      <c r="K243" s="3">
        <v>5</v>
      </c>
      <c r="L243" s="3">
        <v>17.57</v>
      </c>
      <c r="M243" s="3">
        <v>2</v>
      </c>
      <c r="N243" s="3">
        <v>11.5</v>
      </c>
      <c r="O243" s="3">
        <v>8</v>
      </c>
      <c r="P243" s="3" t="s">
        <v>282</v>
      </c>
      <c r="Q243" s="3">
        <v>175</v>
      </c>
      <c r="R243" s="3"/>
      <c r="S243" s="3"/>
      <c r="T243" s="3"/>
      <c r="U243" s="3"/>
      <c r="V243" s="3"/>
      <c r="W243" s="3"/>
      <c r="X243" s="3" t="s">
        <v>253</v>
      </c>
      <c r="Y243" s="3" t="s">
        <v>80</v>
      </c>
    </row>
    <row r="244" spans="1:25" ht="15" customHeight="1" x14ac:dyDescent="0.3">
      <c r="A244" s="5">
        <v>45855</v>
      </c>
      <c r="B244" s="25">
        <v>31</v>
      </c>
      <c r="C244" s="3" t="s">
        <v>38</v>
      </c>
      <c r="D244" s="3" t="s">
        <v>355</v>
      </c>
      <c r="E244" s="3">
        <v>2</v>
      </c>
      <c r="F244" s="3">
        <v>177</v>
      </c>
      <c r="G244" s="6" t="s">
        <v>18</v>
      </c>
      <c r="H244" s="3" t="s">
        <v>184</v>
      </c>
      <c r="I244" s="6" t="s">
        <v>483</v>
      </c>
      <c r="J244" s="3">
        <v>3</v>
      </c>
      <c r="K244" s="3">
        <v>3</v>
      </c>
      <c r="L244" s="3">
        <v>13.54</v>
      </c>
      <c r="M244" s="3">
        <v>4</v>
      </c>
      <c r="N244" s="3">
        <v>6</v>
      </c>
      <c r="O244" s="3">
        <v>4.2</v>
      </c>
      <c r="P244" s="3"/>
      <c r="Q244" s="3">
        <v>170</v>
      </c>
      <c r="R244" s="3"/>
      <c r="S244" s="3"/>
      <c r="T244" s="3"/>
      <c r="U244" s="3"/>
      <c r="V244" s="3"/>
      <c r="W244" s="3"/>
      <c r="X244" s="3" t="s">
        <v>254</v>
      </c>
      <c r="Y244" s="3" t="s">
        <v>89</v>
      </c>
    </row>
    <row r="245" spans="1:25" ht="15" customHeight="1" x14ac:dyDescent="0.3">
      <c r="A245" s="5">
        <v>45855</v>
      </c>
      <c r="B245" s="25">
        <v>31</v>
      </c>
      <c r="C245" s="3" t="s">
        <v>38</v>
      </c>
      <c r="D245" s="3" t="s">
        <v>355</v>
      </c>
      <c r="E245" s="3">
        <v>2</v>
      </c>
      <c r="F245" s="3">
        <v>131</v>
      </c>
      <c r="G245" s="6" t="s">
        <v>369</v>
      </c>
      <c r="H245" s="3" t="s">
        <v>370</v>
      </c>
      <c r="I245" s="6" t="s">
        <v>483</v>
      </c>
      <c r="J245" s="3">
        <v>3</v>
      </c>
      <c r="K245" s="23">
        <v>2</v>
      </c>
      <c r="L245" s="3">
        <v>17.89</v>
      </c>
      <c r="M245" s="3">
        <v>3.5</v>
      </c>
      <c r="N245" s="3">
        <v>9.6999999999999993</v>
      </c>
      <c r="O245" s="3">
        <v>5</v>
      </c>
      <c r="P245" s="3"/>
      <c r="Q245" s="3">
        <v>170</v>
      </c>
      <c r="R245" s="3"/>
      <c r="S245" s="3"/>
      <c r="T245" s="3"/>
      <c r="U245" s="3"/>
      <c r="V245" s="3"/>
      <c r="W245" s="3"/>
      <c r="X245" s="3" t="s">
        <v>289</v>
      </c>
      <c r="Y245" s="3" t="s">
        <v>154</v>
      </c>
    </row>
    <row r="246" spans="1:25" ht="15" customHeight="1" x14ac:dyDescent="0.3">
      <c r="A246" s="5">
        <v>45855</v>
      </c>
      <c r="B246" s="25">
        <v>31</v>
      </c>
      <c r="C246" s="3" t="s">
        <v>38</v>
      </c>
      <c r="D246" s="3" t="s">
        <v>355</v>
      </c>
      <c r="E246" s="3">
        <v>2</v>
      </c>
      <c r="F246" s="3">
        <v>132</v>
      </c>
      <c r="G246" s="6" t="s">
        <v>481</v>
      </c>
      <c r="H246" s="3" t="s">
        <v>482</v>
      </c>
      <c r="I246" s="6" t="s">
        <v>483</v>
      </c>
      <c r="J246" s="3">
        <v>3</v>
      </c>
      <c r="K246" s="3">
        <v>3</v>
      </c>
      <c r="L246" s="3">
        <v>20.49</v>
      </c>
      <c r="M246" s="3">
        <v>4.8</v>
      </c>
      <c r="N246" s="3">
        <v>10.5</v>
      </c>
      <c r="O246" s="3">
        <v>6.5</v>
      </c>
      <c r="P246" s="3"/>
      <c r="Q246" s="3">
        <v>170</v>
      </c>
      <c r="R246" s="3"/>
      <c r="S246" s="3"/>
      <c r="T246" s="3"/>
      <c r="U246" s="3"/>
      <c r="V246" s="3"/>
      <c r="W246" s="3"/>
      <c r="X246" s="3" t="s">
        <v>504</v>
      </c>
      <c r="Y246" s="3" t="s">
        <v>509</v>
      </c>
    </row>
    <row r="247" spans="1:25" ht="15" customHeight="1" x14ac:dyDescent="0.3">
      <c r="A247" s="5">
        <v>45855</v>
      </c>
      <c r="B247" s="25">
        <v>31</v>
      </c>
      <c r="C247" s="3" t="s">
        <v>38</v>
      </c>
      <c r="D247" s="3" t="s">
        <v>355</v>
      </c>
      <c r="E247" s="3">
        <v>2</v>
      </c>
      <c r="F247" s="3">
        <v>206</v>
      </c>
      <c r="G247" s="6" t="s">
        <v>24</v>
      </c>
      <c r="H247" s="3" t="s">
        <v>411</v>
      </c>
      <c r="I247" s="6" t="s">
        <v>111</v>
      </c>
      <c r="J247" s="3">
        <v>12</v>
      </c>
      <c r="K247" s="23">
        <v>11</v>
      </c>
      <c r="L247" s="3">
        <v>27</v>
      </c>
      <c r="M247" s="3">
        <v>18</v>
      </c>
      <c r="N247" s="3">
        <v>1.2</v>
      </c>
      <c r="O247" s="3"/>
      <c r="P247" s="3"/>
      <c r="Q247" s="3"/>
      <c r="R247" s="3" t="s">
        <v>486</v>
      </c>
      <c r="S247" s="3" t="s">
        <v>489</v>
      </c>
      <c r="T247" s="3">
        <v>0.5</v>
      </c>
      <c r="U247" s="3">
        <v>35</v>
      </c>
      <c r="V247" s="3">
        <v>40</v>
      </c>
      <c r="W247" s="3">
        <v>120</v>
      </c>
      <c r="X247" s="3" t="s">
        <v>499</v>
      </c>
      <c r="Y247" s="6" t="s">
        <v>506</v>
      </c>
    </row>
    <row r="248" spans="1:25" ht="15" customHeight="1" x14ac:dyDescent="0.3">
      <c r="A248" s="5">
        <v>45855</v>
      </c>
      <c r="B248" s="25">
        <v>31</v>
      </c>
      <c r="C248" s="3" t="s">
        <v>38</v>
      </c>
      <c r="D248" s="3" t="s">
        <v>355</v>
      </c>
      <c r="E248" s="3">
        <v>2</v>
      </c>
      <c r="F248" s="3">
        <v>207</v>
      </c>
      <c r="G248" s="6" t="s">
        <v>476</v>
      </c>
      <c r="H248" s="3" t="s">
        <v>477</v>
      </c>
      <c r="I248" s="6" t="s">
        <v>111</v>
      </c>
      <c r="J248" s="3">
        <v>12</v>
      </c>
      <c r="K248" s="23">
        <v>9</v>
      </c>
      <c r="L248" s="3">
        <v>30.7</v>
      </c>
      <c r="M248" s="3">
        <v>13</v>
      </c>
      <c r="N248" s="3">
        <v>3</v>
      </c>
      <c r="O248" s="3"/>
      <c r="P248" s="3"/>
      <c r="Q248" s="3"/>
      <c r="R248" s="3" t="s">
        <v>244</v>
      </c>
      <c r="S248" s="3" t="s">
        <v>490</v>
      </c>
      <c r="T248" s="3">
        <v>2.2000000000000002</v>
      </c>
      <c r="U248" s="3">
        <v>20</v>
      </c>
      <c r="V248" s="3">
        <v>30</v>
      </c>
      <c r="W248" s="3">
        <v>140</v>
      </c>
      <c r="X248" s="3" t="s">
        <v>500</v>
      </c>
      <c r="Y248" s="3" t="s">
        <v>507</v>
      </c>
    </row>
    <row r="249" spans="1:25" ht="15" customHeight="1" x14ac:dyDescent="0.3">
      <c r="A249" s="5">
        <v>45855</v>
      </c>
      <c r="B249" s="25">
        <v>31</v>
      </c>
      <c r="C249" s="3" t="s">
        <v>38</v>
      </c>
      <c r="D249" s="3" t="s">
        <v>355</v>
      </c>
      <c r="E249" s="3">
        <v>2</v>
      </c>
      <c r="F249" s="3">
        <v>208</v>
      </c>
      <c r="G249" s="6" t="s">
        <v>375</v>
      </c>
      <c r="H249" s="3" t="s">
        <v>376</v>
      </c>
      <c r="I249" s="6" t="s">
        <v>111</v>
      </c>
      <c r="J249" s="3">
        <v>16</v>
      </c>
      <c r="K249" s="23">
        <v>10</v>
      </c>
      <c r="L249" s="3">
        <v>21.6</v>
      </c>
      <c r="M249" s="3">
        <v>5</v>
      </c>
      <c r="N249" s="3">
        <v>3</v>
      </c>
      <c r="O249" s="3"/>
      <c r="P249" s="3"/>
      <c r="Q249" s="3"/>
      <c r="R249" s="3" t="s">
        <v>315</v>
      </c>
      <c r="S249" s="3" t="s">
        <v>491</v>
      </c>
      <c r="T249" s="3">
        <v>0.75</v>
      </c>
      <c r="U249" s="3">
        <v>15</v>
      </c>
      <c r="V249" s="3">
        <v>20</v>
      </c>
      <c r="W249" s="3">
        <v>120</v>
      </c>
      <c r="X249" s="3" t="s">
        <v>501</v>
      </c>
      <c r="Y249" s="3"/>
    </row>
    <row r="250" spans="1:25" ht="15" customHeight="1" x14ac:dyDescent="0.3">
      <c r="A250" s="5">
        <v>45855</v>
      </c>
      <c r="B250" s="25">
        <v>31</v>
      </c>
      <c r="C250" s="3" t="s">
        <v>38</v>
      </c>
      <c r="D250" s="3" t="s">
        <v>355</v>
      </c>
      <c r="E250" s="3">
        <v>2</v>
      </c>
      <c r="F250" s="3">
        <v>401</v>
      </c>
      <c r="G250" s="6" t="s">
        <v>280</v>
      </c>
      <c r="H250" s="3" t="s">
        <v>281</v>
      </c>
      <c r="I250" s="6" t="s">
        <v>483</v>
      </c>
      <c r="J250" s="3">
        <v>1</v>
      </c>
      <c r="K250" s="3">
        <v>1</v>
      </c>
      <c r="L250" s="3">
        <v>10.72</v>
      </c>
      <c r="M250" s="3"/>
      <c r="N250" s="3"/>
      <c r="O250" s="3">
        <v>3</v>
      </c>
      <c r="P250" s="3"/>
      <c r="Q250" s="3"/>
      <c r="R250" s="3"/>
      <c r="S250" s="3"/>
      <c r="T250" s="3"/>
      <c r="U250" s="3"/>
      <c r="V250" s="3"/>
      <c r="W250" s="3"/>
      <c r="X250" s="3" t="s">
        <v>395</v>
      </c>
      <c r="Y250" s="6"/>
    </row>
    <row r="251" spans="1:25" ht="15" customHeight="1" x14ac:dyDescent="0.3">
      <c r="A251" s="5">
        <v>45855</v>
      </c>
      <c r="B251" s="25">
        <v>31</v>
      </c>
      <c r="C251" s="3" t="s">
        <v>38</v>
      </c>
      <c r="D251" s="3" t="s">
        <v>355</v>
      </c>
      <c r="E251" s="3">
        <v>2</v>
      </c>
      <c r="F251" s="3">
        <v>404</v>
      </c>
      <c r="G251" s="6" t="s">
        <v>13</v>
      </c>
      <c r="H251" s="3" t="s">
        <v>471</v>
      </c>
      <c r="I251" s="6" t="s">
        <v>483</v>
      </c>
      <c r="J251" s="3">
        <v>2</v>
      </c>
      <c r="K251" s="3">
        <v>2</v>
      </c>
      <c r="L251" s="3">
        <v>8.8000000000000007</v>
      </c>
      <c r="M251" s="3"/>
      <c r="N251" s="3"/>
      <c r="O251" s="3">
        <v>4</v>
      </c>
      <c r="P251" s="3"/>
      <c r="Q251" s="3"/>
      <c r="R251" s="3"/>
      <c r="S251" s="3"/>
      <c r="T251" s="3"/>
      <c r="U251" s="3"/>
      <c r="V251" s="3"/>
      <c r="W251" s="3"/>
      <c r="X251" s="3" t="s">
        <v>495</v>
      </c>
      <c r="Y251" s="3"/>
    </row>
    <row r="252" spans="1:25" ht="15" customHeight="1" x14ac:dyDescent="0.3">
      <c r="A252" s="5">
        <v>45855</v>
      </c>
      <c r="B252" s="25">
        <v>31</v>
      </c>
      <c r="C252" s="3" t="s">
        <v>38</v>
      </c>
      <c r="D252" s="3" t="s">
        <v>355</v>
      </c>
      <c r="E252" s="3">
        <v>2</v>
      </c>
      <c r="F252" s="3">
        <v>301</v>
      </c>
      <c r="G252" s="6" t="s">
        <v>30</v>
      </c>
      <c r="H252" s="3" t="s">
        <v>194</v>
      </c>
      <c r="I252" s="6" t="s">
        <v>5</v>
      </c>
      <c r="J252" s="3">
        <v>8</v>
      </c>
      <c r="K252" s="23">
        <v>5</v>
      </c>
      <c r="L252" s="3">
        <v>29.9</v>
      </c>
      <c r="M252" s="3">
        <v>9</v>
      </c>
      <c r="N252" s="3">
        <v>5.5</v>
      </c>
      <c r="O252" s="3"/>
      <c r="P252" s="3"/>
      <c r="Q252" s="3"/>
      <c r="R252" s="3" t="s">
        <v>128</v>
      </c>
      <c r="S252" s="3" t="s">
        <v>133</v>
      </c>
      <c r="T252" s="3">
        <v>2</v>
      </c>
      <c r="U252" s="3">
        <v>35</v>
      </c>
      <c r="V252" s="3">
        <v>45</v>
      </c>
      <c r="W252" s="3">
        <v>130</v>
      </c>
      <c r="X252" s="3" t="s">
        <v>147</v>
      </c>
      <c r="Y252" s="3" t="s">
        <v>402</v>
      </c>
    </row>
    <row r="253" spans="1:25" ht="15" customHeight="1" x14ac:dyDescent="0.3">
      <c r="A253" s="5">
        <v>45855</v>
      </c>
      <c r="B253" s="25">
        <v>31</v>
      </c>
      <c r="C253" s="3" t="s">
        <v>38</v>
      </c>
      <c r="D253" s="3" t="s">
        <v>355</v>
      </c>
      <c r="E253" s="3">
        <v>2</v>
      </c>
      <c r="F253" s="3">
        <v>302</v>
      </c>
      <c r="G253" s="6" t="s">
        <v>31</v>
      </c>
      <c r="H253" s="3" t="s">
        <v>195</v>
      </c>
      <c r="I253" s="6" t="s">
        <v>483</v>
      </c>
      <c r="J253" s="3">
        <v>12</v>
      </c>
      <c r="K253" s="23">
        <v>9</v>
      </c>
      <c r="L253" s="3">
        <v>58.49</v>
      </c>
      <c r="M253" s="3">
        <v>16</v>
      </c>
      <c r="N253" s="3">
        <v>11</v>
      </c>
      <c r="O253" s="3"/>
      <c r="P253" s="3"/>
      <c r="Q253" s="3"/>
      <c r="R253" s="3" t="s">
        <v>487</v>
      </c>
      <c r="S253" s="3" t="s">
        <v>492</v>
      </c>
      <c r="T253" s="3">
        <v>6</v>
      </c>
      <c r="U253" s="3">
        <v>30</v>
      </c>
      <c r="V253" s="3">
        <v>65</v>
      </c>
      <c r="W253" s="3">
        <v>150</v>
      </c>
      <c r="X253" s="3" t="s">
        <v>502</v>
      </c>
      <c r="Y253" s="6" t="s">
        <v>434</v>
      </c>
    </row>
    <row r="254" spans="1:25" ht="15" customHeight="1" x14ac:dyDescent="0.3">
      <c r="A254" s="5">
        <v>45855</v>
      </c>
      <c r="B254" s="25">
        <v>31</v>
      </c>
      <c r="C254" s="3" t="s">
        <v>38</v>
      </c>
      <c r="D254" s="3" t="s">
        <v>355</v>
      </c>
      <c r="E254" s="3">
        <v>2</v>
      </c>
      <c r="F254" s="3">
        <v>303</v>
      </c>
      <c r="G254" s="6" t="s">
        <v>32</v>
      </c>
      <c r="H254" s="3" t="s">
        <v>238</v>
      </c>
      <c r="I254" s="6" t="s">
        <v>483</v>
      </c>
      <c r="J254" s="3">
        <v>12</v>
      </c>
      <c r="K254" s="23">
        <v>6</v>
      </c>
      <c r="L254" s="3">
        <v>35.5</v>
      </c>
      <c r="M254" s="3">
        <v>15</v>
      </c>
      <c r="N254" s="3">
        <v>7</v>
      </c>
      <c r="O254" s="3"/>
      <c r="P254" s="3"/>
      <c r="Q254" s="3"/>
      <c r="R254" s="3" t="s">
        <v>488</v>
      </c>
      <c r="S254" s="3" t="s">
        <v>493</v>
      </c>
      <c r="T254" s="3">
        <v>3</v>
      </c>
      <c r="U254" s="3">
        <v>20</v>
      </c>
      <c r="V254" s="3">
        <v>35</v>
      </c>
      <c r="W254" s="3">
        <v>140</v>
      </c>
      <c r="X254" s="3" t="s">
        <v>503</v>
      </c>
      <c r="Y254" s="3" t="s">
        <v>508</v>
      </c>
    </row>
    <row r="255" spans="1:25" ht="15" customHeight="1" x14ac:dyDescent="0.3">
      <c r="A255" s="27">
        <v>45856</v>
      </c>
      <c r="B255" s="25">
        <v>33</v>
      </c>
      <c r="C255" s="3" t="s">
        <v>38</v>
      </c>
      <c r="D255" s="3" t="s">
        <v>355</v>
      </c>
      <c r="E255" s="3">
        <v>2</v>
      </c>
      <c r="F255" s="3">
        <v>103</v>
      </c>
      <c r="G255" s="6" t="s">
        <v>163</v>
      </c>
      <c r="H255" s="3" t="s">
        <v>168</v>
      </c>
      <c r="I255" s="6" t="s">
        <v>5</v>
      </c>
      <c r="J255" s="3">
        <v>5</v>
      </c>
      <c r="K255" s="3">
        <v>5</v>
      </c>
      <c r="L255" s="3">
        <v>15.1</v>
      </c>
      <c r="M255" s="3">
        <v>3.8</v>
      </c>
      <c r="N255" s="3">
        <v>7</v>
      </c>
      <c r="O255" s="3">
        <v>5.7</v>
      </c>
      <c r="P255" s="3">
        <v>35</v>
      </c>
      <c r="Q255" s="3">
        <v>170</v>
      </c>
      <c r="R255" s="3"/>
      <c r="S255" s="3"/>
      <c r="T255" s="3"/>
      <c r="U255" s="3"/>
      <c r="V255" s="3"/>
      <c r="W255" s="3"/>
      <c r="X255" s="3" t="s">
        <v>79</v>
      </c>
      <c r="Y255" s="3" t="s">
        <v>254</v>
      </c>
    </row>
    <row r="256" spans="1:25" ht="15" customHeight="1" x14ac:dyDescent="0.3">
      <c r="A256" s="27">
        <v>45856</v>
      </c>
      <c r="B256" s="25">
        <v>33</v>
      </c>
      <c r="C256" s="3" t="s">
        <v>38</v>
      </c>
      <c r="D256" s="3" t="s">
        <v>355</v>
      </c>
      <c r="E256" s="3">
        <v>2</v>
      </c>
      <c r="F256" s="3">
        <v>161</v>
      </c>
      <c r="G256" s="6" t="s">
        <v>274</v>
      </c>
      <c r="H256" s="3" t="s">
        <v>358</v>
      </c>
      <c r="I256" s="6" t="s">
        <v>483</v>
      </c>
      <c r="J256" s="3">
        <v>2</v>
      </c>
      <c r="K256" s="3">
        <v>2</v>
      </c>
      <c r="L256" s="3">
        <v>24.01</v>
      </c>
      <c r="M256" s="3">
        <v>6</v>
      </c>
      <c r="N256" s="3">
        <v>9.9</v>
      </c>
      <c r="O256" s="3">
        <v>4</v>
      </c>
      <c r="P256" s="3">
        <v>33</v>
      </c>
      <c r="Q256" s="3">
        <v>170</v>
      </c>
      <c r="R256" s="3"/>
      <c r="S256" s="3"/>
      <c r="T256" s="3"/>
      <c r="U256" s="3"/>
      <c r="V256" s="3"/>
      <c r="W256" s="3"/>
      <c r="X256" s="3" t="s">
        <v>388</v>
      </c>
      <c r="Y256" s="3" t="s">
        <v>396</v>
      </c>
    </row>
    <row r="257" spans="1:25" ht="15" customHeight="1" x14ac:dyDescent="0.3">
      <c r="A257" s="27">
        <v>45856</v>
      </c>
      <c r="B257" s="25">
        <v>33</v>
      </c>
      <c r="C257" s="3" t="s">
        <v>38</v>
      </c>
      <c r="D257" s="3" t="s">
        <v>355</v>
      </c>
      <c r="E257" s="3">
        <v>2</v>
      </c>
      <c r="F257" s="3">
        <v>162</v>
      </c>
      <c r="G257" s="6" t="s">
        <v>465</v>
      </c>
      <c r="H257" s="3" t="s">
        <v>466</v>
      </c>
      <c r="I257" s="6" t="s">
        <v>483</v>
      </c>
      <c r="J257" s="3">
        <v>2</v>
      </c>
      <c r="K257" s="3">
        <v>2</v>
      </c>
      <c r="L257" s="3">
        <v>21</v>
      </c>
      <c r="M257" s="3">
        <v>3.3</v>
      </c>
      <c r="N257" s="3">
        <v>6</v>
      </c>
      <c r="O257" s="3">
        <v>2.5</v>
      </c>
      <c r="P257" s="3">
        <v>20</v>
      </c>
      <c r="Q257" s="3">
        <v>170</v>
      </c>
      <c r="R257" s="3"/>
      <c r="S257" s="3"/>
      <c r="T257" s="3"/>
      <c r="U257" s="3"/>
      <c r="V257" s="3"/>
      <c r="W257" s="3"/>
      <c r="X257" s="3" t="s">
        <v>527</v>
      </c>
      <c r="Y257" s="3" t="s">
        <v>505</v>
      </c>
    </row>
    <row r="258" spans="1:25" ht="15" customHeight="1" x14ac:dyDescent="0.3">
      <c r="A258" s="27">
        <v>45856</v>
      </c>
      <c r="B258" s="25">
        <v>33</v>
      </c>
      <c r="C258" s="3" t="s">
        <v>38</v>
      </c>
      <c r="D258" s="3" t="s">
        <v>355</v>
      </c>
      <c r="E258" s="3">
        <v>2</v>
      </c>
      <c r="F258" s="3">
        <v>163</v>
      </c>
      <c r="G258" s="6" t="s">
        <v>11</v>
      </c>
      <c r="H258" s="3" t="s">
        <v>305</v>
      </c>
      <c r="I258" s="6" t="s">
        <v>483</v>
      </c>
      <c r="J258" s="3">
        <v>2</v>
      </c>
      <c r="K258" s="3">
        <v>2</v>
      </c>
      <c r="L258" s="3">
        <v>24</v>
      </c>
      <c r="M258" s="3">
        <v>7</v>
      </c>
      <c r="N258" s="3">
        <v>10</v>
      </c>
      <c r="O258" s="3">
        <v>3.7</v>
      </c>
      <c r="P258" s="3">
        <v>28</v>
      </c>
      <c r="Q258" s="3">
        <v>175</v>
      </c>
      <c r="R258" s="3"/>
      <c r="S258" s="3"/>
      <c r="T258" s="3"/>
      <c r="U258" s="3"/>
      <c r="V258" s="3"/>
      <c r="W258" s="3"/>
      <c r="X258" s="3" t="s">
        <v>138</v>
      </c>
      <c r="Y258" s="3" t="s">
        <v>153</v>
      </c>
    </row>
    <row r="259" spans="1:25" ht="15" customHeight="1" x14ac:dyDescent="0.3">
      <c r="A259" s="27">
        <v>45856</v>
      </c>
      <c r="B259" s="25">
        <v>33</v>
      </c>
      <c r="C259" s="3" t="s">
        <v>38</v>
      </c>
      <c r="D259" s="3" t="s">
        <v>355</v>
      </c>
      <c r="E259" s="3">
        <v>2</v>
      </c>
      <c r="F259" s="3">
        <v>164</v>
      </c>
      <c r="G259" s="6" t="s">
        <v>467</v>
      </c>
      <c r="H259" s="3" t="s">
        <v>468</v>
      </c>
      <c r="I259" s="6" t="s">
        <v>483</v>
      </c>
      <c r="J259" s="3">
        <v>2</v>
      </c>
      <c r="K259" s="3">
        <v>2</v>
      </c>
      <c r="L259" s="3">
        <v>22.49</v>
      </c>
      <c r="M259" s="3">
        <v>6</v>
      </c>
      <c r="N259" s="3">
        <v>12</v>
      </c>
      <c r="O259" s="3">
        <v>3.6</v>
      </c>
      <c r="P259" s="3"/>
      <c r="Q259" s="3">
        <v>180</v>
      </c>
      <c r="R259" s="3"/>
      <c r="S259" s="3"/>
      <c r="T259" s="3"/>
      <c r="U259" s="3"/>
      <c r="V259" s="3"/>
      <c r="W259" s="3"/>
      <c r="X259" s="3" t="s">
        <v>84</v>
      </c>
      <c r="Y259" s="3" t="s">
        <v>153</v>
      </c>
    </row>
    <row r="260" spans="1:25" ht="15" customHeight="1" x14ac:dyDescent="0.3">
      <c r="A260" s="27">
        <v>45856</v>
      </c>
      <c r="B260" s="25">
        <v>33</v>
      </c>
      <c r="C260" s="3" t="s">
        <v>38</v>
      </c>
      <c r="D260" s="3" t="s">
        <v>355</v>
      </c>
      <c r="E260" s="3">
        <v>2</v>
      </c>
      <c r="F260" s="3">
        <v>182</v>
      </c>
      <c r="G260" s="6" t="s">
        <v>469</v>
      </c>
      <c r="H260" s="3" t="s">
        <v>470</v>
      </c>
      <c r="I260" s="6" t="s">
        <v>483</v>
      </c>
      <c r="J260" s="3">
        <v>2</v>
      </c>
      <c r="K260" s="3">
        <v>2</v>
      </c>
      <c r="L260" s="3">
        <v>14</v>
      </c>
      <c r="M260" s="3">
        <v>3.5</v>
      </c>
      <c r="N260" s="3">
        <v>6</v>
      </c>
      <c r="O260" s="3">
        <v>3</v>
      </c>
      <c r="P260" s="3"/>
      <c r="Q260" s="3">
        <v>170</v>
      </c>
      <c r="R260" s="3"/>
      <c r="S260" s="3"/>
      <c r="T260" s="3"/>
      <c r="U260" s="3"/>
      <c r="V260" s="3"/>
      <c r="W260" s="3"/>
      <c r="X260" s="3" t="s">
        <v>82</v>
      </c>
      <c r="Y260" s="3" t="s">
        <v>153</v>
      </c>
    </row>
    <row r="261" spans="1:25" ht="15" customHeight="1" x14ac:dyDescent="0.3">
      <c r="A261" s="27">
        <v>45856</v>
      </c>
      <c r="B261" s="25">
        <v>33</v>
      </c>
      <c r="C261" s="3" t="s">
        <v>38</v>
      </c>
      <c r="D261" s="3" t="s">
        <v>355</v>
      </c>
      <c r="E261" s="3">
        <v>2</v>
      </c>
      <c r="F261" s="3">
        <v>402</v>
      </c>
      <c r="G261" s="6" t="s">
        <v>12</v>
      </c>
      <c r="H261" s="3" t="s">
        <v>510</v>
      </c>
      <c r="I261" s="6" t="s">
        <v>483</v>
      </c>
      <c r="J261" s="3">
        <v>2</v>
      </c>
      <c r="K261" s="3">
        <v>2</v>
      </c>
      <c r="L261" s="3">
        <v>10</v>
      </c>
      <c r="M261" s="3"/>
      <c r="N261" s="3"/>
      <c r="O261" s="3">
        <v>3</v>
      </c>
      <c r="P261" s="3"/>
      <c r="Q261" s="3"/>
      <c r="R261" s="3"/>
      <c r="S261" s="3"/>
      <c r="T261" s="3"/>
      <c r="U261" s="3"/>
      <c r="V261" s="3"/>
      <c r="W261" s="3"/>
      <c r="X261" s="3" t="s">
        <v>528</v>
      </c>
      <c r="Y261" s="3"/>
    </row>
    <row r="262" spans="1:25" ht="15" customHeight="1" x14ac:dyDescent="0.3">
      <c r="A262" s="27">
        <v>45856</v>
      </c>
      <c r="B262" s="25">
        <v>33</v>
      </c>
      <c r="C262" s="3" t="s">
        <v>38</v>
      </c>
      <c r="D262" s="3" t="s">
        <v>355</v>
      </c>
      <c r="E262" s="3">
        <v>2</v>
      </c>
      <c r="F262" s="3">
        <v>404</v>
      </c>
      <c r="G262" s="6" t="s">
        <v>13</v>
      </c>
      <c r="H262" s="3" t="s">
        <v>471</v>
      </c>
      <c r="I262" s="6" t="s">
        <v>483</v>
      </c>
      <c r="J262" s="3">
        <v>2</v>
      </c>
      <c r="K262" s="3">
        <v>2</v>
      </c>
      <c r="L262" s="3">
        <v>8.8000000000000007</v>
      </c>
      <c r="M262" s="3"/>
      <c r="N262" s="3"/>
      <c r="O262" s="3">
        <v>4</v>
      </c>
      <c r="P262" s="3"/>
      <c r="Q262" s="3"/>
      <c r="R262" s="3"/>
      <c r="S262" s="3"/>
      <c r="T262" s="3"/>
      <c r="U262" s="3"/>
      <c r="V262" s="3"/>
      <c r="W262" s="3"/>
      <c r="X262" s="3" t="s">
        <v>529</v>
      </c>
      <c r="Y262" s="3"/>
    </row>
    <row r="263" spans="1:25" ht="15" customHeight="1" x14ac:dyDescent="0.3">
      <c r="A263" s="27">
        <v>45856</v>
      </c>
      <c r="B263" s="25">
        <v>33</v>
      </c>
      <c r="C263" s="3" t="s">
        <v>38</v>
      </c>
      <c r="D263" s="3" t="s">
        <v>355</v>
      </c>
      <c r="E263" s="3">
        <v>2</v>
      </c>
      <c r="F263" s="3">
        <v>405</v>
      </c>
      <c r="G263" s="6" t="s">
        <v>14</v>
      </c>
      <c r="H263" s="3" t="s">
        <v>511</v>
      </c>
      <c r="I263" s="6" t="s">
        <v>483</v>
      </c>
      <c r="J263" s="3">
        <v>2</v>
      </c>
      <c r="K263" s="3">
        <v>2</v>
      </c>
      <c r="L263" s="3">
        <v>8.1999999999999993</v>
      </c>
      <c r="M263" s="3"/>
      <c r="N263" s="3"/>
      <c r="O263" s="3">
        <v>3</v>
      </c>
      <c r="P263" s="3"/>
      <c r="Q263" s="3"/>
      <c r="R263" s="3"/>
      <c r="S263" s="3"/>
      <c r="T263" s="3"/>
      <c r="U263" s="3"/>
      <c r="V263" s="3"/>
      <c r="W263" s="3"/>
      <c r="X263" s="3" t="s">
        <v>530</v>
      </c>
      <c r="Y263" s="3"/>
    </row>
    <row r="264" spans="1:25" ht="15" customHeight="1" x14ac:dyDescent="0.3">
      <c r="A264" s="27">
        <v>45856</v>
      </c>
      <c r="B264" s="25">
        <v>33</v>
      </c>
      <c r="C264" s="3" t="s">
        <v>38</v>
      </c>
      <c r="D264" s="3" t="s">
        <v>355</v>
      </c>
      <c r="E264" s="3">
        <v>2</v>
      </c>
      <c r="F264" s="3">
        <v>172</v>
      </c>
      <c r="G264" s="6" t="s">
        <v>472</v>
      </c>
      <c r="H264" s="3" t="s">
        <v>473</v>
      </c>
      <c r="I264" s="6" t="s">
        <v>483</v>
      </c>
      <c r="J264" s="3">
        <v>4</v>
      </c>
      <c r="K264" s="3">
        <v>4</v>
      </c>
      <c r="L264" s="3">
        <v>17.850000000000001</v>
      </c>
      <c r="M264" s="3">
        <v>1</v>
      </c>
      <c r="N264" s="3">
        <v>12</v>
      </c>
      <c r="O264" s="3">
        <v>8</v>
      </c>
      <c r="P264" s="3" t="s">
        <v>484</v>
      </c>
      <c r="Q264" s="3">
        <v>170</v>
      </c>
      <c r="R264" s="3"/>
      <c r="S264" s="3"/>
      <c r="T264" s="3"/>
      <c r="U264" s="3"/>
      <c r="V264" s="3"/>
      <c r="W264" s="3"/>
      <c r="X264" s="3" t="s">
        <v>496</v>
      </c>
      <c r="Y264" s="3" t="s">
        <v>87</v>
      </c>
    </row>
    <row r="265" spans="1:25" ht="15" customHeight="1" x14ac:dyDescent="0.3">
      <c r="A265" s="27">
        <v>45856</v>
      </c>
      <c r="B265" s="25">
        <v>33</v>
      </c>
      <c r="C265" s="3" t="s">
        <v>38</v>
      </c>
      <c r="D265" s="3" t="s">
        <v>355</v>
      </c>
      <c r="E265" s="3">
        <v>2</v>
      </c>
      <c r="F265" s="3">
        <v>173</v>
      </c>
      <c r="G265" s="6" t="s">
        <v>437</v>
      </c>
      <c r="H265" s="3" t="s">
        <v>438</v>
      </c>
      <c r="I265" s="6" t="s">
        <v>483</v>
      </c>
      <c r="J265" s="3">
        <v>5</v>
      </c>
      <c r="K265" s="3">
        <v>5</v>
      </c>
      <c r="L265" s="3">
        <v>15.24</v>
      </c>
      <c r="M265" s="3">
        <v>1</v>
      </c>
      <c r="N265" s="3">
        <v>9.9</v>
      </c>
      <c r="O265" s="3">
        <v>6</v>
      </c>
      <c r="P265" s="3" t="s">
        <v>441</v>
      </c>
      <c r="Q265" s="3">
        <v>170</v>
      </c>
      <c r="R265" s="3"/>
      <c r="S265" s="3"/>
      <c r="T265" s="3"/>
      <c r="U265" s="3"/>
      <c r="V265" s="3"/>
      <c r="W265" s="3"/>
      <c r="X265" s="3" t="s">
        <v>531</v>
      </c>
      <c r="Y265" s="3" t="s">
        <v>87</v>
      </c>
    </row>
    <row r="266" spans="1:25" ht="15" customHeight="1" x14ac:dyDescent="0.3">
      <c r="A266" s="27">
        <v>45856</v>
      </c>
      <c r="B266" s="25">
        <v>33</v>
      </c>
      <c r="C266" s="3" t="s">
        <v>38</v>
      </c>
      <c r="D266" s="3" t="s">
        <v>355</v>
      </c>
      <c r="E266" s="3">
        <v>2</v>
      </c>
      <c r="F266" s="3">
        <v>174</v>
      </c>
      <c r="G266" s="6" t="s">
        <v>512</v>
      </c>
      <c r="H266" s="3" t="s">
        <v>513</v>
      </c>
      <c r="I266" s="6" t="s">
        <v>483</v>
      </c>
      <c r="J266" s="3">
        <v>5</v>
      </c>
      <c r="K266" s="3">
        <v>5</v>
      </c>
      <c r="L266" s="3">
        <v>13.74</v>
      </c>
      <c r="M266" s="3">
        <v>0.6</v>
      </c>
      <c r="N266" s="3">
        <v>8.6</v>
      </c>
      <c r="O266" s="3">
        <v>6</v>
      </c>
      <c r="P266" s="3" t="s">
        <v>516</v>
      </c>
      <c r="Q266" s="3">
        <v>170</v>
      </c>
      <c r="R266" s="3"/>
      <c r="S266" s="3"/>
      <c r="T266" s="3"/>
      <c r="U266" s="3"/>
      <c r="V266" s="3"/>
      <c r="W266" s="3"/>
      <c r="X266" s="3" t="s">
        <v>498</v>
      </c>
      <c r="Y266" s="3" t="s">
        <v>80</v>
      </c>
    </row>
    <row r="267" spans="1:25" ht="15" customHeight="1" x14ac:dyDescent="0.3">
      <c r="A267" s="27">
        <v>45856</v>
      </c>
      <c r="B267" s="25">
        <v>33</v>
      </c>
      <c r="C267" s="3" t="s">
        <v>38</v>
      </c>
      <c r="D267" s="3" t="s">
        <v>355</v>
      </c>
      <c r="E267" s="3">
        <v>2</v>
      </c>
      <c r="F267" s="3">
        <v>176</v>
      </c>
      <c r="G267" s="6" t="s">
        <v>17</v>
      </c>
      <c r="H267" s="3" t="s">
        <v>183</v>
      </c>
      <c r="I267" s="6" t="s">
        <v>483</v>
      </c>
      <c r="J267" s="3">
        <v>5</v>
      </c>
      <c r="K267" s="3">
        <v>5</v>
      </c>
      <c r="L267" s="3">
        <v>17.579999999999998</v>
      </c>
      <c r="M267" s="3">
        <v>2</v>
      </c>
      <c r="N267" s="3">
        <v>11.5</v>
      </c>
      <c r="O267" s="3">
        <v>8</v>
      </c>
      <c r="P267" s="3" t="s">
        <v>282</v>
      </c>
      <c r="Q267" s="3">
        <v>175</v>
      </c>
      <c r="R267" s="3"/>
      <c r="S267" s="3"/>
      <c r="T267" s="3"/>
      <c r="U267" s="3"/>
      <c r="V267" s="3"/>
      <c r="W267" s="3"/>
      <c r="X267" s="3" t="s">
        <v>253</v>
      </c>
      <c r="Y267" s="3" t="s">
        <v>398</v>
      </c>
    </row>
    <row r="268" spans="1:25" ht="15" customHeight="1" x14ac:dyDescent="0.3">
      <c r="A268" s="27">
        <v>45856</v>
      </c>
      <c r="B268" s="25">
        <v>33</v>
      </c>
      <c r="C268" s="3" t="s">
        <v>38</v>
      </c>
      <c r="D268" s="3" t="s">
        <v>355</v>
      </c>
      <c r="E268" s="3">
        <v>2</v>
      </c>
      <c r="F268" s="3">
        <v>177</v>
      </c>
      <c r="G268" s="6" t="s">
        <v>18</v>
      </c>
      <c r="H268" s="3" t="s">
        <v>184</v>
      </c>
      <c r="I268" s="6" t="s">
        <v>483</v>
      </c>
      <c r="J268" s="3">
        <v>3</v>
      </c>
      <c r="K268" s="3">
        <v>3</v>
      </c>
      <c r="L268" s="3">
        <v>13.56</v>
      </c>
      <c r="M268" s="3">
        <v>4</v>
      </c>
      <c r="N268" s="3">
        <v>6</v>
      </c>
      <c r="O268" s="3">
        <v>4.2</v>
      </c>
      <c r="P268" s="3"/>
      <c r="Q268" s="3">
        <v>170</v>
      </c>
      <c r="R268" s="3"/>
      <c r="S268" s="3"/>
      <c r="T268" s="3"/>
      <c r="U268" s="3"/>
      <c r="V268" s="3"/>
      <c r="W268" s="3"/>
      <c r="X268" s="3" t="s">
        <v>253</v>
      </c>
      <c r="Y268" s="3" t="s">
        <v>538</v>
      </c>
    </row>
    <row r="269" spans="1:25" ht="15" customHeight="1" x14ac:dyDescent="0.3">
      <c r="A269" s="27">
        <v>45856</v>
      </c>
      <c r="B269" s="25">
        <v>33</v>
      </c>
      <c r="C269" s="3" t="s">
        <v>38</v>
      </c>
      <c r="D269" s="3" t="s">
        <v>355</v>
      </c>
      <c r="E269" s="3">
        <v>2</v>
      </c>
      <c r="F269" s="3">
        <v>131</v>
      </c>
      <c r="G269" s="6" t="s">
        <v>369</v>
      </c>
      <c r="H269" s="3" t="s">
        <v>370</v>
      </c>
      <c r="I269" s="6" t="s">
        <v>483</v>
      </c>
      <c r="J269" s="3">
        <v>3</v>
      </c>
      <c r="K269" s="23">
        <v>2</v>
      </c>
      <c r="L269" s="3">
        <v>17.899999999999999</v>
      </c>
      <c r="M269" s="3">
        <v>3.5</v>
      </c>
      <c r="N269" s="3">
        <v>9.6999999999999993</v>
      </c>
      <c r="O269" s="3">
        <v>5</v>
      </c>
      <c r="P269" s="3"/>
      <c r="Q269" s="3">
        <v>170</v>
      </c>
      <c r="R269" s="3"/>
      <c r="S269" s="3"/>
      <c r="T269" s="3"/>
      <c r="U269" s="3"/>
      <c r="V269" s="3"/>
      <c r="W269" s="3"/>
      <c r="X269" s="3" t="s">
        <v>289</v>
      </c>
      <c r="Y269" s="3" t="s">
        <v>154</v>
      </c>
    </row>
    <row r="270" spans="1:25" ht="15" customHeight="1" x14ac:dyDescent="0.3">
      <c r="A270" s="27">
        <v>45856</v>
      </c>
      <c r="B270" s="25">
        <v>33</v>
      </c>
      <c r="C270" s="3" t="s">
        <v>38</v>
      </c>
      <c r="D270" s="3" t="s">
        <v>355</v>
      </c>
      <c r="E270" s="3">
        <v>2</v>
      </c>
      <c r="F270" s="3">
        <v>133</v>
      </c>
      <c r="G270" s="6" t="s">
        <v>514</v>
      </c>
      <c r="H270" s="3" t="s">
        <v>515</v>
      </c>
      <c r="I270" s="6" t="s">
        <v>483</v>
      </c>
      <c r="J270" s="3">
        <v>4</v>
      </c>
      <c r="K270" s="3">
        <v>4</v>
      </c>
      <c r="L270" s="3">
        <v>15.96</v>
      </c>
      <c r="M270" s="3">
        <v>2.5</v>
      </c>
      <c r="N270" s="3">
        <v>6.1</v>
      </c>
      <c r="O270" s="3">
        <v>4.3</v>
      </c>
      <c r="P270" s="3"/>
      <c r="Q270" s="3">
        <v>170</v>
      </c>
      <c r="R270" s="3"/>
      <c r="S270" s="3"/>
      <c r="T270" s="3"/>
      <c r="U270" s="3"/>
      <c r="V270" s="3"/>
      <c r="W270" s="3"/>
      <c r="X270" s="3" t="s">
        <v>80</v>
      </c>
      <c r="Y270" s="3" t="s">
        <v>539</v>
      </c>
    </row>
    <row r="271" spans="1:25" ht="15" customHeight="1" x14ac:dyDescent="0.3">
      <c r="A271" s="27">
        <v>45856</v>
      </c>
      <c r="B271" s="25">
        <v>33</v>
      </c>
      <c r="C271" s="3" t="s">
        <v>38</v>
      </c>
      <c r="D271" s="3" t="s">
        <v>355</v>
      </c>
      <c r="E271" s="3">
        <v>2</v>
      </c>
      <c r="F271" s="3">
        <v>206</v>
      </c>
      <c r="G271" s="6" t="s">
        <v>24</v>
      </c>
      <c r="H271" s="3" t="s">
        <v>411</v>
      </c>
      <c r="I271" s="6" t="s">
        <v>111</v>
      </c>
      <c r="J271" s="3">
        <v>12</v>
      </c>
      <c r="K271" s="23">
        <v>11</v>
      </c>
      <c r="L271" s="3">
        <v>27.3</v>
      </c>
      <c r="M271" s="3">
        <v>18</v>
      </c>
      <c r="N271" s="3">
        <v>1.3</v>
      </c>
      <c r="O271" s="3"/>
      <c r="P271" s="3"/>
      <c r="Q271" s="3"/>
      <c r="R271" s="3" t="s">
        <v>517</v>
      </c>
      <c r="S271" s="3" t="s">
        <v>522</v>
      </c>
      <c r="T271" s="3">
        <v>0.5</v>
      </c>
      <c r="U271" s="3">
        <v>30</v>
      </c>
      <c r="V271" s="3">
        <v>40</v>
      </c>
      <c r="W271" s="3">
        <v>120</v>
      </c>
      <c r="X271" s="3" t="s">
        <v>532</v>
      </c>
      <c r="Y271" s="3" t="s">
        <v>540</v>
      </c>
    </row>
    <row r="272" spans="1:25" ht="15" customHeight="1" x14ac:dyDescent="0.3">
      <c r="A272" s="27">
        <v>45856</v>
      </c>
      <c r="B272" s="25">
        <v>33</v>
      </c>
      <c r="C272" s="3" t="s">
        <v>38</v>
      </c>
      <c r="D272" s="3" t="s">
        <v>355</v>
      </c>
      <c r="E272" s="3">
        <v>2</v>
      </c>
      <c r="F272" s="3">
        <v>207</v>
      </c>
      <c r="G272" s="6" t="s">
        <v>476</v>
      </c>
      <c r="H272" s="3" t="s">
        <v>477</v>
      </c>
      <c r="I272" s="6" t="s">
        <v>111</v>
      </c>
      <c r="J272" s="3">
        <v>12</v>
      </c>
      <c r="K272" s="23">
        <v>9</v>
      </c>
      <c r="L272" s="3">
        <v>32.729999999999997</v>
      </c>
      <c r="M272" s="3">
        <v>13</v>
      </c>
      <c r="N272" s="3">
        <v>3.2</v>
      </c>
      <c r="O272" s="3"/>
      <c r="P272" s="3"/>
      <c r="Q272" s="3"/>
      <c r="R272" s="3" t="s">
        <v>135</v>
      </c>
      <c r="S272" s="3" t="s">
        <v>523</v>
      </c>
      <c r="T272" s="3">
        <v>2.2000000000000002</v>
      </c>
      <c r="U272" s="3">
        <v>20</v>
      </c>
      <c r="V272" s="3">
        <v>30</v>
      </c>
      <c r="W272" s="3">
        <v>140</v>
      </c>
      <c r="X272" s="3" t="s">
        <v>455</v>
      </c>
      <c r="Y272" s="3" t="s">
        <v>541</v>
      </c>
    </row>
    <row r="273" spans="1:25" ht="15" customHeight="1" x14ac:dyDescent="0.3">
      <c r="A273" s="27">
        <v>45856</v>
      </c>
      <c r="B273" s="25">
        <v>33</v>
      </c>
      <c r="C273" s="3" t="s">
        <v>38</v>
      </c>
      <c r="D273" s="3" t="s">
        <v>355</v>
      </c>
      <c r="E273" s="3">
        <v>2</v>
      </c>
      <c r="F273" s="3">
        <v>208</v>
      </c>
      <c r="G273" s="6" t="s">
        <v>375</v>
      </c>
      <c r="H273" s="3" t="s">
        <v>376</v>
      </c>
      <c r="I273" s="6" t="s">
        <v>111</v>
      </c>
      <c r="J273" s="3">
        <v>16</v>
      </c>
      <c r="K273" s="23">
        <v>10</v>
      </c>
      <c r="L273" s="3">
        <v>21.62</v>
      </c>
      <c r="M273" s="3">
        <v>5</v>
      </c>
      <c r="N273" s="3">
        <v>3</v>
      </c>
      <c r="O273" s="3"/>
      <c r="P273" s="3"/>
      <c r="Q273" s="3"/>
      <c r="R273" s="3" t="s">
        <v>203</v>
      </c>
      <c r="S273" s="3" t="s">
        <v>244</v>
      </c>
      <c r="T273" s="3">
        <v>0.75</v>
      </c>
      <c r="U273" s="3">
        <v>15</v>
      </c>
      <c r="V273" s="3">
        <v>20</v>
      </c>
      <c r="W273" s="3">
        <v>120</v>
      </c>
      <c r="X273" s="3" t="s">
        <v>533</v>
      </c>
      <c r="Y273" s="3"/>
    </row>
    <row r="274" spans="1:25" ht="15" customHeight="1" x14ac:dyDescent="0.3">
      <c r="A274" s="27">
        <v>45856</v>
      </c>
      <c r="B274" s="25">
        <v>33</v>
      </c>
      <c r="C274" s="3" t="s">
        <v>38</v>
      </c>
      <c r="D274" s="3" t="s">
        <v>355</v>
      </c>
      <c r="E274" s="3">
        <v>2</v>
      </c>
      <c r="F274" s="3">
        <v>209</v>
      </c>
      <c r="G274" s="6" t="s">
        <v>377</v>
      </c>
      <c r="H274" s="3" t="s">
        <v>378</v>
      </c>
      <c r="I274" s="6" t="s">
        <v>111</v>
      </c>
      <c r="J274" s="3">
        <v>8</v>
      </c>
      <c r="K274" s="23">
        <v>7</v>
      </c>
      <c r="L274" s="3">
        <v>29</v>
      </c>
      <c r="M274" s="3">
        <v>13</v>
      </c>
      <c r="N274" s="3">
        <v>1.3</v>
      </c>
      <c r="O274" s="3"/>
      <c r="P274" s="3"/>
      <c r="Q274" s="3"/>
      <c r="R274" s="3" t="s">
        <v>518</v>
      </c>
      <c r="S274" s="3" t="s">
        <v>524</v>
      </c>
      <c r="T274" s="3">
        <v>0.5</v>
      </c>
      <c r="U274" s="3">
        <v>30</v>
      </c>
      <c r="V274" s="3">
        <v>40</v>
      </c>
      <c r="W274" s="3">
        <v>168</v>
      </c>
      <c r="X274" s="3" t="s">
        <v>534</v>
      </c>
      <c r="Y274" s="3"/>
    </row>
    <row r="275" spans="1:25" ht="15" customHeight="1" x14ac:dyDescent="0.3">
      <c r="A275" s="27">
        <v>45856</v>
      </c>
      <c r="B275" s="25">
        <v>33</v>
      </c>
      <c r="C275" s="3" t="s">
        <v>38</v>
      </c>
      <c r="D275" s="3" t="s">
        <v>355</v>
      </c>
      <c r="E275" s="3">
        <v>2</v>
      </c>
      <c r="F275" s="3">
        <v>301</v>
      </c>
      <c r="G275" s="6" t="s">
        <v>30</v>
      </c>
      <c r="H275" s="3" t="s">
        <v>194</v>
      </c>
      <c r="I275" s="6" t="s">
        <v>5</v>
      </c>
      <c r="J275" s="3">
        <v>8</v>
      </c>
      <c r="K275" s="23">
        <v>5</v>
      </c>
      <c r="L275" s="3">
        <v>27.8</v>
      </c>
      <c r="M275" s="3">
        <v>9</v>
      </c>
      <c r="N275" s="3">
        <v>5.5</v>
      </c>
      <c r="O275" s="3"/>
      <c r="P275" s="3"/>
      <c r="Q275" s="3"/>
      <c r="R275" s="3" t="s">
        <v>519</v>
      </c>
      <c r="S275" s="3" t="s">
        <v>133</v>
      </c>
      <c r="T275" s="3">
        <v>1</v>
      </c>
      <c r="U275" s="3">
        <v>35</v>
      </c>
      <c r="V275" s="3">
        <v>45</v>
      </c>
      <c r="W275" s="3">
        <v>130</v>
      </c>
      <c r="X275" s="3" t="s">
        <v>147</v>
      </c>
      <c r="Y275" s="3" t="s">
        <v>402</v>
      </c>
    </row>
    <row r="276" spans="1:25" ht="15" customHeight="1" x14ac:dyDescent="0.3">
      <c r="A276" s="27">
        <v>45856</v>
      </c>
      <c r="B276" s="25">
        <v>33</v>
      </c>
      <c r="C276" s="3" t="s">
        <v>38</v>
      </c>
      <c r="D276" s="3" t="s">
        <v>355</v>
      </c>
      <c r="E276" s="3">
        <v>2</v>
      </c>
      <c r="F276" s="3">
        <v>302</v>
      </c>
      <c r="G276" s="6" t="s">
        <v>31</v>
      </c>
      <c r="H276" s="3" t="s">
        <v>195</v>
      </c>
      <c r="I276" s="6" t="s">
        <v>5</v>
      </c>
      <c r="J276" s="3">
        <v>12</v>
      </c>
      <c r="K276" s="23">
        <v>9</v>
      </c>
      <c r="L276" s="3">
        <v>59.3</v>
      </c>
      <c r="M276" s="3">
        <v>16</v>
      </c>
      <c r="N276" s="3">
        <v>11</v>
      </c>
      <c r="O276" s="3"/>
      <c r="P276" s="3"/>
      <c r="Q276" s="3"/>
      <c r="R276" s="3" t="s">
        <v>487</v>
      </c>
      <c r="S276" s="3" t="s">
        <v>492</v>
      </c>
      <c r="T276" s="3">
        <v>6</v>
      </c>
      <c r="U276" s="3">
        <v>30</v>
      </c>
      <c r="V276" s="3">
        <v>65</v>
      </c>
      <c r="W276" s="3">
        <v>150</v>
      </c>
      <c r="X276" s="3" t="s">
        <v>535</v>
      </c>
      <c r="Y276" s="3" t="s">
        <v>542</v>
      </c>
    </row>
    <row r="277" spans="1:25" ht="15" customHeight="1" x14ac:dyDescent="0.3">
      <c r="A277" s="27">
        <v>45856</v>
      </c>
      <c r="B277" s="25">
        <v>33</v>
      </c>
      <c r="C277" s="3" t="s">
        <v>38</v>
      </c>
      <c r="D277" s="3" t="s">
        <v>355</v>
      </c>
      <c r="E277" s="3">
        <v>2</v>
      </c>
      <c r="F277" s="3">
        <v>303</v>
      </c>
      <c r="G277" s="6" t="s">
        <v>32</v>
      </c>
      <c r="H277" s="3" t="s">
        <v>238</v>
      </c>
      <c r="I277" s="6" t="s">
        <v>5</v>
      </c>
      <c r="J277" s="3">
        <v>12</v>
      </c>
      <c r="K277" s="23">
        <v>7</v>
      </c>
      <c r="L277" s="3">
        <v>38.1</v>
      </c>
      <c r="M277" s="3">
        <v>15</v>
      </c>
      <c r="N277" s="3">
        <v>7</v>
      </c>
      <c r="O277" s="3"/>
      <c r="P277" s="3"/>
      <c r="Q277" s="3"/>
      <c r="R277" s="3" t="s">
        <v>520</v>
      </c>
      <c r="S277" s="3" t="s">
        <v>525</v>
      </c>
      <c r="T277" s="3">
        <v>3</v>
      </c>
      <c r="U277" s="3">
        <v>20</v>
      </c>
      <c r="V277" s="3">
        <v>35</v>
      </c>
      <c r="W277" s="3">
        <v>140</v>
      </c>
      <c r="X277" s="3" t="s">
        <v>536</v>
      </c>
      <c r="Y277" s="3" t="s">
        <v>543</v>
      </c>
    </row>
    <row r="278" spans="1:25" ht="15" customHeight="1" x14ac:dyDescent="0.3">
      <c r="A278" s="27">
        <v>45856</v>
      </c>
      <c r="B278" s="25">
        <v>33</v>
      </c>
      <c r="C278" s="3" t="s">
        <v>38</v>
      </c>
      <c r="D278" s="3" t="s">
        <v>355</v>
      </c>
      <c r="E278" s="3">
        <v>2</v>
      </c>
      <c r="F278" s="3">
        <v>175</v>
      </c>
      <c r="G278" s="6" t="s">
        <v>310</v>
      </c>
      <c r="H278" s="3" t="s">
        <v>478</v>
      </c>
      <c r="I278" s="6" t="s">
        <v>483</v>
      </c>
      <c r="J278" s="3">
        <v>3</v>
      </c>
      <c r="K278" s="3">
        <v>3</v>
      </c>
      <c r="L278" s="3">
        <v>18.05</v>
      </c>
      <c r="M278" s="3">
        <v>3.9</v>
      </c>
      <c r="N278" s="3">
        <v>9.9</v>
      </c>
      <c r="O278" s="3">
        <v>5.6</v>
      </c>
      <c r="P278" s="3" t="s">
        <v>241</v>
      </c>
      <c r="Q278" s="3">
        <v>175</v>
      </c>
      <c r="R278" s="3"/>
      <c r="S278" s="3"/>
      <c r="T278" s="3"/>
      <c r="U278" s="3"/>
      <c r="V278" s="3"/>
      <c r="W278" s="3"/>
      <c r="X278" s="3" t="s">
        <v>79</v>
      </c>
      <c r="Y278" s="3" t="s">
        <v>80</v>
      </c>
    </row>
    <row r="279" spans="1:25" ht="15" customHeight="1" x14ac:dyDescent="0.3">
      <c r="A279" s="27">
        <v>45856</v>
      </c>
      <c r="B279" s="25">
        <v>33</v>
      </c>
      <c r="C279" s="3" t="s">
        <v>38</v>
      </c>
      <c r="D279" s="3" t="s">
        <v>355</v>
      </c>
      <c r="E279" s="3">
        <v>2</v>
      </c>
      <c r="F279" s="3">
        <v>181</v>
      </c>
      <c r="G279" s="6" t="s">
        <v>479</v>
      </c>
      <c r="H279" s="3" t="s">
        <v>480</v>
      </c>
      <c r="I279" s="6" t="s">
        <v>483</v>
      </c>
      <c r="J279" s="3">
        <v>4</v>
      </c>
      <c r="K279" s="3">
        <v>4</v>
      </c>
      <c r="L279" s="3">
        <v>14</v>
      </c>
      <c r="M279" s="3">
        <v>3.75</v>
      </c>
      <c r="N279" s="3">
        <v>6</v>
      </c>
      <c r="O279" s="3">
        <v>2.6</v>
      </c>
      <c r="P279" s="3"/>
      <c r="Q279" s="3">
        <v>175</v>
      </c>
      <c r="R279" s="3"/>
      <c r="S279" s="3"/>
      <c r="T279" s="3"/>
      <c r="U279" s="3"/>
      <c r="V279" s="3"/>
      <c r="W279" s="3"/>
      <c r="X279" s="3" t="s">
        <v>388</v>
      </c>
      <c r="Y279" s="3" t="s">
        <v>396</v>
      </c>
    </row>
    <row r="280" spans="1:25" ht="15" customHeight="1" x14ac:dyDescent="0.3">
      <c r="A280" s="27">
        <v>45856</v>
      </c>
      <c r="B280" s="25">
        <v>33</v>
      </c>
      <c r="C280" s="3" t="s">
        <v>38</v>
      </c>
      <c r="D280" s="3" t="s">
        <v>355</v>
      </c>
      <c r="E280" s="3">
        <v>2</v>
      </c>
      <c r="F280" s="3">
        <v>132</v>
      </c>
      <c r="G280" s="6" t="s">
        <v>481</v>
      </c>
      <c r="H280" s="3" t="s">
        <v>482</v>
      </c>
      <c r="I280" s="6" t="s">
        <v>483</v>
      </c>
      <c r="J280" s="3">
        <v>3</v>
      </c>
      <c r="K280" s="3">
        <v>3</v>
      </c>
      <c r="L280" s="3">
        <v>20.41</v>
      </c>
      <c r="M280" s="3">
        <v>4.5999999999999996</v>
      </c>
      <c r="N280" s="3">
        <v>10.5</v>
      </c>
      <c r="O280" s="3">
        <v>6.5</v>
      </c>
      <c r="P280" s="3"/>
      <c r="Q280" s="3">
        <v>170</v>
      </c>
      <c r="R280" s="3"/>
      <c r="S280" s="3"/>
      <c r="T280" s="3"/>
      <c r="U280" s="3"/>
      <c r="V280" s="3"/>
      <c r="W280" s="3"/>
      <c r="X280" s="3" t="s">
        <v>504</v>
      </c>
      <c r="Y280" s="3" t="s">
        <v>509</v>
      </c>
    </row>
    <row r="281" spans="1:25" ht="15" customHeight="1" x14ac:dyDescent="0.3">
      <c r="A281" s="27">
        <v>45856</v>
      </c>
      <c r="B281" s="25">
        <v>33</v>
      </c>
      <c r="C281" s="3" t="s">
        <v>38</v>
      </c>
      <c r="D281" s="3" t="s">
        <v>355</v>
      </c>
      <c r="E281" s="3">
        <v>2</v>
      </c>
      <c r="F281" s="3">
        <v>204</v>
      </c>
      <c r="G281" s="6" t="s">
        <v>439</v>
      </c>
      <c r="H281" s="3" t="s">
        <v>440</v>
      </c>
      <c r="I281" s="6" t="s">
        <v>111</v>
      </c>
      <c r="J281" s="3">
        <v>4</v>
      </c>
      <c r="K281" s="3">
        <v>4</v>
      </c>
      <c r="L281" s="3">
        <v>20.5</v>
      </c>
      <c r="M281" s="3">
        <v>8</v>
      </c>
      <c r="N281" s="3">
        <v>3</v>
      </c>
      <c r="O281" s="3"/>
      <c r="P281" s="3"/>
      <c r="Q281" s="3"/>
      <c r="R281" s="3" t="s">
        <v>521</v>
      </c>
      <c r="S281" s="3" t="s">
        <v>526</v>
      </c>
      <c r="T281" s="3">
        <v>2</v>
      </c>
      <c r="U281" s="3">
        <v>15</v>
      </c>
      <c r="V281" s="3">
        <v>20</v>
      </c>
      <c r="W281" s="3">
        <v>135</v>
      </c>
      <c r="X281" s="3" t="s">
        <v>537</v>
      </c>
      <c r="Y281" s="3" t="s">
        <v>544</v>
      </c>
    </row>
    <row r="282" spans="1:25" ht="15" customHeight="1" x14ac:dyDescent="0.3">
      <c r="A282" s="5">
        <v>45859</v>
      </c>
      <c r="B282" s="25">
        <v>31</v>
      </c>
      <c r="C282" s="3" t="s">
        <v>38</v>
      </c>
      <c r="D282" s="3" t="s">
        <v>545</v>
      </c>
      <c r="E282" s="3">
        <v>2</v>
      </c>
      <c r="F282" s="3">
        <v>103</v>
      </c>
      <c r="G282" s="6" t="s">
        <v>163</v>
      </c>
      <c r="H282" s="3" t="s">
        <v>546</v>
      </c>
      <c r="I282" s="6" t="s">
        <v>5</v>
      </c>
      <c r="J282" s="3">
        <v>5</v>
      </c>
      <c r="K282" s="3">
        <v>5</v>
      </c>
      <c r="L282" s="3">
        <v>14.16</v>
      </c>
      <c r="M282" s="3">
        <v>3.7</v>
      </c>
      <c r="N282" s="3">
        <v>6.2</v>
      </c>
      <c r="O282" s="3">
        <v>6</v>
      </c>
      <c r="P282" s="3">
        <v>35</v>
      </c>
      <c r="Q282" s="3">
        <v>165</v>
      </c>
      <c r="R282" s="3"/>
      <c r="S282" s="3"/>
      <c r="T282" s="3"/>
      <c r="U282" s="3"/>
      <c r="V282" s="3"/>
      <c r="W282" s="3"/>
      <c r="X282" s="3" t="s">
        <v>79</v>
      </c>
      <c r="Y282" s="3" t="s">
        <v>254</v>
      </c>
    </row>
    <row r="283" spans="1:25" ht="15" customHeight="1" x14ac:dyDescent="0.3">
      <c r="A283" s="5">
        <v>45859</v>
      </c>
      <c r="B283" s="25">
        <v>31</v>
      </c>
      <c r="C283" s="3" t="s">
        <v>38</v>
      </c>
      <c r="D283" s="3" t="s">
        <v>545</v>
      </c>
      <c r="E283" s="3">
        <v>2</v>
      </c>
      <c r="F283" s="3">
        <v>104</v>
      </c>
      <c r="G283" s="6" t="s">
        <v>547</v>
      </c>
      <c r="H283" s="3" t="s">
        <v>548</v>
      </c>
      <c r="I283" s="6" t="s">
        <v>5</v>
      </c>
      <c r="J283" s="3">
        <v>5</v>
      </c>
      <c r="K283" s="3">
        <v>5</v>
      </c>
      <c r="L283" s="3">
        <v>19.36</v>
      </c>
      <c r="M283" s="3">
        <v>4.5</v>
      </c>
      <c r="N283" s="3">
        <v>9.4</v>
      </c>
      <c r="O283" s="3">
        <v>6</v>
      </c>
      <c r="P283" s="3">
        <v>50</v>
      </c>
      <c r="Q283" s="3">
        <v>170</v>
      </c>
      <c r="R283" s="3"/>
      <c r="S283" s="3"/>
      <c r="T283" s="3"/>
      <c r="U283" s="3"/>
      <c r="V283" s="3"/>
      <c r="W283" s="3"/>
      <c r="X283" s="3" t="s">
        <v>251</v>
      </c>
      <c r="Y283" s="3" t="s">
        <v>580</v>
      </c>
    </row>
    <row r="284" spans="1:25" ht="15" customHeight="1" x14ac:dyDescent="0.3">
      <c r="A284" s="5">
        <v>45859</v>
      </c>
      <c r="B284" s="25">
        <v>31</v>
      </c>
      <c r="C284" s="3" t="s">
        <v>38</v>
      </c>
      <c r="D284" s="3" t="s">
        <v>545</v>
      </c>
      <c r="E284" s="3">
        <v>2</v>
      </c>
      <c r="F284" s="3">
        <v>161</v>
      </c>
      <c r="G284" s="6" t="s">
        <v>274</v>
      </c>
      <c r="H284" s="3" t="s">
        <v>358</v>
      </c>
      <c r="I284" s="6" t="s">
        <v>483</v>
      </c>
      <c r="J284" s="3">
        <v>2</v>
      </c>
      <c r="K284" s="3">
        <v>2</v>
      </c>
      <c r="L284" s="3">
        <v>24.01</v>
      </c>
      <c r="M284" s="3">
        <v>6</v>
      </c>
      <c r="N284" s="3">
        <v>10</v>
      </c>
      <c r="O284" s="3">
        <v>4</v>
      </c>
      <c r="P284" s="3">
        <v>34</v>
      </c>
      <c r="Q284" s="3">
        <v>170</v>
      </c>
      <c r="R284" s="3"/>
      <c r="S284" s="3"/>
      <c r="T284" s="3"/>
      <c r="U284" s="3"/>
      <c r="V284" s="3"/>
      <c r="W284" s="3"/>
      <c r="X284" s="3" t="s">
        <v>388</v>
      </c>
      <c r="Y284" s="3" t="s">
        <v>396</v>
      </c>
    </row>
    <row r="285" spans="1:25" ht="15" customHeight="1" x14ac:dyDescent="0.3">
      <c r="A285" s="5">
        <v>45859</v>
      </c>
      <c r="B285" s="25">
        <v>31</v>
      </c>
      <c r="C285" s="3" t="s">
        <v>38</v>
      </c>
      <c r="D285" s="3" t="s">
        <v>545</v>
      </c>
      <c r="E285" s="3">
        <v>2</v>
      </c>
      <c r="F285" s="3">
        <v>162</v>
      </c>
      <c r="G285" s="6" t="s">
        <v>549</v>
      </c>
      <c r="H285" s="3" t="s">
        <v>550</v>
      </c>
      <c r="I285" s="6" t="s">
        <v>483</v>
      </c>
      <c r="J285" s="3">
        <v>2</v>
      </c>
      <c r="K285" s="3">
        <v>2</v>
      </c>
      <c r="L285" s="3">
        <v>21</v>
      </c>
      <c r="M285" s="3">
        <v>3.3</v>
      </c>
      <c r="N285" s="3">
        <v>6</v>
      </c>
      <c r="O285" s="3">
        <v>3</v>
      </c>
      <c r="P285" s="3">
        <v>21</v>
      </c>
      <c r="Q285" s="3">
        <v>170</v>
      </c>
      <c r="R285" s="3"/>
      <c r="S285" s="3"/>
      <c r="T285" s="3"/>
      <c r="U285" s="3"/>
      <c r="V285" s="3"/>
      <c r="W285" s="3"/>
      <c r="X285" s="3" t="s">
        <v>527</v>
      </c>
      <c r="Y285" s="3" t="s">
        <v>505</v>
      </c>
    </row>
    <row r="286" spans="1:25" ht="15" customHeight="1" x14ac:dyDescent="0.3">
      <c r="A286" s="5">
        <v>45859</v>
      </c>
      <c r="B286" s="25">
        <v>31</v>
      </c>
      <c r="C286" s="3" t="s">
        <v>38</v>
      </c>
      <c r="D286" s="3" t="s">
        <v>545</v>
      </c>
      <c r="E286" s="3">
        <v>2</v>
      </c>
      <c r="F286" s="3">
        <v>163</v>
      </c>
      <c r="G286" s="6" t="s">
        <v>11</v>
      </c>
      <c r="H286" s="3" t="s">
        <v>305</v>
      </c>
      <c r="I286" s="6" t="s">
        <v>483</v>
      </c>
      <c r="J286" s="3">
        <v>2</v>
      </c>
      <c r="K286" s="3">
        <v>2</v>
      </c>
      <c r="L286" s="3">
        <v>24</v>
      </c>
      <c r="M286" s="3">
        <v>6</v>
      </c>
      <c r="N286" s="3">
        <v>11</v>
      </c>
      <c r="O286" s="3">
        <v>4.4000000000000004</v>
      </c>
      <c r="P286" s="3">
        <v>20</v>
      </c>
      <c r="Q286" s="3">
        <v>175</v>
      </c>
      <c r="R286" s="3"/>
      <c r="S286" s="3"/>
      <c r="T286" s="3"/>
      <c r="U286" s="3"/>
      <c r="V286" s="3"/>
      <c r="W286" s="3"/>
      <c r="X286" s="3" t="s">
        <v>84</v>
      </c>
      <c r="Y286" s="3" t="s">
        <v>581</v>
      </c>
    </row>
    <row r="287" spans="1:25" ht="15" customHeight="1" x14ac:dyDescent="0.3">
      <c r="A287" s="5">
        <v>45859</v>
      </c>
      <c r="B287" s="25">
        <v>31</v>
      </c>
      <c r="C287" s="3" t="s">
        <v>38</v>
      </c>
      <c r="D287" s="3" t="s">
        <v>545</v>
      </c>
      <c r="E287" s="3">
        <v>2</v>
      </c>
      <c r="F287" s="3">
        <v>182</v>
      </c>
      <c r="G287" s="6" t="s">
        <v>469</v>
      </c>
      <c r="H287" s="3" t="s">
        <v>470</v>
      </c>
      <c r="I287" s="6" t="s">
        <v>483</v>
      </c>
      <c r="J287" s="3">
        <v>4</v>
      </c>
      <c r="K287" s="3">
        <v>4</v>
      </c>
      <c r="L287" s="3">
        <v>14</v>
      </c>
      <c r="M287" s="3">
        <v>3.5</v>
      </c>
      <c r="N287" s="3">
        <v>6</v>
      </c>
      <c r="O287" s="3">
        <v>3</v>
      </c>
      <c r="P287" s="3"/>
      <c r="Q287" s="3">
        <v>170</v>
      </c>
      <c r="R287" s="3"/>
      <c r="S287" s="3"/>
      <c r="T287" s="3"/>
      <c r="U287" s="3"/>
      <c r="V287" s="3"/>
      <c r="W287" s="3"/>
      <c r="X287" s="3" t="s">
        <v>82</v>
      </c>
      <c r="Y287" s="3" t="s">
        <v>153</v>
      </c>
    </row>
    <row r="288" spans="1:25" ht="15" customHeight="1" x14ac:dyDescent="0.3">
      <c r="A288" s="5">
        <v>45859</v>
      </c>
      <c r="B288" s="25">
        <v>31</v>
      </c>
      <c r="C288" s="3" t="s">
        <v>38</v>
      </c>
      <c r="D288" s="3" t="s">
        <v>545</v>
      </c>
      <c r="E288" s="3">
        <v>2</v>
      </c>
      <c r="F288" s="3">
        <v>402</v>
      </c>
      <c r="G288" s="6" t="s">
        <v>405</v>
      </c>
      <c r="H288" s="3" t="s">
        <v>551</v>
      </c>
      <c r="I288" s="6" t="s">
        <v>483</v>
      </c>
      <c r="J288" s="3">
        <v>2</v>
      </c>
      <c r="K288" s="3">
        <v>2</v>
      </c>
      <c r="L288" s="3">
        <v>10.9</v>
      </c>
      <c r="M288" s="3"/>
      <c r="N288" s="3"/>
      <c r="O288" s="3">
        <v>3.6</v>
      </c>
      <c r="P288" s="3"/>
      <c r="Q288" s="3"/>
      <c r="R288" s="3"/>
      <c r="S288" s="3"/>
      <c r="T288" s="3"/>
      <c r="U288" s="3"/>
      <c r="V288" s="3"/>
      <c r="W288" s="3"/>
      <c r="X288" s="3" t="s">
        <v>574</v>
      </c>
      <c r="Y288" s="3"/>
    </row>
    <row r="289" spans="1:25" ht="15" customHeight="1" x14ac:dyDescent="0.3">
      <c r="A289" s="5">
        <v>45859</v>
      </c>
      <c r="B289" s="25">
        <v>31</v>
      </c>
      <c r="C289" s="3" t="s">
        <v>38</v>
      </c>
      <c r="D289" s="3" t="s">
        <v>545</v>
      </c>
      <c r="E289" s="3">
        <v>2</v>
      </c>
      <c r="F289" s="3">
        <v>404</v>
      </c>
      <c r="G289" s="6" t="s">
        <v>13</v>
      </c>
      <c r="H289" s="3" t="s">
        <v>471</v>
      </c>
      <c r="I289" s="6" t="s">
        <v>483</v>
      </c>
      <c r="J289" s="3">
        <v>2</v>
      </c>
      <c r="K289" s="3">
        <v>2</v>
      </c>
      <c r="L289" s="3">
        <v>8.8000000000000007</v>
      </c>
      <c r="M289" s="3"/>
      <c r="N289" s="3"/>
      <c r="O289" s="3">
        <v>4</v>
      </c>
      <c r="P289" s="3"/>
      <c r="Q289" s="3"/>
      <c r="R289" s="3"/>
      <c r="S289" s="3"/>
      <c r="T289" s="3"/>
      <c r="U289" s="3"/>
      <c r="V289" s="3"/>
      <c r="W289" s="3"/>
      <c r="X289" s="3" t="s">
        <v>575</v>
      </c>
      <c r="Y289" s="3"/>
    </row>
    <row r="290" spans="1:25" ht="15" customHeight="1" x14ac:dyDescent="0.3">
      <c r="A290" s="5">
        <v>45859</v>
      </c>
      <c r="B290" s="25">
        <v>31</v>
      </c>
      <c r="C290" s="3" t="s">
        <v>38</v>
      </c>
      <c r="D290" s="3" t="s">
        <v>545</v>
      </c>
      <c r="E290" s="3">
        <v>2</v>
      </c>
      <c r="F290" s="3">
        <v>171</v>
      </c>
      <c r="G290" s="6" t="s">
        <v>552</v>
      </c>
      <c r="H290" s="3" t="s">
        <v>553</v>
      </c>
      <c r="I290" s="6" t="s">
        <v>483</v>
      </c>
      <c r="J290" s="3">
        <v>6</v>
      </c>
      <c r="K290" s="3">
        <v>6</v>
      </c>
      <c r="L290" s="3">
        <v>19.920000000000002</v>
      </c>
      <c r="M290" s="3">
        <v>5</v>
      </c>
      <c r="N290" s="3">
        <v>10.6</v>
      </c>
      <c r="O290" s="3">
        <v>7</v>
      </c>
      <c r="P290" s="3">
        <v>55</v>
      </c>
      <c r="Q290" s="3">
        <v>160</v>
      </c>
      <c r="R290" s="3"/>
      <c r="S290" s="3"/>
      <c r="T290" s="3"/>
      <c r="U290" s="3"/>
      <c r="V290" s="3"/>
      <c r="W290" s="3"/>
      <c r="X290" s="3" t="s">
        <v>79</v>
      </c>
      <c r="Y290" s="3" t="s">
        <v>87</v>
      </c>
    </row>
    <row r="291" spans="1:25" ht="15" customHeight="1" x14ac:dyDescent="0.3">
      <c r="A291" s="5">
        <v>45859</v>
      </c>
      <c r="B291" s="25">
        <v>31</v>
      </c>
      <c r="C291" s="3" t="s">
        <v>38</v>
      </c>
      <c r="D291" s="3" t="s">
        <v>545</v>
      </c>
      <c r="E291" s="3">
        <v>2</v>
      </c>
      <c r="F291" s="3">
        <v>172</v>
      </c>
      <c r="G291" s="6" t="s">
        <v>472</v>
      </c>
      <c r="H291" s="3" t="s">
        <v>473</v>
      </c>
      <c r="I291" s="6" t="s">
        <v>483</v>
      </c>
      <c r="J291" s="3">
        <v>4</v>
      </c>
      <c r="K291" s="3">
        <v>4</v>
      </c>
      <c r="L291" s="3">
        <v>17.899999999999999</v>
      </c>
      <c r="M291" s="3">
        <v>1</v>
      </c>
      <c r="N291" s="3">
        <v>12</v>
      </c>
      <c r="O291" s="3">
        <v>8</v>
      </c>
      <c r="P291" s="3" t="s">
        <v>484</v>
      </c>
      <c r="Q291" s="3">
        <v>170</v>
      </c>
      <c r="R291" s="3"/>
      <c r="S291" s="3"/>
      <c r="T291" s="3"/>
      <c r="U291" s="3"/>
      <c r="V291" s="3"/>
      <c r="W291" s="3"/>
      <c r="X291" s="3" t="s">
        <v>496</v>
      </c>
      <c r="Y291" s="3" t="s">
        <v>87</v>
      </c>
    </row>
    <row r="292" spans="1:25" ht="15" customHeight="1" x14ac:dyDescent="0.3">
      <c r="A292" s="5">
        <v>45859</v>
      </c>
      <c r="B292" s="25">
        <v>31</v>
      </c>
      <c r="C292" s="3" t="s">
        <v>38</v>
      </c>
      <c r="D292" s="3" t="s">
        <v>545</v>
      </c>
      <c r="E292" s="3">
        <v>2</v>
      </c>
      <c r="F292" s="3">
        <v>173</v>
      </c>
      <c r="G292" s="6" t="s">
        <v>554</v>
      </c>
      <c r="H292" s="3" t="s">
        <v>555</v>
      </c>
      <c r="I292" s="6" t="s">
        <v>483</v>
      </c>
      <c r="J292" s="3">
        <v>5</v>
      </c>
      <c r="K292" s="3">
        <v>5</v>
      </c>
      <c r="L292" s="3">
        <v>15.72</v>
      </c>
      <c r="M292" s="3">
        <v>0.9</v>
      </c>
      <c r="N292" s="3">
        <v>9.9</v>
      </c>
      <c r="O292" s="3">
        <v>6.25</v>
      </c>
      <c r="P292" s="3" t="s">
        <v>568</v>
      </c>
      <c r="Q292" s="3">
        <v>170</v>
      </c>
      <c r="R292" s="3"/>
      <c r="S292" s="3"/>
      <c r="T292" s="3"/>
      <c r="U292" s="3"/>
      <c r="V292" s="3"/>
      <c r="W292" s="3"/>
      <c r="X292" s="3" t="s">
        <v>497</v>
      </c>
      <c r="Y292" s="3" t="s">
        <v>87</v>
      </c>
    </row>
    <row r="293" spans="1:25" ht="15" customHeight="1" x14ac:dyDescent="0.3">
      <c r="A293" s="5">
        <v>45859</v>
      </c>
      <c r="B293" s="25">
        <v>31</v>
      </c>
      <c r="C293" s="3" t="s">
        <v>38</v>
      </c>
      <c r="D293" s="3" t="s">
        <v>545</v>
      </c>
      <c r="E293" s="3">
        <v>2</v>
      </c>
      <c r="F293" s="3">
        <v>174</v>
      </c>
      <c r="G293" s="6" t="s">
        <v>512</v>
      </c>
      <c r="H293" s="3" t="s">
        <v>513</v>
      </c>
      <c r="I293" s="6" t="s">
        <v>483</v>
      </c>
      <c r="J293" s="3">
        <v>5</v>
      </c>
      <c r="K293" s="3">
        <v>5</v>
      </c>
      <c r="L293" s="3">
        <v>13.76</v>
      </c>
      <c r="M293" s="3">
        <v>0.7</v>
      </c>
      <c r="N293" s="3">
        <v>8.6</v>
      </c>
      <c r="O293" s="3">
        <v>6</v>
      </c>
      <c r="P293" s="3" t="s">
        <v>569</v>
      </c>
      <c r="Q293" s="3">
        <v>170</v>
      </c>
      <c r="R293" s="3"/>
      <c r="S293" s="3"/>
      <c r="T293" s="3"/>
      <c r="U293" s="3"/>
      <c r="V293" s="3"/>
      <c r="W293" s="3"/>
      <c r="X293" s="3" t="s">
        <v>390</v>
      </c>
      <c r="Y293" s="3" t="s">
        <v>80</v>
      </c>
    </row>
    <row r="294" spans="1:25" ht="15" customHeight="1" x14ac:dyDescent="0.3">
      <c r="A294" s="5">
        <v>45859</v>
      </c>
      <c r="B294" s="25">
        <v>31</v>
      </c>
      <c r="C294" s="3" t="s">
        <v>38</v>
      </c>
      <c r="D294" s="3" t="s">
        <v>545</v>
      </c>
      <c r="E294" s="3">
        <v>2</v>
      </c>
      <c r="F294" s="3">
        <v>176</v>
      </c>
      <c r="G294" s="6" t="s">
        <v>556</v>
      </c>
      <c r="H294" s="3" t="s">
        <v>557</v>
      </c>
      <c r="I294" s="6" t="s">
        <v>483</v>
      </c>
      <c r="J294" s="3">
        <v>5</v>
      </c>
      <c r="K294" s="3">
        <v>5</v>
      </c>
      <c r="L294" s="3">
        <v>16.64</v>
      </c>
      <c r="M294" s="3">
        <v>2</v>
      </c>
      <c r="N294" s="3">
        <v>11</v>
      </c>
      <c r="O294" s="3">
        <v>8</v>
      </c>
      <c r="P294" s="3" t="s">
        <v>570</v>
      </c>
      <c r="Q294" s="3">
        <v>165</v>
      </c>
      <c r="R294" s="3"/>
      <c r="S294" s="3"/>
      <c r="T294" s="3"/>
      <c r="U294" s="3"/>
      <c r="V294" s="3"/>
      <c r="W294" s="3"/>
      <c r="X294" s="3" t="s">
        <v>390</v>
      </c>
      <c r="Y294" s="3" t="s">
        <v>398</v>
      </c>
    </row>
    <row r="295" spans="1:25" ht="15" customHeight="1" x14ac:dyDescent="0.3">
      <c r="A295" s="5">
        <v>45859</v>
      </c>
      <c r="B295" s="25">
        <v>31</v>
      </c>
      <c r="C295" s="3" t="s">
        <v>38</v>
      </c>
      <c r="D295" s="3" t="s">
        <v>545</v>
      </c>
      <c r="E295" s="3">
        <v>2</v>
      </c>
      <c r="F295" s="3">
        <v>177</v>
      </c>
      <c r="G295" s="6" t="s">
        <v>558</v>
      </c>
      <c r="H295" s="3" t="s">
        <v>559</v>
      </c>
      <c r="I295" s="6" t="s">
        <v>483</v>
      </c>
      <c r="J295" s="3">
        <v>3</v>
      </c>
      <c r="K295" s="3">
        <v>3</v>
      </c>
      <c r="L295" s="3">
        <v>13.24</v>
      </c>
      <c r="M295" s="3">
        <v>3.4</v>
      </c>
      <c r="N295" s="3">
        <v>6.25</v>
      </c>
      <c r="O295" s="3">
        <v>4.2</v>
      </c>
      <c r="P295" s="3"/>
      <c r="Q295" s="3">
        <v>170</v>
      </c>
      <c r="R295" s="3"/>
      <c r="S295" s="3"/>
      <c r="T295" s="3"/>
      <c r="U295" s="3"/>
      <c r="V295" s="3"/>
      <c r="W295" s="3"/>
      <c r="X295" s="3" t="s">
        <v>254</v>
      </c>
      <c r="Y295" s="3" t="s">
        <v>80</v>
      </c>
    </row>
    <row r="296" spans="1:25" ht="15" customHeight="1" x14ac:dyDescent="0.3">
      <c r="A296" s="5">
        <v>45859</v>
      </c>
      <c r="B296" s="25">
        <v>31</v>
      </c>
      <c r="C296" s="3" t="s">
        <v>38</v>
      </c>
      <c r="D296" s="3" t="s">
        <v>545</v>
      </c>
      <c r="E296" s="3">
        <v>2</v>
      </c>
      <c r="F296" s="3">
        <v>131</v>
      </c>
      <c r="G296" s="6" t="s">
        <v>560</v>
      </c>
      <c r="H296" s="3" t="s">
        <v>561</v>
      </c>
      <c r="I296" s="6" t="s">
        <v>483</v>
      </c>
      <c r="J296" s="3">
        <v>3</v>
      </c>
      <c r="K296" s="23">
        <v>2</v>
      </c>
      <c r="L296" s="3">
        <v>16.55</v>
      </c>
      <c r="M296" s="3">
        <v>3.9</v>
      </c>
      <c r="N296" s="3">
        <v>8</v>
      </c>
      <c r="O296" s="3">
        <v>5</v>
      </c>
      <c r="P296" s="3"/>
      <c r="Q296" s="3">
        <v>170</v>
      </c>
      <c r="R296" s="3"/>
      <c r="S296" s="3"/>
      <c r="T296" s="3"/>
      <c r="U296" s="3"/>
      <c r="V296" s="3"/>
      <c r="W296" s="3"/>
      <c r="X296" s="3" t="s">
        <v>289</v>
      </c>
      <c r="Y296" s="3" t="s">
        <v>582</v>
      </c>
    </row>
    <row r="297" spans="1:25" ht="15" customHeight="1" x14ac:dyDescent="0.3">
      <c r="A297" s="5">
        <v>45859</v>
      </c>
      <c r="B297" s="25">
        <v>31</v>
      </c>
      <c r="C297" s="3" t="s">
        <v>38</v>
      </c>
      <c r="D297" s="3" t="s">
        <v>545</v>
      </c>
      <c r="E297" s="3">
        <v>2</v>
      </c>
      <c r="F297" s="3">
        <v>133</v>
      </c>
      <c r="G297" s="6" t="s">
        <v>562</v>
      </c>
      <c r="H297" s="3" t="s">
        <v>563</v>
      </c>
      <c r="I297" s="6" t="s">
        <v>483</v>
      </c>
      <c r="J297" s="3">
        <v>4</v>
      </c>
      <c r="K297" s="3">
        <v>4</v>
      </c>
      <c r="L297" s="3">
        <v>16.2</v>
      </c>
      <c r="M297" s="3">
        <v>2.5</v>
      </c>
      <c r="N297" s="3">
        <v>6.1</v>
      </c>
      <c r="O297" s="3">
        <v>4.3</v>
      </c>
      <c r="P297" s="3"/>
      <c r="Q297" s="3">
        <v>170</v>
      </c>
      <c r="R297" s="3"/>
      <c r="S297" s="3"/>
      <c r="T297" s="3"/>
      <c r="U297" s="3"/>
      <c r="V297" s="3"/>
      <c r="W297" s="3"/>
      <c r="X297" s="3" t="s">
        <v>80</v>
      </c>
      <c r="Y297" s="3" t="s">
        <v>583</v>
      </c>
    </row>
    <row r="298" spans="1:25" ht="15" customHeight="1" x14ac:dyDescent="0.3">
      <c r="A298" s="5">
        <v>45859</v>
      </c>
      <c r="B298" s="25">
        <v>31</v>
      </c>
      <c r="C298" s="3" t="s">
        <v>38</v>
      </c>
      <c r="D298" s="3" t="s">
        <v>545</v>
      </c>
      <c r="E298" s="3">
        <v>2</v>
      </c>
      <c r="F298" s="3">
        <v>206</v>
      </c>
      <c r="G298" s="6" t="s">
        <v>373</v>
      </c>
      <c r="H298" s="3" t="s">
        <v>564</v>
      </c>
      <c r="I298" s="6" t="s">
        <v>111</v>
      </c>
      <c r="J298" s="3">
        <v>12</v>
      </c>
      <c r="K298" s="23">
        <v>11</v>
      </c>
      <c r="L298" s="3">
        <v>27.3</v>
      </c>
      <c r="M298" s="3">
        <v>18</v>
      </c>
      <c r="N298" s="3">
        <v>1.3</v>
      </c>
      <c r="O298" s="3"/>
      <c r="P298" s="3"/>
      <c r="Q298" s="3"/>
      <c r="R298" s="3" t="s">
        <v>571</v>
      </c>
      <c r="S298" s="3" t="s">
        <v>522</v>
      </c>
      <c r="T298" s="3">
        <v>0.5</v>
      </c>
      <c r="U298" s="3">
        <v>30</v>
      </c>
      <c r="V298" s="3">
        <v>45</v>
      </c>
      <c r="W298" s="3">
        <v>120</v>
      </c>
      <c r="X298" s="3" t="s">
        <v>576</v>
      </c>
      <c r="Y298" s="3" t="s">
        <v>584</v>
      </c>
    </row>
    <row r="299" spans="1:25" ht="15" customHeight="1" x14ac:dyDescent="0.3">
      <c r="A299" s="5">
        <v>45859</v>
      </c>
      <c r="B299" s="25">
        <v>31</v>
      </c>
      <c r="C299" s="3" t="s">
        <v>38</v>
      </c>
      <c r="D299" s="3" t="s">
        <v>545</v>
      </c>
      <c r="E299" s="3">
        <v>2</v>
      </c>
      <c r="F299" s="3">
        <v>301</v>
      </c>
      <c r="G299" s="6" t="s">
        <v>30</v>
      </c>
      <c r="H299" s="3" t="s">
        <v>194</v>
      </c>
      <c r="I299" s="6" t="s">
        <v>5</v>
      </c>
      <c r="J299" s="3">
        <v>8</v>
      </c>
      <c r="K299" s="23">
        <v>5</v>
      </c>
      <c r="L299" s="3">
        <v>27.88</v>
      </c>
      <c r="M299" s="3">
        <v>9</v>
      </c>
      <c r="N299" s="3">
        <v>5</v>
      </c>
      <c r="O299" s="3"/>
      <c r="P299" s="3"/>
      <c r="Q299" s="3"/>
      <c r="R299" s="3" t="s">
        <v>572</v>
      </c>
      <c r="S299" s="3" t="s">
        <v>133</v>
      </c>
      <c r="T299" s="3">
        <v>1</v>
      </c>
      <c r="U299" s="3">
        <v>30</v>
      </c>
      <c r="V299" s="3">
        <v>45</v>
      </c>
      <c r="W299" s="3">
        <v>130</v>
      </c>
      <c r="X299" s="3" t="s">
        <v>577</v>
      </c>
      <c r="Y299" s="3" t="s">
        <v>402</v>
      </c>
    </row>
    <row r="300" spans="1:25" ht="15" customHeight="1" x14ac:dyDescent="0.3">
      <c r="A300" s="5">
        <v>45859</v>
      </c>
      <c r="B300" s="25">
        <v>31</v>
      </c>
      <c r="C300" s="3" t="s">
        <v>38</v>
      </c>
      <c r="D300" s="3" t="s">
        <v>545</v>
      </c>
      <c r="E300" s="3">
        <v>2</v>
      </c>
      <c r="F300" s="3">
        <v>302</v>
      </c>
      <c r="G300" s="6" t="s">
        <v>31</v>
      </c>
      <c r="H300" s="3" t="s">
        <v>195</v>
      </c>
      <c r="I300" s="6" t="s">
        <v>483</v>
      </c>
      <c r="J300" s="3">
        <v>12</v>
      </c>
      <c r="K300" s="3">
        <v>12</v>
      </c>
      <c r="L300" s="3">
        <v>61.3</v>
      </c>
      <c r="M300" s="3">
        <v>18</v>
      </c>
      <c r="N300" s="3">
        <v>11</v>
      </c>
      <c r="O300" s="3"/>
      <c r="P300" s="3"/>
      <c r="Q300" s="3"/>
      <c r="R300" s="3" t="s">
        <v>573</v>
      </c>
      <c r="S300" s="3" t="s">
        <v>523</v>
      </c>
      <c r="T300" s="3">
        <v>6</v>
      </c>
      <c r="U300" s="3">
        <v>30</v>
      </c>
      <c r="V300" s="3">
        <v>65</v>
      </c>
      <c r="W300" s="3">
        <v>150</v>
      </c>
      <c r="X300" s="3" t="s">
        <v>578</v>
      </c>
      <c r="Y300" s="3" t="s">
        <v>585</v>
      </c>
    </row>
    <row r="301" spans="1:25" ht="15" customHeight="1" x14ac:dyDescent="0.3">
      <c r="A301" s="5">
        <v>45859</v>
      </c>
      <c r="B301" s="25">
        <v>31</v>
      </c>
      <c r="C301" s="3" t="s">
        <v>38</v>
      </c>
      <c r="D301" s="3" t="s">
        <v>545</v>
      </c>
      <c r="E301" s="3">
        <v>2</v>
      </c>
      <c r="F301" s="3">
        <v>175</v>
      </c>
      <c r="G301" s="6" t="s">
        <v>310</v>
      </c>
      <c r="H301" s="3" t="s">
        <v>565</v>
      </c>
      <c r="I301" s="6" t="s">
        <v>483</v>
      </c>
      <c r="J301" s="3">
        <v>3</v>
      </c>
      <c r="K301" s="3">
        <v>3</v>
      </c>
      <c r="L301" s="3">
        <v>18.350000000000001</v>
      </c>
      <c r="M301" s="3">
        <v>4</v>
      </c>
      <c r="N301" s="3">
        <v>9.9</v>
      </c>
      <c r="O301" s="3">
        <v>5.6</v>
      </c>
      <c r="P301" s="3" t="s">
        <v>241</v>
      </c>
      <c r="Q301" s="3">
        <v>180</v>
      </c>
      <c r="R301" s="3"/>
      <c r="S301" s="3"/>
      <c r="T301" s="3"/>
      <c r="U301" s="3"/>
      <c r="V301" s="3"/>
      <c r="W301" s="3"/>
      <c r="X301" s="3" t="s">
        <v>79</v>
      </c>
      <c r="Y301" s="3" t="s">
        <v>87</v>
      </c>
    </row>
    <row r="302" spans="1:25" ht="15" customHeight="1" x14ac:dyDescent="0.3">
      <c r="A302" s="5">
        <v>45859</v>
      </c>
      <c r="B302" s="25">
        <v>31</v>
      </c>
      <c r="C302" s="3" t="s">
        <v>38</v>
      </c>
      <c r="D302" s="3" t="s">
        <v>545</v>
      </c>
      <c r="E302" s="3">
        <v>2</v>
      </c>
      <c r="F302" s="3">
        <v>181</v>
      </c>
      <c r="G302" s="6" t="s">
        <v>566</v>
      </c>
      <c r="H302" s="3" t="s">
        <v>567</v>
      </c>
      <c r="I302" s="6" t="s">
        <v>483</v>
      </c>
      <c r="J302" s="3">
        <v>4</v>
      </c>
      <c r="K302" s="3">
        <v>4</v>
      </c>
      <c r="L302" s="3">
        <v>14</v>
      </c>
      <c r="M302" s="3">
        <v>4</v>
      </c>
      <c r="N302" s="3">
        <v>6</v>
      </c>
      <c r="O302" s="3">
        <v>2.6</v>
      </c>
      <c r="P302" s="3"/>
      <c r="Q302" s="3">
        <v>175</v>
      </c>
      <c r="R302" s="3"/>
      <c r="S302" s="3"/>
      <c r="T302" s="3"/>
      <c r="U302" s="3"/>
      <c r="V302" s="3"/>
      <c r="W302" s="3"/>
      <c r="X302" s="3" t="s">
        <v>388</v>
      </c>
      <c r="Y302" s="3" t="s">
        <v>396</v>
      </c>
    </row>
    <row r="303" spans="1:25" ht="15" customHeight="1" x14ac:dyDescent="0.3">
      <c r="A303" s="5">
        <v>45859</v>
      </c>
      <c r="B303" s="25">
        <v>31</v>
      </c>
      <c r="C303" s="3" t="s">
        <v>38</v>
      </c>
      <c r="D303" s="3" t="s">
        <v>545</v>
      </c>
      <c r="E303" s="3">
        <v>2</v>
      </c>
      <c r="F303" s="3">
        <v>132</v>
      </c>
      <c r="G303" s="6" t="s">
        <v>481</v>
      </c>
      <c r="H303" s="3" t="s">
        <v>482</v>
      </c>
      <c r="I303" s="6" t="s">
        <v>483</v>
      </c>
      <c r="J303" s="3">
        <v>3</v>
      </c>
      <c r="K303" s="3">
        <v>3</v>
      </c>
      <c r="L303" s="3">
        <v>22.35</v>
      </c>
      <c r="M303" s="3">
        <v>5.5</v>
      </c>
      <c r="N303" s="3">
        <v>11.5</v>
      </c>
      <c r="O303" s="3">
        <v>7</v>
      </c>
      <c r="P303" s="3"/>
      <c r="Q303" s="3">
        <v>170</v>
      </c>
      <c r="R303" s="3"/>
      <c r="S303" s="3"/>
      <c r="T303" s="3"/>
      <c r="U303" s="3"/>
      <c r="V303" s="3"/>
      <c r="W303" s="3"/>
      <c r="X303" s="3" t="s">
        <v>579</v>
      </c>
      <c r="Y303" s="3" t="s">
        <v>586</v>
      </c>
    </row>
    <row r="304" spans="1:25" ht="15" customHeight="1" x14ac:dyDescent="0.3">
      <c r="A304" s="27">
        <v>45860</v>
      </c>
      <c r="B304" s="25">
        <v>31</v>
      </c>
      <c r="C304" s="3" t="s">
        <v>38</v>
      </c>
      <c r="D304" s="3" t="s">
        <v>545</v>
      </c>
      <c r="E304" s="3">
        <v>2</v>
      </c>
      <c r="F304" s="3">
        <v>103</v>
      </c>
      <c r="G304" s="6" t="s">
        <v>163</v>
      </c>
      <c r="H304" s="3" t="s">
        <v>546</v>
      </c>
      <c r="I304" s="6" t="s">
        <v>5</v>
      </c>
      <c r="J304" s="3">
        <v>5</v>
      </c>
      <c r="K304" s="3">
        <v>5</v>
      </c>
      <c r="L304" s="3">
        <v>14.29</v>
      </c>
      <c r="M304" s="3">
        <v>3.5</v>
      </c>
      <c r="N304" s="3">
        <v>6.5</v>
      </c>
      <c r="O304" s="3">
        <v>6</v>
      </c>
      <c r="P304" s="3">
        <v>35</v>
      </c>
      <c r="Q304" s="3">
        <v>165</v>
      </c>
      <c r="R304" s="3"/>
      <c r="S304" s="3"/>
      <c r="T304" s="3"/>
      <c r="U304" s="3"/>
      <c r="V304" s="3"/>
      <c r="W304" s="3"/>
      <c r="X304" s="3" t="s">
        <v>79</v>
      </c>
      <c r="Y304" s="3" t="s">
        <v>254</v>
      </c>
    </row>
    <row r="305" spans="1:25" ht="15" customHeight="1" x14ac:dyDescent="0.3">
      <c r="A305" s="27">
        <v>45860</v>
      </c>
      <c r="B305" s="25">
        <v>31</v>
      </c>
      <c r="C305" s="3" t="s">
        <v>38</v>
      </c>
      <c r="D305" s="3" t="s">
        <v>545</v>
      </c>
      <c r="E305" s="3">
        <v>2</v>
      </c>
      <c r="F305" s="3">
        <v>161</v>
      </c>
      <c r="G305" s="6" t="s">
        <v>274</v>
      </c>
      <c r="H305" s="3" t="s">
        <v>358</v>
      </c>
      <c r="I305" s="6" t="s">
        <v>483</v>
      </c>
      <c r="J305" s="3">
        <v>2</v>
      </c>
      <c r="K305" s="3">
        <v>2</v>
      </c>
      <c r="L305" s="3">
        <v>24</v>
      </c>
      <c r="M305" s="3">
        <v>6</v>
      </c>
      <c r="N305" s="3">
        <v>9.6</v>
      </c>
      <c r="O305" s="3">
        <v>4</v>
      </c>
      <c r="P305" s="3">
        <v>34</v>
      </c>
      <c r="Q305" s="3">
        <v>170</v>
      </c>
      <c r="R305" s="3"/>
      <c r="S305" s="3"/>
      <c r="T305" s="3"/>
      <c r="U305" s="3"/>
      <c r="V305" s="3"/>
      <c r="W305" s="3"/>
      <c r="X305" s="3" t="s">
        <v>388</v>
      </c>
      <c r="Y305" s="3" t="s">
        <v>396</v>
      </c>
    </row>
    <row r="306" spans="1:25" ht="15" customHeight="1" x14ac:dyDescent="0.3">
      <c r="A306" s="27">
        <v>45860</v>
      </c>
      <c r="B306" s="25">
        <v>31</v>
      </c>
      <c r="C306" s="3" t="s">
        <v>38</v>
      </c>
      <c r="D306" s="3" t="s">
        <v>545</v>
      </c>
      <c r="E306" s="3">
        <v>2</v>
      </c>
      <c r="F306" s="3">
        <v>162</v>
      </c>
      <c r="G306" s="6" t="s">
        <v>549</v>
      </c>
      <c r="H306" s="3" t="s">
        <v>550</v>
      </c>
      <c r="I306" s="6" t="s">
        <v>483</v>
      </c>
      <c r="J306" s="3">
        <v>2</v>
      </c>
      <c r="K306" s="3">
        <v>2</v>
      </c>
      <c r="L306" s="3">
        <v>24</v>
      </c>
      <c r="M306" s="3">
        <v>3.5</v>
      </c>
      <c r="N306" s="3">
        <v>6.5</v>
      </c>
      <c r="O306" s="3">
        <v>3</v>
      </c>
      <c r="P306" s="3">
        <v>22</v>
      </c>
      <c r="Q306" s="3">
        <v>170</v>
      </c>
      <c r="R306" s="3"/>
      <c r="S306" s="3"/>
      <c r="T306" s="3"/>
      <c r="U306" s="3"/>
      <c r="V306" s="3"/>
      <c r="W306" s="3"/>
      <c r="X306" s="3" t="s">
        <v>527</v>
      </c>
      <c r="Y306" s="3" t="s">
        <v>505</v>
      </c>
    </row>
    <row r="307" spans="1:25" ht="15" customHeight="1" x14ac:dyDescent="0.3">
      <c r="A307" s="27">
        <v>45860</v>
      </c>
      <c r="B307" s="25">
        <v>31</v>
      </c>
      <c r="C307" s="3" t="s">
        <v>38</v>
      </c>
      <c r="D307" s="3" t="s">
        <v>545</v>
      </c>
      <c r="E307" s="3">
        <v>2</v>
      </c>
      <c r="F307" s="3">
        <v>164</v>
      </c>
      <c r="G307" s="6" t="s">
        <v>587</v>
      </c>
      <c r="H307" s="3" t="s">
        <v>588</v>
      </c>
      <c r="I307" s="6" t="s">
        <v>483</v>
      </c>
      <c r="J307" s="3">
        <v>2</v>
      </c>
      <c r="K307" s="3">
        <v>2</v>
      </c>
      <c r="L307" s="3">
        <v>22.64</v>
      </c>
      <c r="M307" s="3">
        <v>7</v>
      </c>
      <c r="N307" s="3">
        <v>8</v>
      </c>
      <c r="O307" s="3">
        <v>3.8</v>
      </c>
      <c r="P307" s="3">
        <v>33</v>
      </c>
      <c r="Q307" s="3">
        <v>180</v>
      </c>
      <c r="R307" s="3"/>
      <c r="S307" s="3"/>
      <c r="T307" s="3"/>
      <c r="U307" s="3"/>
      <c r="V307" s="3"/>
      <c r="W307" s="3"/>
      <c r="X307" s="3" t="s">
        <v>84</v>
      </c>
      <c r="Y307" s="3" t="s">
        <v>153</v>
      </c>
    </row>
    <row r="308" spans="1:25" ht="15" customHeight="1" x14ac:dyDescent="0.3">
      <c r="A308" s="27">
        <v>45860</v>
      </c>
      <c r="B308" s="25">
        <v>31</v>
      </c>
      <c r="C308" s="3" t="s">
        <v>38</v>
      </c>
      <c r="D308" s="3" t="s">
        <v>545</v>
      </c>
      <c r="E308" s="3">
        <v>2</v>
      </c>
      <c r="F308" s="3">
        <v>402</v>
      </c>
      <c r="G308" s="6" t="s">
        <v>12</v>
      </c>
      <c r="H308" s="3" t="s">
        <v>589</v>
      </c>
      <c r="I308" s="6" t="s">
        <v>483</v>
      </c>
      <c r="J308" s="3">
        <v>2</v>
      </c>
      <c r="K308" s="3">
        <v>2</v>
      </c>
      <c r="L308" s="3">
        <v>10.9</v>
      </c>
      <c r="M308" s="3"/>
      <c r="N308" s="3"/>
      <c r="O308" s="3">
        <v>3.6</v>
      </c>
      <c r="P308" s="3"/>
      <c r="Q308" s="3"/>
      <c r="R308" s="3"/>
      <c r="S308" s="3"/>
      <c r="T308" s="3"/>
      <c r="U308" s="3"/>
      <c r="V308" s="3"/>
      <c r="W308" s="3"/>
      <c r="X308" s="3" t="s">
        <v>610</v>
      </c>
      <c r="Y308" s="3"/>
    </row>
    <row r="309" spans="1:25" ht="15" customHeight="1" x14ac:dyDescent="0.3">
      <c r="A309" s="27">
        <v>45860</v>
      </c>
      <c r="B309" s="25">
        <v>31</v>
      </c>
      <c r="C309" s="3" t="s">
        <v>38</v>
      </c>
      <c r="D309" s="3" t="s">
        <v>545</v>
      </c>
      <c r="E309" s="3">
        <v>2</v>
      </c>
      <c r="F309" s="3">
        <v>171</v>
      </c>
      <c r="G309" s="6" t="s">
        <v>552</v>
      </c>
      <c r="H309" s="3" t="s">
        <v>553</v>
      </c>
      <c r="I309" s="6" t="s">
        <v>483</v>
      </c>
      <c r="J309" s="3">
        <v>6</v>
      </c>
      <c r="K309" s="3">
        <v>6</v>
      </c>
      <c r="L309" s="3">
        <v>19.600000000000001</v>
      </c>
      <c r="M309" s="3">
        <v>5.0999999999999996</v>
      </c>
      <c r="N309" s="3">
        <v>10.6</v>
      </c>
      <c r="O309" s="3">
        <v>7</v>
      </c>
      <c r="P309" s="3">
        <v>55</v>
      </c>
      <c r="Q309" s="3">
        <v>170</v>
      </c>
      <c r="R309" s="3"/>
      <c r="S309" s="3"/>
      <c r="T309" s="3"/>
      <c r="U309" s="3"/>
      <c r="V309" s="3"/>
      <c r="W309" s="3"/>
      <c r="X309" s="3" t="s">
        <v>611</v>
      </c>
      <c r="Y309" s="3" t="s">
        <v>254</v>
      </c>
    </row>
    <row r="310" spans="1:25" ht="15" customHeight="1" x14ac:dyDescent="0.3">
      <c r="A310" s="27">
        <v>45860</v>
      </c>
      <c r="B310" s="25">
        <v>31</v>
      </c>
      <c r="C310" s="3" t="s">
        <v>38</v>
      </c>
      <c r="D310" s="3" t="s">
        <v>545</v>
      </c>
      <c r="E310" s="3">
        <v>2</v>
      </c>
      <c r="F310" s="3">
        <v>172</v>
      </c>
      <c r="G310" s="6" t="s">
        <v>472</v>
      </c>
      <c r="H310" s="3" t="s">
        <v>473</v>
      </c>
      <c r="I310" s="6" t="s">
        <v>483</v>
      </c>
      <c r="J310" s="3">
        <v>4</v>
      </c>
      <c r="K310" s="3">
        <v>4</v>
      </c>
      <c r="L310" s="3">
        <v>17.649999999999999</v>
      </c>
      <c r="M310" s="3">
        <v>1</v>
      </c>
      <c r="N310" s="3">
        <v>12</v>
      </c>
      <c r="O310" s="3">
        <v>8</v>
      </c>
      <c r="P310" s="3" t="s">
        <v>484</v>
      </c>
      <c r="Q310" s="3">
        <v>170</v>
      </c>
      <c r="R310" s="3"/>
      <c r="S310" s="3"/>
      <c r="T310" s="3"/>
      <c r="U310" s="3"/>
      <c r="V310" s="3"/>
      <c r="W310" s="3"/>
      <c r="X310" s="3" t="s">
        <v>496</v>
      </c>
      <c r="Y310" s="3" t="s">
        <v>87</v>
      </c>
    </row>
    <row r="311" spans="1:25" ht="15" customHeight="1" x14ac:dyDescent="0.3">
      <c r="A311" s="27">
        <v>45860</v>
      </c>
      <c r="B311" s="25">
        <v>31</v>
      </c>
      <c r="C311" s="3" t="s">
        <v>38</v>
      </c>
      <c r="D311" s="3" t="s">
        <v>545</v>
      </c>
      <c r="E311" s="3">
        <v>2</v>
      </c>
      <c r="F311" s="3">
        <v>173</v>
      </c>
      <c r="G311" s="6" t="s">
        <v>554</v>
      </c>
      <c r="H311" s="3" t="s">
        <v>555</v>
      </c>
      <c r="I311" s="6" t="s">
        <v>483</v>
      </c>
      <c r="J311" s="3">
        <v>5</v>
      </c>
      <c r="K311" s="3">
        <v>5</v>
      </c>
      <c r="L311" s="3">
        <v>15.77</v>
      </c>
      <c r="M311" s="3">
        <v>0.9</v>
      </c>
      <c r="N311" s="3">
        <v>9.9</v>
      </c>
      <c r="O311" s="3">
        <v>6.25</v>
      </c>
      <c r="P311" s="3" t="s">
        <v>568</v>
      </c>
      <c r="Q311" s="3">
        <v>170</v>
      </c>
      <c r="R311" s="3"/>
      <c r="S311" s="3"/>
      <c r="T311" s="3"/>
      <c r="U311" s="3"/>
      <c r="V311" s="3"/>
      <c r="W311" s="3"/>
      <c r="X311" s="3" t="s">
        <v>497</v>
      </c>
      <c r="Y311" s="3" t="s">
        <v>87</v>
      </c>
    </row>
    <row r="312" spans="1:25" ht="15" customHeight="1" x14ac:dyDescent="0.3">
      <c r="A312" s="27">
        <v>45860</v>
      </c>
      <c r="B312" s="25">
        <v>31</v>
      </c>
      <c r="C312" s="3" t="s">
        <v>38</v>
      </c>
      <c r="D312" s="3" t="s">
        <v>545</v>
      </c>
      <c r="E312" s="3">
        <v>2</v>
      </c>
      <c r="F312" s="3">
        <v>174</v>
      </c>
      <c r="G312" s="6" t="s">
        <v>590</v>
      </c>
      <c r="H312" s="3" t="s">
        <v>591</v>
      </c>
      <c r="I312" s="6" t="s">
        <v>483</v>
      </c>
      <c r="J312" s="3">
        <v>5</v>
      </c>
      <c r="K312" s="3">
        <v>5</v>
      </c>
      <c r="L312" s="3">
        <v>14.72</v>
      </c>
      <c r="M312" s="3">
        <v>0.5</v>
      </c>
      <c r="N312" s="3">
        <v>9.5</v>
      </c>
      <c r="O312" s="3">
        <v>6</v>
      </c>
      <c r="P312" s="3" t="s">
        <v>599</v>
      </c>
      <c r="Q312" s="3">
        <v>170</v>
      </c>
      <c r="R312" s="3"/>
      <c r="S312" s="3"/>
      <c r="T312" s="3"/>
      <c r="U312" s="3"/>
      <c r="V312" s="3"/>
      <c r="W312" s="3"/>
      <c r="X312" s="3" t="s">
        <v>390</v>
      </c>
      <c r="Y312" s="3" t="s">
        <v>80</v>
      </c>
    </row>
    <row r="313" spans="1:25" ht="15" customHeight="1" x14ac:dyDescent="0.3">
      <c r="A313" s="27">
        <v>45860</v>
      </c>
      <c r="B313" s="25">
        <v>31</v>
      </c>
      <c r="C313" s="3" t="s">
        <v>38</v>
      </c>
      <c r="D313" s="3" t="s">
        <v>545</v>
      </c>
      <c r="E313" s="3">
        <v>2</v>
      </c>
      <c r="F313" s="3">
        <v>176</v>
      </c>
      <c r="G313" s="6" t="s">
        <v>556</v>
      </c>
      <c r="H313" s="3" t="s">
        <v>557</v>
      </c>
      <c r="I313" s="6" t="s">
        <v>483</v>
      </c>
      <c r="J313" s="3">
        <v>5</v>
      </c>
      <c r="K313" s="3">
        <v>5</v>
      </c>
      <c r="L313" s="3">
        <v>16.600000000000001</v>
      </c>
      <c r="M313" s="3">
        <v>1</v>
      </c>
      <c r="N313" s="3">
        <v>11</v>
      </c>
      <c r="O313" s="3">
        <v>8</v>
      </c>
      <c r="P313" s="3" t="s">
        <v>570</v>
      </c>
      <c r="Q313" s="3">
        <v>165</v>
      </c>
      <c r="R313" s="3"/>
      <c r="S313" s="3"/>
      <c r="T313" s="3"/>
      <c r="U313" s="3"/>
      <c r="V313" s="3"/>
      <c r="W313" s="3"/>
      <c r="X313" s="3" t="s">
        <v>390</v>
      </c>
      <c r="Y313" s="3" t="s">
        <v>398</v>
      </c>
    </row>
    <row r="314" spans="1:25" ht="15" customHeight="1" x14ac:dyDescent="0.3">
      <c r="A314" s="27">
        <v>45860</v>
      </c>
      <c r="B314" s="25">
        <v>31</v>
      </c>
      <c r="C314" s="3" t="s">
        <v>38</v>
      </c>
      <c r="D314" s="3" t="s">
        <v>545</v>
      </c>
      <c r="E314" s="3">
        <v>2</v>
      </c>
      <c r="F314" s="3">
        <v>177</v>
      </c>
      <c r="G314" s="6" t="s">
        <v>558</v>
      </c>
      <c r="H314" s="3" t="s">
        <v>592</v>
      </c>
      <c r="I314" s="6" t="s">
        <v>483</v>
      </c>
      <c r="J314" s="3">
        <v>3</v>
      </c>
      <c r="K314" s="3">
        <v>3</v>
      </c>
      <c r="L314" s="3">
        <v>13.11</v>
      </c>
      <c r="M314" s="3">
        <v>3.3</v>
      </c>
      <c r="N314" s="3">
        <v>6.25</v>
      </c>
      <c r="O314" s="3">
        <v>4.2</v>
      </c>
      <c r="P314" s="3"/>
      <c r="Q314" s="3">
        <v>170</v>
      </c>
      <c r="R314" s="3"/>
      <c r="S314" s="3"/>
      <c r="T314" s="3"/>
      <c r="U314" s="3"/>
      <c r="V314" s="3"/>
      <c r="W314" s="3"/>
      <c r="X314" s="3" t="s">
        <v>254</v>
      </c>
      <c r="Y314" s="3" t="s">
        <v>80</v>
      </c>
    </row>
    <row r="315" spans="1:25" ht="15" customHeight="1" x14ac:dyDescent="0.3">
      <c r="A315" s="27">
        <v>45860</v>
      </c>
      <c r="B315" s="25">
        <v>31</v>
      </c>
      <c r="C315" s="3" t="s">
        <v>38</v>
      </c>
      <c r="D315" s="3" t="s">
        <v>545</v>
      </c>
      <c r="E315" s="3">
        <v>2</v>
      </c>
      <c r="F315" s="3">
        <v>133</v>
      </c>
      <c r="G315" s="6" t="s">
        <v>562</v>
      </c>
      <c r="H315" s="3" t="s">
        <v>563</v>
      </c>
      <c r="I315" s="6" t="s">
        <v>483</v>
      </c>
      <c r="J315" s="3">
        <v>4</v>
      </c>
      <c r="K315" s="3">
        <v>4</v>
      </c>
      <c r="L315" s="3">
        <v>15.87</v>
      </c>
      <c r="M315" s="3">
        <v>2.6</v>
      </c>
      <c r="N315" s="3">
        <v>6.1</v>
      </c>
      <c r="O315" s="3">
        <v>4.3</v>
      </c>
      <c r="P315" s="3"/>
      <c r="Q315" s="3">
        <v>170</v>
      </c>
      <c r="R315" s="3"/>
      <c r="S315" s="3"/>
      <c r="T315" s="3"/>
      <c r="U315" s="3"/>
      <c r="V315" s="3"/>
      <c r="W315" s="3"/>
      <c r="X315" s="3" t="s">
        <v>80</v>
      </c>
      <c r="Y315" s="3" t="s">
        <v>583</v>
      </c>
    </row>
    <row r="316" spans="1:25" ht="15" customHeight="1" x14ac:dyDescent="0.3">
      <c r="A316" s="27">
        <v>45860</v>
      </c>
      <c r="B316" s="25">
        <v>31</v>
      </c>
      <c r="C316" s="3" t="s">
        <v>38</v>
      </c>
      <c r="D316" s="3" t="s">
        <v>545</v>
      </c>
      <c r="E316" s="3">
        <v>2</v>
      </c>
      <c r="F316" s="3">
        <v>206</v>
      </c>
      <c r="G316" s="6" t="s">
        <v>373</v>
      </c>
      <c r="H316" s="3" t="s">
        <v>564</v>
      </c>
      <c r="I316" s="6" t="s">
        <v>111</v>
      </c>
      <c r="J316" s="3">
        <v>12</v>
      </c>
      <c r="K316" s="23">
        <v>11</v>
      </c>
      <c r="L316" s="3">
        <v>28.7</v>
      </c>
      <c r="M316" s="3">
        <v>18</v>
      </c>
      <c r="N316" s="3">
        <v>1.2</v>
      </c>
      <c r="O316" s="3"/>
      <c r="P316" s="3"/>
      <c r="Q316" s="3"/>
      <c r="R316" s="3" t="s">
        <v>601</v>
      </c>
      <c r="S316" s="3" t="s">
        <v>605</v>
      </c>
      <c r="T316" s="3">
        <v>0.5</v>
      </c>
      <c r="U316" s="3">
        <v>30</v>
      </c>
      <c r="V316" s="3">
        <v>45</v>
      </c>
      <c r="W316" s="3">
        <v>120</v>
      </c>
      <c r="X316" s="3" t="s">
        <v>612</v>
      </c>
      <c r="Y316" s="3" t="s">
        <v>584</v>
      </c>
    </row>
    <row r="317" spans="1:25" ht="15" customHeight="1" x14ac:dyDescent="0.3">
      <c r="A317" s="27">
        <v>45860</v>
      </c>
      <c r="B317" s="25">
        <v>31</v>
      </c>
      <c r="C317" s="3" t="s">
        <v>38</v>
      </c>
      <c r="D317" s="3" t="s">
        <v>545</v>
      </c>
      <c r="E317" s="3">
        <v>2</v>
      </c>
      <c r="F317" s="3">
        <v>207</v>
      </c>
      <c r="G317" s="6" t="s">
        <v>476</v>
      </c>
      <c r="H317" s="3" t="s">
        <v>477</v>
      </c>
      <c r="I317" s="6" t="s">
        <v>111</v>
      </c>
      <c r="J317" s="3">
        <v>12</v>
      </c>
      <c r="K317" s="23">
        <v>7</v>
      </c>
      <c r="L317" s="3">
        <v>35.1</v>
      </c>
      <c r="M317" s="3">
        <v>15</v>
      </c>
      <c r="N317" s="3">
        <v>3</v>
      </c>
      <c r="O317" s="3"/>
      <c r="P317" s="3"/>
      <c r="Q317" s="3"/>
      <c r="R317" s="3" t="s">
        <v>71</v>
      </c>
      <c r="S317" s="3" t="s">
        <v>606</v>
      </c>
      <c r="T317" s="3">
        <v>2.5</v>
      </c>
      <c r="U317" s="3">
        <v>20</v>
      </c>
      <c r="V317" s="3">
        <v>30</v>
      </c>
      <c r="W317" s="3">
        <v>140</v>
      </c>
      <c r="X317" s="3" t="s">
        <v>613</v>
      </c>
      <c r="Y317" s="3" t="s">
        <v>620</v>
      </c>
    </row>
    <row r="318" spans="1:25" ht="15" customHeight="1" x14ac:dyDescent="0.3">
      <c r="A318" s="27">
        <v>45860</v>
      </c>
      <c r="B318" s="25">
        <v>31</v>
      </c>
      <c r="C318" s="3" t="s">
        <v>38</v>
      </c>
      <c r="D318" s="3" t="s">
        <v>545</v>
      </c>
      <c r="E318" s="3">
        <v>2</v>
      </c>
      <c r="F318" s="3">
        <v>208</v>
      </c>
      <c r="G318" s="6" t="s">
        <v>593</v>
      </c>
      <c r="H318" s="3" t="s">
        <v>594</v>
      </c>
      <c r="I318" s="6" t="s">
        <v>110</v>
      </c>
      <c r="J318" s="3">
        <v>4</v>
      </c>
      <c r="K318" s="23">
        <v>2</v>
      </c>
      <c r="L318" s="3">
        <v>23.2</v>
      </c>
      <c r="M318" s="3">
        <v>10</v>
      </c>
      <c r="N318" s="3">
        <v>3</v>
      </c>
      <c r="O318" s="3"/>
      <c r="P318" s="3"/>
      <c r="Q318" s="3"/>
      <c r="R318" s="3" t="s">
        <v>602</v>
      </c>
      <c r="S318" s="3" t="s">
        <v>573</v>
      </c>
      <c r="T318" s="3">
        <v>2.5</v>
      </c>
      <c r="U318" s="3">
        <v>20</v>
      </c>
      <c r="V318" s="3">
        <v>30</v>
      </c>
      <c r="W318" s="3">
        <v>120</v>
      </c>
      <c r="X318" s="3" t="s">
        <v>614</v>
      </c>
      <c r="Y318" s="3" t="s">
        <v>621</v>
      </c>
    </row>
    <row r="319" spans="1:25" ht="15" customHeight="1" x14ac:dyDescent="0.3">
      <c r="A319" s="27">
        <v>45860</v>
      </c>
      <c r="B319" s="25">
        <v>31</v>
      </c>
      <c r="C319" s="3" t="s">
        <v>38</v>
      </c>
      <c r="D319" s="3" t="s">
        <v>545</v>
      </c>
      <c r="E319" s="3">
        <v>2</v>
      </c>
      <c r="F319" s="3">
        <v>209</v>
      </c>
      <c r="G319" s="6" t="s">
        <v>377</v>
      </c>
      <c r="H319" s="3" t="s">
        <v>378</v>
      </c>
      <c r="I319" s="6" t="s">
        <v>111</v>
      </c>
      <c r="J319" s="3">
        <v>4</v>
      </c>
      <c r="K319" s="3">
        <v>4</v>
      </c>
      <c r="L319" s="3">
        <v>22.2</v>
      </c>
      <c r="M319" s="3">
        <v>8</v>
      </c>
      <c r="N319" s="3">
        <v>4</v>
      </c>
      <c r="O319" s="3"/>
      <c r="P319" s="3"/>
      <c r="Q319" s="3"/>
      <c r="R319" s="3" t="s">
        <v>447</v>
      </c>
      <c r="S319" s="3" t="s">
        <v>421</v>
      </c>
      <c r="T319" s="3">
        <v>1</v>
      </c>
      <c r="U319" s="3">
        <v>20</v>
      </c>
      <c r="V319" s="3">
        <v>30</v>
      </c>
      <c r="W319" s="3">
        <v>100</v>
      </c>
      <c r="X319" s="3" t="s">
        <v>428</v>
      </c>
      <c r="Y319" s="3" t="s">
        <v>622</v>
      </c>
    </row>
    <row r="320" spans="1:25" ht="15" customHeight="1" x14ac:dyDescent="0.3">
      <c r="A320" s="27">
        <v>45860</v>
      </c>
      <c r="B320" s="25">
        <v>31</v>
      </c>
      <c r="C320" s="3" t="s">
        <v>38</v>
      </c>
      <c r="D320" s="3" t="s">
        <v>545</v>
      </c>
      <c r="E320" s="3">
        <v>2</v>
      </c>
      <c r="F320" s="3">
        <v>301</v>
      </c>
      <c r="G320" s="6" t="s">
        <v>30</v>
      </c>
      <c r="H320" s="3" t="s">
        <v>194</v>
      </c>
      <c r="I320" s="6" t="s">
        <v>5</v>
      </c>
      <c r="J320" s="3">
        <v>8</v>
      </c>
      <c r="K320" s="23">
        <v>5</v>
      </c>
      <c r="L320" s="3">
        <v>27.8</v>
      </c>
      <c r="M320" s="3">
        <v>9</v>
      </c>
      <c r="N320" s="3">
        <v>5.5</v>
      </c>
      <c r="O320" s="3"/>
      <c r="P320" s="3"/>
      <c r="Q320" s="3"/>
      <c r="R320" s="3" t="s">
        <v>128</v>
      </c>
      <c r="S320" s="3" t="s">
        <v>607</v>
      </c>
      <c r="T320" s="3">
        <v>1</v>
      </c>
      <c r="U320" s="3">
        <v>35</v>
      </c>
      <c r="V320" s="3">
        <v>45</v>
      </c>
      <c r="W320" s="3">
        <v>130</v>
      </c>
      <c r="X320" s="3" t="s">
        <v>615</v>
      </c>
      <c r="Y320" s="3" t="s">
        <v>402</v>
      </c>
    </row>
    <row r="321" spans="1:25" ht="15" customHeight="1" x14ac:dyDescent="0.3">
      <c r="A321" s="27">
        <v>45860</v>
      </c>
      <c r="B321" s="25">
        <v>31</v>
      </c>
      <c r="C321" s="3" t="s">
        <v>38</v>
      </c>
      <c r="D321" s="3" t="s">
        <v>545</v>
      </c>
      <c r="E321" s="3">
        <v>2</v>
      </c>
      <c r="F321" s="3">
        <v>302</v>
      </c>
      <c r="G321" s="6" t="s">
        <v>31</v>
      </c>
      <c r="H321" s="3" t="s">
        <v>195</v>
      </c>
      <c r="I321" s="6" t="s">
        <v>483</v>
      </c>
      <c r="J321" s="3">
        <v>12</v>
      </c>
      <c r="K321" s="23">
        <v>9</v>
      </c>
      <c r="L321" s="3">
        <v>57.3</v>
      </c>
      <c r="M321" s="3">
        <v>14</v>
      </c>
      <c r="N321" s="3">
        <v>11</v>
      </c>
      <c r="O321" s="3"/>
      <c r="P321" s="3"/>
      <c r="Q321" s="3"/>
      <c r="R321" s="3" t="s">
        <v>603</v>
      </c>
      <c r="S321" s="3" t="s">
        <v>608</v>
      </c>
      <c r="T321" s="3">
        <v>6</v>
      </c>
      <c r="U321" s="3">
        <v>30</v>
      </c>
      <c r="V321" s="3">
        <v>65</v>
      </c>
      <c r="W321" s="3">
        <v>150</v>
      </c>
      <c r="X321" s="3" t="s">
        <v>616</v>
      </c>
      <c r="Y321" s="3" t="s">
        <v>623</v>
      </c>
    </row>
    <row r="322" spans="1:25" ht="15" customHeight="1" x14ac:dyDescent="0.3">
      <c r="A322" s="27">
        <v>45860</v>
      </c>
      <c r="B322" s="25">
        <v>31</v>
      </c>
      <c r="C322" s="3" t="s">
        <v>38</v>
      </c>
      <c r="D322" s="3" t="s">
        <v>545</v>
      </c>
      <c r="E322" s="3">
        <v>2</v>
      </c>
      <c r="F322" s="3">
        <v>501</v>
      </c>
      <c r="G322" s="6" t="s">
        <v>595</v>
      </c>
      <c r="H322" s="3" t="s">
        <v>596</v>
      </c>
      <c r="I322" s="6" t="s">
        <v>483</v>
      </c>
      <c r="J322" s="3">
        <v>6</v>
      </c>
      <c r="K322" s="3">
        <v>6</v>
      </c>
      <c r="L322" s="3">
        <v>15.62</v>
      </c>
      <c r="M322" s="3"/>
      <c r="N322" s="3"/>
      <c r="O322" s="3">
        <v>9.5</v>
      </c>
      <c r="P322" s="3"/>
      <c r="Q322" s="3"/>
      <c r="R322" s="3"/>
      <c r="S322" s="3"/>
      <c r="T322" s="3"/>
      <c r="U322" s="3"/>
      <c r="V322" s="3"/>
      <c r="W322" s="3">
        <v>300</v>
      </c>
      <c r="X322" s="3" t="s">
        <v>617</v>
      </c>
      <c r="Y322" s="3"/>
    </row>
    <row r="323" spans="1:25" ht="15" customHeight="1" x14ac:dyDescent="0.3">
      <c r="A323" s="27">
        <v>45860</v>
      </c>
      <c r="B323" s="25">
        <v>31</v>
      </c>
      <c r="C323" s="3" t="s">
        <v>38</v>
      </c>
      <c r="D323" s="3" t="s">
        <v>545</v>
      </c>
      <c r="E323" s="3">
        <v>2</v>
      </c>
      <c r="F323" s="3">
        <v>503</v>
      </c>
      <c r="G323" s="6" t="s">
        <v>597</v>
      </c>
      <c r="H323" s="3" t="s">
        <v>598</v>
      </c>
      <c r="I323" s="6" t="s">
        <v>110</v>
      </c>
      <c r="J323" s="3">
        <v>2</v>
      </c>
      <c r="K323" s="3">
        <v>2</v>
      </c>
      <c r="L323" s="3">
        <v>14.5</v>
      </c>
      <c r="M323" s="3"/>
      <c r="N323" s="3"/>
      <c r="O323" s="3">
        <v>18</v>
      </c>
      <c r="P323" s="3"/>
      <c r="Q323" s="3"/>
      <c r="R323" s="3"/>
      <c r="S323" s="3"/>
      <c r="T323" s="3"/>
      <c r="U323" s="3"/>
      <c r="V323" s="3"/>
      <c r="W323" s="3"/>
      <c r="X323" s="3" t="s">
        <v>618</v>
      </c>
      <c r="Y323" s="3"/>
    </row>
    <row r="324" spans="1:25" ht="15" customHeight="1" x14ac:dyDescent="0.3">
      <c r="A324" s="27">
        <v>45860</v>
      </c>
      <c r="B324" s="25">
        <v>31</v>
      </c>
      <c r="C324" s="3" t="s">
        <v>38</v>
      </c>
      <c r="D324" s="3" t="s">
        <v>545</v>
      </c>
      <c r="E324" s="3">
        <v>2</v>
      </c>
      <c r="F324" s="3">
        <v>175</v>
      </c>
      <c r="G324" s="6" t="s">
        <v>310</v>
      </c>
      <c r="H324" s="3" t="s">
        <v>565</v>
      </c>
      <c r="I324" s="6" t="s">
        <v>483</v>
      </c>
      <c r="J324" s="3">
        <v>3</v>
      </c>
      <c r="K324" s="3">
        <v>3</v>
      </c>
      <c r="L324" s="3">
        <v>18</v>
      </c>
      <c r="M324" s="3">
        <v>3.8</v>
      </c>
      <c r="N324" s="3">
        <v>9.9</v>
      </c>
      <c r="O324" s="3">
        <v>5.6</v>
      </c>
      <c r="P324" s="3" t="s">
        <v>600</v>
      </c>
      <c r="Q324" s="3">
        <v>180</v>
      </c>
      <c r="R324" s="3"/>
      <c r="S324" s="3"/>
      <c r="T324" s="3"/>
      <c r="U324" s="3"/>
      <c r="V324" s="3"/>
      <c r="W324" s="3"/>
      <c r="X324" s="3" t="s">
        <v>79</v>
      </c>
      <c r="Y324" s="3" t="s">
        <v>84</v>
      </c>
    </row>
    <row r="325" spans="1:25" ht="15" customHeight="1" x14ac:dyDescent="0.3">
      <c r="A325" s="27">
        <v>45860</v>
      </c>
      <c r="B325" s="25">
        <v>31</v>
      </c>
      <c r="C325" s="3" t="s">
        <v>38</v>
      </c>
      <c r="D325" s="3" t="s">
        <v>545</v>
      </c>
      <c r="E325" s="3">
        <v>2</v>
      </c>
      <c r="F325" s="3">
        <v>132</v>
      </c>
      <c r="G325" s="6" t="s">
        <v>481</v>
      </c>
      <c r="H325" s="3" t="s">
        <v>482</v>
      </c>
      <c r="I325" s="6" t="s">
        <v>483</v>
      </c>
      <c r="J325" s="3">
        <v>3</v>
      </c>
      <c r="K325" s="3">
        <v>3</v>
      </c>
      <c r="L325" s="3">
        <v>22.62</v>
      </c>
      <c r="M325" s="3">
        <v>5.7</v>
      </c>
      <c r="N325" s="3">
        <v>11.5</v>
      </c>
      <c r="O325" s="3">
        <v>7</v>
      </c>
      <c r="P325" s="3"/>
      <c r="Q325" s="3">
        <v>170</v>
      </c>
      <c r="R325" s="3"/>
      <c r="S325" s="3"/>
      <c r="T325" s="3"/>
      <c r="U325" s="3"/>
      <c r="V325" s="3"/>
      <c r="W325" s="3"/>
      <c r="X325" s="3" t="s">
        <v>579</v>
      </c>
      <c r="Y325" s="3" t="s">
        <v>352</v>
      </c>
    </row>
    <row r="326" spans="1:25" ht="15" customHeight="1" x14ac:dyDescent="0.3">
      <c r="A326" s="27">
        <v>45860</v>
      </c>
      <c r="B326" s="25">
        <v>31</v>
      </c>
      <c r="C326" s="3" t="s">
        <v>38</v>
      </c>
      <c r="D326" s="3" t="s">
        <v>545</v>
      </c>
      <c r="E326" s="3">
        <v>2</v>
      </c>
      <c r="F326" s="3">
        <v>204</v>
      </c>
      <c r="G326" s="6" t="s">
        <v>439</v>
      </c>
      <c r="H326" s="3" t="s">
        <v>440</v>
      </c>
      <c r="I326" s="6" t="s">
        <v>111</v>
      </c>
      <c r="J326" s="3">
        <v>4</v>
      </c>
      <c r="K326" s="3">
        <v>4</v>
      </c>
      <c r="L326" s="3">
        <v>21.4</v>
      </c>
      <c r="M326" s="3">
        <v>8</v>
      </c>
      <c r="N326" s="3">
        <v>3</v>
      </c>
      <c r="O326" s="3"/>
      <c r="P326" s="3"/>
      <c r="Q326" s="3"/>
      <c r="R326" s="3" t="s">
        <v>604</v>
      </c>
      <c r="S326" s="3" t="s">
        <v>609</v>
      </c>
      <c r="T326" s="3">
        <v>2</v>
      </c>
      <c r="U326" s="3">
        <v>15</v>
      </c>
      <c r="V326" s="3">
        <v>20</v>
      </c>
      <c r="W326" s="3">
        <v>135</v>
      </c>
      <c r="X326" s="3" t="s">
        <v>619</v>
      </c>
      <c r="Y326" s="3" t="s">
        <v>624</v>
      </c>
    </row>
    <row r="327" spans="1:25" ht="15" customHeight="1" x14ac:dyDescent="0.3">
      <c r="A327" s="5">
        <v>45861</v>
      </c>
      <c r="B327" s="25">
        <v>31</v>
      </c>
      <c r="C327" s="3" t="s">
        <v>38</v>
      </c>
      <c r="D327" s="3" t="s">
        <v>545</v>
      </c>
      <c r="E327" s="3">
        <v>2</v>
      </c>
      <c r="F327" s="3">
        <v>103</v>
      </c>
      <c r="G327" s="6" t="s">
        <v>163</v>
      </c>
      <c r="H327" s="3" t="s">
        <v>546</v>
      </c>
      <c r="I327" s="6" t="s">
        <v>5</v>
      </c>
      <c r="J327" s="3">
        <v>5</v>
      </c>
      <c r="K327" s="3">
        <v>5</v>
      </c>
      <c r="L327" s="3">
        <v>14.18</v>
      </c>
      <c r="M327" s="3">
        <v>3.5</v>
      </c>
      <c r="N327" s="3">
        <v>6.5</v>
      </c>
      <c r="O327" s="3">
        <v>6</v>
      </c>
      <c r="P327" s="3">
        <v>35</v>
      </c>
      <c r="Q327" s="3">
        <v>170</v>
      </c>
      <c r="R327" s="3"/>
      <c r="S327" s="3"/>
      <c r="T327" s="3"/>
      <c r="U327" s="3"/>
      <c r="V327" s="3"/>
      <c r="W327" s="3"/>
      <c r="X327" s="3" t="s">
        <v>79</v>
      </c>
      <c r="Y327" s="3" t="s">
        <v>254</v>
      </c>
    </row>
    <row r="328" spans="1:25" ht="15" customHeight="1" x14ac:dyDescent="0.3">
      <c r="A328" s="5">
        <v>45861</v>
      </c>
      <c r="B328" s="25">
        <v>31</v>
      </c>
      <c r="C328" s="3" t="s">
        <v>38</v>
      </c>
      <c r="D328" s="3" t="s">
        <v>545</v>
      </c>
      <c r="E328" s="3">
        <v>2</v>
      </c>
      <c r="F328" s="3">
        <v>104</v>
      </c>
      <c r="G328" s="6" t="s">
        <v>625</v>
      </c>
      <c r="H328" s="3" t="s">
        <v>626</v>
      </c>
      <c r="I328" s="6" t="s">
        <v>5</v>
      </c>
      <c r="J328" s="3">
        <v>5</v>
      </c>
      <c r="K328" s="3">
        <v>5</v>
      </c>
      <c r="L328" s="3">
        <v>19.98</v>
      </c>
      <c r="M328" s="3">
        <v>4.4000000000000004</v>
      </c>
      <c r="N328" s="3">
        <v>9.5</v>
      </c>
      <c r="O328" s="3">
        <v>6</v>
      </c>
      <c r="P328" s="3">
        <v>55</v>
      </c>
      <c r="Q328" s="3">
        <v>170</v>
      </c>
      <c r="R328" s="3"/>
      <c r="S328" s="3"/>
      <c r="T328" s="3"/>
      <c r="U328" s="3"/>
      <c r="V328" s="3"/>
      <c r="W328" s="3"/>
      <c r="X328" s="3" t="s">
        <v>644</v>
      </c>
      <c r="Y328" s="3" t="s">
        <v>655</v>
      </c>
    </row>
    <row r="329" spans="1:25" ht="15" customHeight="1" x14ac:dyDescent="0.3">
      <c r="A329" s="5">
        <v>45861</v>
      </c>
      <c r="B329" s="25">
        <v>31</v>
      </c>
      <c r="C329" s="3" t="s">
        <v>38</v>
      </c>
      <c r="D329" s="3" t="s">
        <v>545</v>
      </c>
      <c r="E329" s="3">
        <v>2</v>
      </c>
      <c r="F329" s="3">
        <v>161</v>
      </c>
      <c r="G329" s="6" t="s">
        <v>627</v>
      </c>
      <c r="H329" s="3" t="s">
        <v>628</v>
      </c>
      <c r="I329" s="6" t="s">
        <v>483</v>
      </c>
      <c r="J329" s="3">
        <v>2</v>
      </c>
      <c r="K329" s="3">
        <v>2</v>
      </c>
      <c r="L329" s="3">
        <v>24.01</v>
      </c>
      <c r="M329" s="3">
        <v>6.5</v>
      </c>
      <c r="N329" s="3">
        <v>11</v>
      </c>
      <c r="O329" s="3">
        <v>4</v>
      </c>
      <c r="P329" s="3">
        <v>33</v>
      </c>
      <c r="Q329" s="3">
        <v>170</v>
      </c>
      <c r="R329" s="3"/>
      <c r="S329" s="3"/>
      <c r="T329" s="3"/>
      <c r="U329" s="3"/>
      <c r="V329" s="3"/>
      <c r="W329" s="3"/>
      <c r="X329" s="3" t="s">
        <v>388</v>
      </c>
      <c r="Y329" s="3" t="s">
        <v>396</v>
      </c>
    </row>
    <row r="330" spans="1:25" ht="15" customHeight="1" x14ac:dyDescent="0.3">
      <c r="A330" s="5">
        <v>45861</v>
      </c>
      <c r="B330" s="25">
        <v>31</v>
      </c>
      <c r="C330" s="3" t="s">
        <v>38</v>
      </c>
      <c r="D330" s="3" t="s">
        <v>545</v>
      </c>
      <c r="E330" s="3">
        <v>2</v>
      </c>
      <c r="F330" s="3">
        <v>163</v>
      </c>
      <c r="G330" s="6" t="s">
        <v>467</v>
      </c>
      <c r="H330" s="3" t="s">
        <v>629</v>
      </c>
      <c r="I330" s="6" t="s">
        <v>483</v>
      </c>
      <c r="J330" s="3">
        <v>2</v>
      </c>
      <c r="K330" s="3">
        <v>2</v>
      </c>
      <c r="L330" s="3">
        <v>24</v>
      </c>
      <c r="M330" s="3">
        <v>6</v>
      </c>
      <c r="N330" s="3">
        <v>10.8</v>
      </c>
      <c r="O330" s="3">
        <v>4</v>
      </c>
      <c r="P330" s="3"/>
      <c r="Q330" s="3">
        <v>170</v>
      </c>
      <c r="R330" s="3"/>
      <c r="S330" s="3"/>
      <c r="T330" s="3"/>
      <c r="U330" s="3"/>
      <c r="V330" s="3"/>
      <c r="W330" s="3"/>
      <c r="X330" s="3" t="s">
        <v>388</v>
      </c>
      <c r="Y330" s="3" t="s">
        <v>396</v>
      </c>
    </row>
    <row r="331" spans="1:25" ht="15" customHeight="1" x14ac:dyDescent="0.3">
      <c r="A331" s="5">
        <v>45861</v>
      </c>
      <c r="B331" s="25">
        <v>31</v>
      </c>
      <c r="C331" s="3" t="s">
        <v>38</v>
      </c>
      <c r="D331" s="3" t="s">
        <v>545</v>
      </c>
      <c r="E331" s="3">
        <v>2</v>
      </c>
      <c r="F331" s="3">
        <v>164</v>
      </c>
      <c r="G331" s="6" t="s">
        <v>630</v>
      </c>
      <c r="H331" s="3" t="s">
        <v>631</v>
      </c>
      <c r="I331" s="6" t="s">
        <v>483</v>
      </c>
      <c r="J331" s="3">
        <v>2</v>
      </c>
      <c r="K331" s="3">
        <v>2</v>
      </c>
      <c r="L331" s="3">
        <v>22.79</v>
      </c>
      <c r="M331" s="3">
        <v>7</v>
      </c>
      <c r="N331" s="3">
        <v>8</v>
      </c>
      <c r="O331" s="3">
        <v>3.85</v>
      </c>
      <c r="P331" s="3">
        <v>33</v>
      </c>
      <c r="Q331" s="3">
        <v>180</v>
      </c>
      <c r="R331" s="3"/>
      <c r="S331" s="3"/>
      <c r="T331" s="3"/>
      <c r="U331" s="3"/>
      <c r="V331" s="3"/>
      <c r="W331" s="3"/>
      <c r="X331" s="3" t="s">
        <v>84</v>
      </c>
      <c r="Y331" s="3" t="s">
        <v>153</v>
      </c>
    </row>
    <row r="332" spans="1:25" ht="15" customHeight="1" x14ac:dyDescent="0.3">
      <c r="A332" s="5">
        <v>45861</v>
      </c>
      <c r="B332" s="25">
        <v>31</v>
      </c>
      <c r="C332" s="3" t="s">
        <v>38</v>
      </c>
      <c r="D332" s="3" t="s">
        <v>545</v>
      </c>
      <c r="E332" s="3">
        <v>2</v>
      </c>
      <c r="F332" s="3">
        <v>402</v>
      </c>
      <c r="G332" s="6" t="s">
        <v>12</v>
      </c>
      <c r="H332" s="3" t="s">
        <v>589</v>
      </c>
      <c r="I332" s="6" t="s">
        <v>483</v>
      </c>
      <c r="J332" s="3">
        <v>2</v>
      </c>
      <c r="K332" s="3">
        <v>2</v>
      </c>
      <c r="L332" s="3">
        <v>10.199999999999999</v>
      </c>
      <c r="M332" s="3"/>
      <c r="N332" s="3"/>
      <c r="O332" s="3">
        <v>3</v>
      </c>
      <c r="P332" s="3"/>
      <c r="Q332" s="3"/>
      <c r="R332" s="3"/>
      <c r="S332" s="3"/>
      <c r="T332" s="3"/>
      <c r="U332" s="3"/>
      <c r="V332" s="3"/>
      <c r="W332" s="3"/>
      <c r="X332" s="3" t="s">
        <v>645</v>
      </c>
      <c r="Y332" s="3"/>
    </row>
    <row r="333" spans="1:25" ht="15" customHeight="1" x14ac:dyDescent="0.3">
      <c r="A333" s="5">
        <v>45861</v>
      </c>
      <c r="B333" s="25">
        <v>31</v>
      </c>
      <c r="C333" s="3" t="s">
        <v>38</v>
      </c>
      <c r="D333" s="3" t="s">
        <v>545</v>
      </c>
      <c r="E333" s="3">
        <v>2</v>
      </c>
      <c r="F333" s="3">
        <v>404</v>
      </c>
      <c r="G333" s="6" t="s">
        <v>407</v>
      </c>
      <c r="H333" s="3" t="s">
        <v>632</v>
      </c>
      <c r="I333" s="6" t="s">
        <v>483</v>
      </c>
      <c r="J333" s="3">
        <v>2</v>
      </c>
      <c r="K333" s="3">
        <v>2</v>
      </c>
      <c r="L333" s="3">
        <v>6.5</v>
      </c>
      <c r="M333" s="3"/>
      <c r="N333" s="3"/>
      <c r="O333" s="3">
        <v>2.5</v>
      </c>
      <c r="P333" s="3"/>
      <c r="Q333" s="3"/>
      <c r="R333" s="3"/>
      <c r="S333" s="3"/>
      <c r="T333" s="3"/>
      <c r="U333" s="3"/>
      <c r="V333" s="3"/>
      <c r="W333" s="3"/>
      <c r="X333" s="3" t="s">
        <v>646</v>
      </c>
      <c r="Y333" s="3"/>
    </row>
    <row r="334" spans="1:25" ht="15" customHeight="1" x14ac:dyDescent="0.3">
      <c r="A334" s="5">
        <v>45861</v>
      </c>
      <c r="B334" s="25">
        <v>31</v>
      </c>
      <c r="C334" s="3" t="s">
        <v>38</v>
      </c>
      <c r="D334" s="3" t="s">
        <v>545</v>
      </c>
      <c r="E334" s="3">
        <v>2</v>
      </c>
      <c r="F334" s="3">
        <v>172</v>
      </c>
      <c r="G334" s="6" t="s">
        <v>472</v>
      </c>
      <c r="H334" s="3" t="s">
        <v>473</v>
      </c>
      <c r="I334" s="6" t="s">
        <v>483</v>
      </c>
      <c r="J334" s="3">
        <v>4</v>
      </c>
      <c r="K334" s="3">
        <v>4</v>
      </c>
      <c r="L334" s="3">
        <v>17.739999999999998</v>
      </c>
      <c r="M334" s="3">
        <v>1</v>
      </c>
      <c r="N334" s="3">
        <v>12</v>
      </c>
      <c r="O334" s="3">
        <v>8</v>
      </c>
      <c r="P334" s="3" t="s">
        <v>484</v>
      </c>
      <c r="Q334" s="3">
        <v>170</v>
      </c>
      <c r="R334" s="3"/>
      <c r="S334" s="3"/>
      <c r="T334" s="3"/>
      <c r="U334" s="3"/>
      <c r="V334" s="3"/>
      <c r="W334" s="3"/>
      <c r="X334" s="3" t="s">
        <v>496</v>
      </c>
      <c r="Y334" s="3" t="s">
        <v>87</v>
      </c>
    </row>
    <row r="335" spans="1:25" ht="15" customHeight="1" x14ac:dyDescent="0.3">
      <c r="A335" s="5">
        <v>45861</v>
      </c>
      <c r="B335" s="25">
        <v>31</v>
      </c>
      <c r="C335" s="3" t="s">
        <v>38</v>
      </c>
      <c r="D335" s="3" t="s">
        <v>545</v>
      </c>
      <c r="E335" s="3">
        <v>2</v>
      </c>
      <c r="F335" s="3">
        <v>173</v>
      </c>
      <c r="G335" s="6" t="s">
        <v>334</v>
      </c>
      <c r="H335" s="3" t="s">
        <v>633</v>
      </c>
      <c r="I335" s="6" t="s">
        <v>483</v>
      </c>
      <c r="J335" s="3">
        <v>5</v>
      </c>
      <c r="K335" s="3">
        <v>5</v>
      </c>
      <c r="L335" s="3">
        <v>16.13</v>
      </c>
      <c r="M335" s="3">
        <v>2.5</v>
      </c>
      <c r="N335" s="3">
        <v>9.5</v>
      </c>
      <c r="O335" s="3">
        <v>6</v>
      </c>
      <c r="P335" s="3" t="s">
        <v>635</v>
      </c>
      <c r="Q335" s="3">
        <v>170</v>
      </c>
      <c r="R335" s="3"/>
      <c r="S335" s="3"/>
      <c r="T335" s="3"/>
      <c r="U335" s="3"/>
      <c r="V335" s="3"/>
      <c r="W335" s="3"/>
      <c r="X335" s="3" t="s">
        <v>647</v>
      </c>
      <c r="Y335" s="3" t="s">
        <v>84</v>
      </c>
    </row>
    <row r="336" spans="1:25" ht="15" customHeight="1" x14ac:dyDescent="0.3">
      <c r="A336" s="5">
        <v>45861</v>
      </c>
      <c r="B336" s="25">
        <v>31</v>
      </c>
      <c r="C336" s="3" t="s">
        <v>38</v>
      </c>
      <c r="D336" s="3" t="s">
        <v>545</v>
      </c>
      <c r="E336" s="3">
        <v>2</v>
      </c>
      <c r="F336" s="3">
        <v>176</v>
      </c>
      <c r="G336" s="6" t="s">
        <v>556</v>
      </c>
      <c r="H336" s="3" t="s">
        <v>557</v>
      </c>
      <c r="I336" s="6" t="s">
        <v>483</v>
      </c>
      <c r="J336" s="3">
        <v>5</v>
      </c>
      <c r="K336" s="3">
        <v>5</v>
      </c>
      <c r="L336" s="3">
        <v>16.57</v>
      </c>
      <c r="M336" s="3">
        <v>1</v>
      </c>
      <c r="N336" s="3">
        <v>11</v>
      </c>
      <c r="O336" s="3">
        <v>8</v>
      </c>
      <c r="P336" s="3" t="s">
        <v>570</v>
      </c>
      <c r="Q336" s="3">
        <v>165</v>
      </c>
      <c r="R336" s="3"/>
      <c r="S336" s="3"/>
      <c r="T336" s="3"/>
      <c r="U336" s="3"/>
      <c r="V336" s="3"/>
      <c r="W336" s="3"/>
      <c r="X336" s="3" t="s">
        <v>390</v>
      </c>
      <c r="Y336" s="3" t="s">
        <v>398</v>
      </c>
    </row>
    <row r="337" spans="1:25" ht="15" customHeight="1" x14ac:dyDescent="0.3">
      <c r="A337" s="5">
        <v>45861</v>
      </c>
      <c r="B337" s="25">
        <v>31</v>
      </c>
      <c r="C337" s="3" t="s">
        <v>38</v>
      </c>
      <c r="D337" s="3" t="s">
        <v>545</v>
      </c>
      <c r="E337" s="3">
        <v>2</v>
      </c>
      <c r="F337" s="3">
        <v>177</v>
      </c>
      <c r="G337" s="6" t="s">
        <v>558</v>
      </c>
      <c r="H337" s="3" t="s">
        <v>592</v>
      </c>
      <c r="I337" s="6" t="s">
        <v>483</v>
      </c>
      <c r="J337" s="3">
        <v>3</v>
      </c>
      <c r="K337" s="3">
        <v>3</v>
      </c>
      <c r="L337" s="3">
        <v>13.2</v>
      </c>
      <c r="M337" s="3">
        <v>3.4</v>
      </c>
      <c r="N337" s="3">
        <v>6.25</v>
      </c>
      <c r="O337" s="3">
        <v>4.2</v>
      </c>
      <c r="P337" s="3"/>
      <c r="Q337" s="3">
        <v>170</v>
      </c>
      <c r="R337" s="3"/>
      <c r="S337" s="3"/>
      <c r="T337" s="3"/>
      <c r="U337" s="3"/>
      <c r="V337" s="3"/>
      <c r="W337" s="3"/>
      <c r="X337" s="3" t="s">
        <v>254</v>
      </c>
      <c r="Y337" s="3" t="s">
        <v>84</v>
      </c>
    </row>
    <row r="338" spans="1:25" ht="15" customHeight="1" x14ac:dyDescent="0.3">
      <c r="A338" s="5">
        <v>45861</v>
      </c>
      <c r="B338" s="25">
        <v>31</v>
      </c>
      <c r="C338" s="3" t="s">
        <v>38</v>
      </c>
      <c r="D338" s="3" t="s">
        <v>545</v>
      </c>
      <c r="E338" s="3">
        <v>2</v>
      </c>
      <c r="F338" s="3">
        <v>133</v>
      </c>
      <c r="G338" s="6" t="s">
        <v>562</v>
      </c>
      <c r="H338" s="3" t="s">
        <v>563</v>
      </c>
      <c r="I338" s="6" t="s">
        <v>483</v>
      </c>
      <c r="J338" s="3">
        <v>4</v>
      </c>
      <c r="K338" s="3">
        <v>4</v>
      </c>
      <c r="L338" s="3">
        <v>15.86</v>
      </c>
      <c r="M338" s="3">
        <v>2.6</v>
      </c>
      <c r="N338" s="3">
        <v>6.1</v>
      </c>
      <c r="O338" s="3">
        <v>4.3</v>
      </c>
      <c r="P338" s="3"/>
      <c r="Q338" s="3">
        <v>170</v>
      </c>
      <c r="R338" s="3"/>
      <c r="S338" s="3"/>
      <c r="T338" s="3"/>
      <c r="U338" s="3"/>
      <c r="V338" s="3"/>
      <c r="W338" s="3"/>
      <c r="X338" s="3" t="s">
        <v>80</v>
      </c>
      <c r="Y338" s="3" t="s">
        <v>583</v>
      </c>
    </row>
    <row r="339" spans="1:25" ht="15" customHeight="1" x14ac:dyDescent="0.3">
      <c r="A339" s="5">
        <v>45861</v>
      </c>
      <c r="B339" s="25">
        <v>31</v>
      </c>
      <c r="C339" s="3" t="s">
        <v>38</v>
      </c>
      <c r="D339" s="3" t="s">
        <v>545</v>
      </c>
      <c r="E339" s="3">
        <v>2</v>
      </c>
      <c r="F339" s="3">
        <v>206</v>
      </c>
      <c r="G339" s="6" t="s">
        <v>373</v>
      </c>
      <c r="H339" s="3" t="s">
        <v>564</v>
      </c>
      <c r="I339" s="6" t="s">
        <v>111</v>
      </c>
      <c r="J339" s="3">
        <v>12</v>
      </c>
      <c r="K339" s="23">
        <v>11</v>
      </c>
      <c r="L339" s="3">
        <v>27.2</v>
      </c>
      <c r="M339" s="3">
        <v>18</v>
      </c>
      <c r="N339" s="3">
        <v>1.2</v>
      </c>
      <c r="O339" s="3"/>
      <c r="P339" s="3"/>
      <c r="Q339" s="3"/>
      <c r="R339" s="3" t="s">
        <v>636</v>
      </c>
      <c r="S339" s="3" t="s">
        <v>641</v>
      </c>
      <c r="T339" s="3">
        <v>0.5</v>
      </c>
      <c r="U339" s="3">
        <v>30</v>
      </c>
      <c r="V339" s="3">
        <v>45</v>
      </c>
      <c r="W339" s="3">
        <v>120</v>
      </c>
      <c r="X339" s="3" t="s">
        <v>648</v>
      </c>
      <c r="Y339" s="3" t="s">
        <v>584</v>
      </c>
    </row>
    <row r="340" spans="1:25" ht="15" customHeight="1" x14ac:dyDescent="0.3">
      <c r="A340" s="5">
        <v>45861</v>
      </c>
      <c r="B340" s="25">
        <v>31</v>
      </c>
      <c r="C340" s="3" t="s">
        <v>38</v>
      </c>
      <c r="D340" s="3" t="s">
        <v>545</v>
      </c>
      <c r="E340" s="3">
        <v>2</v>
      </c>
      <c r="F340" s="3">
        <v>207</v>
      </c>
      <c r="G340" s="6" t="s">
        <v>476</v>
      </c>
      <c r="H340" s="3" t="s">
        <v>477</v>
      </c>
      <c r="I340" s="6" t="s">
        <v>111</v>
      </c>
      <c r="J340" s="3">
        <v>12</v>
      </c>
      <c r="K340" s="23">
        <v>9</v>
      </c>
      <c r="L340" s="3">
        <v>34.03</v>
      </c>
      <c r="M340" s="3">
        <v>15</v>
      </c>
      <c r="N340" s="3">
        <v>3</v>
      </c>
      <c r="O340" s="3"/>
      <c r="P340" s="3"/>
      <c r="Q340" s="3"/>
      <c r="R340" s="3" t="s">
        <v>637</v>
      </c>
      <c r="S340" s="3" t="s">
        <v>606</v>
      </c>
      <c r="T340" s="3">
        <v>2.5</v>
      </c>
      <c r="U340" s="3">
        <v>20</v>
      </c>
      <c r="V340" s="3">
        <v>30</v>
      </c>
      <c r="W340" s="3">
        <v>140</v>
      </c>
      <c r="X340" s="3" t="s">
        <v>613</v>
      </c>
      <c r="Y340" s="3" t="s">
        <v>656</v>
      </c>
    </row>
    <row r="341" spans="1:25" ht="15" customHeight="1" x14ac:dyDescent="0.3">
      <c r="A341" s="5">
        <v>45861</v>
      </c>
      <c r="B341" s="25">
        <v>31</v>
      </c>
      <c r="C341" s="3" t="s">
        <v>38</v>
      </c>
      <c r="D341" s="3" t="s">
        <v>545</v>
      </c>
      <c r="E341" s="3">
        <v>2</v>
      </c>
      <c r="F341" s="3">
        <v>208</v>
      </c>
      <c r="G341" s="6" t="s">
        <v>593</v>
      </c>
      <c r="H341" s="3" t="s">
        <v>594</v>
      </c>
      <c r="I341" s="6" t="s">
        <v>110</v>
      </c>
      <c r="J341" s="3">
        <v>4</v>
      </c>
      <c r="K341" s="23">
        <v>2</v>
      </c>
      <c r="L341" s="3">
        <v>23.2</v>
      </c>
      <c r="M341" s="3">
        <v>10</v>
      </c>
      <c r="N341" s="3">
        <v>3</v>
      </c>
      <c r="O341" s="3"/>
      <c r="P341" s="3"/>
      <c r="Q341" s="3"/>
      <c r="R341" s="3" t="s">
        <v>638</v>
      </c>
      <c r="S341" s="3" t="s">
        <v>573</v>
      </c>
      <c r="T341" s="3">
        <v>2.5</v>
      </c>
      <c r="U341" s="3">
        <v>20</v>
      </c>
      <c r="V341" s="3">
        <v>30</v>
      </c>
      <c r="W341" s="3">
        <v>120</v>
      </c>
      <c r="X341" s="3" t="s">
        <v>614</v>
      </c>
      <c r="Y341" s="3" t="s">
        <v>657</v>
      </c>
    </row>
    <row r="342" spans="1:25" ht="15" customHeight="1" x14ac:dyDescent="0.3">
      <c r="A342" s="5">
        <v>45861</v>
      </c>
      <c r="B342" s="25">
        <v>31</v>
      </c>
      <c r="C342" s="3" t="s">
        <v>38</v>
      </c>
      <c r="D342" s="3" t="s">
        <v>545</v>
      </c>
      <c r="E342" s="3">
        <v>2</v>
      </c>
      <c r="F342" s="3">
        <v>210</v>
      </c>
      <c r="G342" s="6" t="s">
        <v>278</v>
      </c>
      <c r="H342" s="3" t="s">
        <v>634</v>
      </c>
      <c r="I342" s="6" t="s">
        <v>111</v>
      </c>
      <c r="J342" s="3">
        <v>4</v>
      </c>
      <c r="K342" s="3">
        <v>4</v>
      </c>
      <c r="L342" s="3">
        <v>22.2</v>
      </c>
      <c r="M342" s="3">
        <v>8</v>
      </c>
      <c r="N342" s="3">
        <v>4</v>
      </c>
      <c r="O342" s="3"/>
      <c r="P342" s="3"/>
      <c r="Q342" s="3"/>
      <c r="R342" s="3" t="s">
        <v>447</v>
      </c>
      <c r="S342" s="3" t="s">
        <v>421</v>
      </c>
      <c r="T342" s="3">
        <v>1</v>
      </c>
      <c r="U342" s="3">
        <v>20</v>
      </c>
      <c r="V342" s="3">
        <v>30</v>
      </c>
      <c r="W342" s="3">
        <v>100</v>
      </c>
      <c r="X342" s="3" t="s">
        <v>649</v>
      </c>
      <c r="Y342" s="3" t="s">
        <v>658</v>
      </c>
    </row>
    <row r="343" spans="1:25" ht="15" customHeight="1" x14ac:dyDescent="0.3">
      <c r="A343" s="5">
        <v>45861</v>
      </c>
      <c r="B343" s="25">
        <v>31</v>
      </c>
      <c r="C343" s="3" t="s">
        <v>38</v>
      </c>
      <c r="D343" s="3" t="s">
        <v>545</v>
      </c>
      <c r="E343" s="3">
        <v>2</v>
      </c>
      <c r="F343" s="3">
        <v>301</v>
      </c>
      <c r="G343" s="6" t="s">
        <v>30</v>
      </c>
      <c r="H343" s="3" t="s">
        <v>194</v>
      </c>
      <c r="I343" s="6" t="s">
        <v>5</v>
      </c>
      <c r="J343" s="3">
        <v>8</v>
      </c>
      <c r="K343" s="23">
        <v>5</v>
      </c>
      <c r="L343" s="3">
        <v>28</v>
      </c>
      <c r="M343" s="3">
        <v>9</v>
      </c>
      <c r="N343" s="3">
        <v>5.5</v>
      </c>
      <c r="O343" s="3"/>
      <c r="P343" s="3"/>
      <c r="Q343" s="3"/>
      <c r="R343" s="3" t="s">
        <v>572</v>
      </c>
      <c r="S343" s="3" t="s">
        <v>133</v>
      </c>
      <c r="T343" s="3">
        <v>1</v>
      </c>
      <c r="U343" s="3">
        <v>35</v>
      </c>
      <c r="V343" s="3">
        <v>45</v>
      </c>
      <c r="W343" s="3">
        <v>130</v>
      </c>
      <c r="X343" s="3" t="s">
        <v>650</v>
      </c>
      <c r="Y343" s="3" t="s">
        <v>402</v>
      </c>
    </row>
    <row r="344" spans="1:25" ht="15" customHeight="1" x14ac:dyDescent="0.3">
      <c r="A344" s="5">
        <v>45861</v>
      </c>
      <c r="B344" s="25">
        <v>31</v>
      </c>
      <c r="C344" s="3" t="s">
        <v>38</v>
      </c>
      <c r="D344" s="3" t="s">
        <v>545</v>
      </c>
      <c r="E344" s="3">
        <v>2</v>
      </c>
      <c r="F344" s="3">
        <v>302</v>
      </c>
      <c r="G344" s="6" t="s">
        <v>31</v>
      </c>
      <c r="H344" s="3" t="s">
        <v>195</v>
      </c>
      <c r="I344" s="6" t="s">
        <v>483</v>
      </c>
      <c r="J344" s="3">
        <v>12</v>
      </c>
      <c r="K344" s="23">
        <v>9</v>
      </c>
      <c r="L344" s="3">
        <v>62.8</v>
      </c>
      <c r="M344" s="3">
        <v>17</v>
      </c>
      <c r="N344" s="3">
        <v>12</v>
      </c>
      <c r="O344" s="3"/>
      <c r="P344" s="3"/>
      <c r="Q344" s="3"/>
      <c r="R344" s="3" t="s">
        <v>639</v>
      </c>
      <c r="S344" s="3" t="s">
        <v>642</v>
      </c>
      <c r="T344" s="3">
        <v>6.5</v>
      </c>
      <c r="U344" s="3">
        <v>30</v>
      </c>
      <c r="V344" s="3">
        <v>65</v>
      </c>
      <c r="W344" s="3">
        <v>150</v>
      </c>
      <c r="X344" s="3" t="s">
        <v>651</v>
      </c>
      <c r="Y344" s="3" t="s">
        <v>659</v>
      </c>
    </row>
    <row r="345" spans="1:25" ht="15" customHeight="1" x14ac:dyDescent="0.3">
      <c r="A345" s="5">
        <v>45861</v>
      </c>
      <c r="B345" s="25">
        <v>31</v>
      </c>
      <c r="C345" s="3" t="s">
        <v>38</v>
      </c>
      <c r="D345" s="3" t="s">
        <v>545</v>
      </c>
      <c r="E345" s="3">
        <v>2</v>
      </c>
      <c r="F345" s="3">
        <v>501</v>
      </c>
      <c r="G345" s="6" t="s">
        <v>595</v>
      </c>
      <c r="H345" s="3" t="s">
        <v>596</v>
      </c>
      <c r="I345" s="6" t="s">
        <v>483</v>
      </c>
      <c r="J345" s="3">
        <v>6</v>
      </c>
      <c r="K345" s="3">
        <v>6</v>
      </c>
      <c r="L345" s="3">
        <v>15.62</v>
      </c>
      <c r="M345" s="3"/>
      <c r="N345" s="3"/>
      <c r="O345" s="3">
        <v>9.5</v>
      </c>
      <c r="P345" s="3"/>
      <c r="Q345" s="3"/>
      <c r="R345" s="3"/>
      <c r="S345" s="3"/>
      <c r="T345" s="3"/>
      <c r="U345" s="3"/>
      <c r="V345" s="3"/>
      <c r="W345" s="3">
        <v>300</v>
      </c>
      <c r="X345" s="3" t="s">
        <v>652</v>
      </c>
      <c r="Y345" s="3"/>
    </row>
    <row r="346" spans="1:25" ht="15" customHeight="1" x14ac:dyDescent="0.3">
      <c r="A346" s="5">
        <v>45861</v>
      </c>
      <c r="B346" s="25">
        <v>31</v>
      </c>
      <c r="C346" s="3" t="s">
        <v>38</v>
      </c>
      <c r="D346" s="3" t="s">
        <v>545</v>
      </c>
      <c r="E346" s="3">
        <v>2</v>
      </c>
      <c r="F346" s="3">
        <v>175</v>
      </c>
      <c r="G346" s="6" t="s">
        <v>310</v>
      </c>
      <c r="H346" s="3" t="s">
        <v>565</v>
      </c>
      <c r="I346" s="6" t="s">
        <v>483</v>
      </c>
      <c r="J346" s="3">
        <v>3</v>
      </c>
      <c r="K346" s="3">
        <v>3</v>
      </c>
      <c r="L346" s="3">
        <v>17.93</v>
      </c>
      <c r="M346" s="3">
        <v>3.8</v>
      </c>
      <c r="N346" s="3">
        <v>9.9</v>
      </c>
      <c r="O346" s="3">
        <v>5.6</v>
      </c>
      <c r="P346" s="3" t="s">
        <v>600</v>
      </c>
      <c r="Q346" s="3">
        <v>180</v>
      </c>
      <c r="R346" s="3"/>
      <c r="S346" s="3"/>
      <c r="T346" s="3"/>
      <c r="U346" s="3"/>
      <c r="V346" s="3"/>
      <c r="W346" s="3"/>
      <c r="X346" s="3" t="s">
        <v>79</v>
      </c>
      <c r="Y346" s="3" t="s">
        <v>84</v>
      </c>
    </row>
    <row r="347" spans="1:25" ht="15" customHeight="1" x14ac:dyDescent="0.3">
      <c r="A347" s="5">
        <v>45861</v>
      </c>
      <c r="B347" s="25">
        <v>31</v>
      </c>
      <c r="C347" s="3" t="s">
        <v>38</v>
      </c>
      <c r="D347" s="3" t="s">
        <v>545</v>
      </c>
      <c r="E347" s="3">
        <v>2</v>
      </c>
      <c r="F347" s="3">
        <v>132</v>
      </c>
      <c r="G347" s="6" t="s">
        <v>481</v>
      </c>
      <c r="H347" s="3" t="s">
        <v>482</v>
      </c>
      <c r="I347" s="6" t="s">
        <v>483</v>
      </c>
      <c r="J347" s="3">
        <v>3</v>
      </c>
      <c r="K347" s="3">
        <v>3</v>
      </c>
      <c r="L347" s="3">
        <v>22.13</v>
      </c>
      <c r="M347" s="3">
        <v>5.2</v>
      </c>
      <c r="N347" s="3">
        <v>11.5</v>
      </c>
      <c r="O347" s="3">
        <v>7</v>
      </c>
      <c r="P347" s="3"/>
      <c r="Q347" s="3">
        <v>170</v>
      </c>
      <c r="R347" s="3"/>
      <c r="S347" s="3"/>
      <c r="T347" s="3"/>
      <c r="U347" s="3"/>
      <c r="V347" s="3"/>
      <c r="W347" s="3"/>
      <c r="X347" s="3" t="s">
        <v>653</v>
      </c>
      <c r="Y347" s="3" t="s">
        <v>352</v>
      </c>
    </row>
    <row r="348" spans="1:25" ht="15" customHeight="1" x14ac:dyDescent="0.3">
      <c r="A348" s="5">
        <v>45861</v>
      </c>
      <c r="B348" s="25">
        <v>31</v>
      </c>
      <c r="C348" s="3" t="s">
        <v>38</v>
      </c>
      <c r="D348" s="3" t="s">
        <v>545</v>
      </c>
      <c r="E348" s="3">
        <v>2</v>
      </c>
      <c r="F348" s="3">
        <v>204</v>
      </c>
      <c r="G348" s="6" t="s">
        <v>439</v>
      </c>
      <c r="H348" s="3" t="s">
        <v>440</v>
      </c>
      <c r="I348" s="6" t="s">
        <v>111</v>
      </c>
      <c r="J348" s="3">
        <v>4</v>
      </c>
      <c r="K348" s="3">
        <v>4</v>
      </c>
      <c r="L348" s="3">
        <v>21.3</v>
      </c>
      <c r="M348" s="3">
        <v>8</v>
      </c>
      <c r="N348" s="3">
        <v>3</v>
      </c>
      <c r="O348" s="3"/>
      <c r="P348" s="3"/>
      <c r="Q348" s="3"/>
      <c r="R348" s="3" t="s">
        <v>640</v>
      </c>
      <c r="S348" s="3" t="s">
        <v>643</v>
      </c>
      <c r="T348" s="3">
        <v>2</v>
      </c>
      <c r="U348" s="3">
        <v>15</v>
      </c>
      <c r="V348" s="3">
        <v>20</v>
      </c>
      <c r="W348" s="3">
        <v>135</v>
      </c>
      <c r="X348" s="3" t="s">
        <v>654</v>
      </c>
      <c r="Y348" s="3" t="s">
        <v>660</v>
      </c>
    </row>
    <row r="349" spans="1:25" ht="15" customHeight="1" x14ac:dyDescent="0.3">
      <c r="A349" s="27">
        <v>45862</v>
      </c>
      <c r="B349" s="25">
        <v>31</v>
      </c>
      <c r="C349" s="3" t="s">
        <v>38</v>
      </c>
      <c r="D349" s="3" t="s">
        <v>545</v>
      </c>
      <c r="E349" s="3">
        <v>2</v>
      </c>
      <c r="F349" s="3">
        <v>104</v>
      </c>
      <c r="G349" s="6" t="s">
        <v>625</v>
      </c>
      <c r="H349" s="3" t="s">
        <v>626</v>
      </c>
      <c r="I349" s="6" t="s">
        <v>5</v>
      </c>
      <c r="J349" s="3">
        <v>5</v>
      </c>
      <c r="K349" s="3">
        <v>5</v>
      </c>
      <c r="L349" s="3">
        <v>18.850000000000001</v>
      </c>
      <c r="M349" s="3">
        <v>4.3</v>
      </c>
      <c r="N349" s="3">
        <v>9.26</v>
      </c>
      <c r="O349" s="3">
        <v>6.5</v>
      </c>
      <c r="P349" s="3">
        <v>55</v>
      </c>
      <c r="Q349" s="3">
        <v>170</v>
      </c>
      <c r="R349" s="3"/>
      <c r="S349" s="3"/>
      <c r="T349" s="3"/>
      <c r="U349" s="3"/>
      <c r="V349" s="3"/>
      <c r="W349" s="3"/>
      <c r="X349" s="3" t="s">
        <v>644</v>
      </c>
      <c r="Y349" s="3" t="s">
        <v>580</v>
      </c>
    </row>
    <row r="350" spans="1:25" ht="15" customHeight="1" x14ac:dyDescent="0.3">
      <c r="A350" s="27">
        <v>45862</v>
      </c>
      <c r="B350" s="25">
        <v>31</v>
      </c>
      <c r="C350" s="3" t="s">
        <v>38</v>
      </c>
      <c r="D350" s="3" t="s">
        <v>545</v>
      </c>
      <c r="E350" s="3">
        <v>2</v>
      </c>
      <c r="F350" s="3">
        <v>161</v>
      </c>
      <c r="G350" s="6" t="s">
        <v>627</v>
      </c>
      <c r="H350" s="3" t="s">
        <v>628</v>
      </c>
      <c r="I350" s="6" t="s">
        <v>5</v>
      </c>
      <c r="J350" s="3">
        <v>2</v>
      </c>
      <c r="K350" s="3">
        <v>2</v>
      </c>
      <c r="L350" s="3">
        <v>24</v>
      </c>
      <c r="M350" s="3">
        <v>6.5</v>
      </c>
      <c r="N350" s="3">
        <v>11</v>
      </c>
      <c r="O350" s="3">
        <v>3.8</v>
      </c>
      <c r="P350" s="3">
        <v>25</v>
      </c>
      <c r="Q350" s="3">
        <v>170</v>
      </c>
      <c r="R350" s="3"/>
      <c r="S350" s="3"/>
      <c r="T350" s="3"/>
      <c r="U350" s="3"/>
      <c r="V350" s="3"/>
      <c r="W350" s="3"/>
      <c r="X350" s="3" t="s">
        <v>388</v>
      </c>
      <c r="Y350" s="3" t="s">
        <v>396</v>
      </c>
    </row>
    <row r="351" spans="1:25" ht="15" customHeight="1" x14ac:dyDescent="0.3">
      <c r="A351" s="27">
        <v>45862</v>
      </c>
      <c r="B351" s="25">
        <v>31</v>
      </c>
      <c r="C351" s="3" t="s">
        <v>38</v>
      </c>
      <c r="D351" s="3" t="s">
        <v>545</v>
      </c>
      <c r="E351" s="3">
        <v>2</v>
      </c>
      <c r="F351" s="3">
        <v>162</v>
      </c>
      <c r="G351" s="6" t="s">
        <v>661</v>
      </c>
      <c r="H351" s="3" t="s">
        <v>662</v>
      </c>
      <c r="I351" s="6" t="s">
        <v>483</v>
      </c>
      <c r="J351" s="3">
        <v>2</v>
      </c>
      <c r="K351" s="3">
        <v>2</v>
      </c>
      <c r="L351" s="3">
        <v>21</v>
      </c>
      <c r="M351" s="3">
        <v>3.5</v>
      </c>
      <c r="N351" s="3">
        <v>6.5</v>
      </c>
      <c r="O351" s="3">
        <v>2.9</v>
      </c>
      <c r="P351" s="3">
        <v>22</v>
      </c>
      <c r="Q351" s="3">
        <v>170</v>
      </c>
      <c r="R351" s="3"/>
      <c r="S351" s="3"/>
      <c r="T351" s="3"/>
      <c r="U351" s="3"/>
      <c r="V351" s="3"/>
      <c r="W351" s="3"/>
      <c r="X351" s="3" t="s">
        <v>527</v>
      </c>
      <c r="Y351" s="3" t="s">
        <v>505</v>
      </c>
    </row>
    <row r="352" spans="1:25" ht="15" customHeight="1" x14ac:dyDescent="0.3">
      <c r="A352" s="27">
        <v>45862</v>
      </c>
      <c r="B352" s="25">
        <v>31</v>
      </c>
      <c r="C352" s="3" t="s">
        <v>38</v>
      </c>
      <c r="D352" s="3" t="s">
        <v>545</v>
      </c>
      <c r="E352" s="3">
        <v>2</v>
      </c>
      <c r="F352" s="3">
        <v>163</v>
      </c>
      <c r="G352" s="6" t="s">
        <v>174</v>
      </c>
      <c r="H352" s="3" t="s">
        <v>663</v>
      </c>
      <c r="I352" s="6" t="s">
        <v>483</v>
      </c>
      <c r="J352" s="3">
        <v>2</v>
      </c>
      <c r="K352" s="3">
        <v>2</v>
      </c>
      <c r="L352" s="3">
        <v>24</v>
      </c>
      <c r="M352" s="3">
        <v>6</v>
      </c>
      <c r="N352" s="3">
        <v>9</v>
      </c>
      <c r="O352" s="3">
        <v>4.2</v>
      </c>
      <c r="P352" s="3">
        <v>19</v>
      </c>
      <c r="Q352" s="3">
        <v>175</v>
      </c>
      <c r="R352" s="3"/>
      <c r="S352" s="3"/>
      <c r="T352" s="3"/>
      <c r="U352" s="3"/>
      <c r="V352" s="3"/>
      <c r="W352" s="3"/>
      <c r="X352" s="3" t="s">
        <v>388</v>
      </c>
      <c r="Y352" s="3" t="s">
        <v>396</v>
      </c>
    </row>
    <row r="353" spans="1:25" ht="15" customHeight="1" x14ac:dyDescent="0.3">
      <c r="A353" s="27">
        <v>45862</v>
      </c>
      <c r="B353" s="25">
        <v>31</v>
      </c>
      <c r="C353" s="3" t="s">
        <v>38</v>
      </c>
      <c r="D353" s="3" t="s">
        <v>545</v>
      </c>
      <c r="E353" s="3">
        <v>2</v>
      </c>
      <c r="F353" s="3">
        <v>164</v>
      </c>
      <c r="G353" s="6" t="s">
        <v>630</v>
      </c>
      <c r="H353" s="3" t="s">
        <v>631</v>
      </c>
      <c r="I353" s="6" t="s">
        <v>483</v>
      </c>
      <c r="J353" s="3">
        <v>2</v>
      </c>
      <c r="K353" s="3">
        <v>2</v>
      </c>
      <c r="L353" s="3">
        <v>21</v>
      </c>
      <c r="M353" s="3">
        <v>7</v>
      </c>
      <c r="N353" s="3">
        <v>8</v>
      </c>
      <c r="O353" s="3">
        <v>3</v>
      </c>
      <c r="P353" s="3">
        <v>22</v>
      </c>
      <c r="Q353" s="3">
        <v>180</v>
      </c>
      <c r="R353" s="3"/>
      <c r="S353" s="3"/>
      <c r="T353" s="3"/>
      <c r="U353" s="3"/>
      <c r="V353" s="3"/>
      <c r="W353" s="3"/>
      <c r="X353" s="3" t="s">
        <v>84</v>
      </c>
      <c r="Y353" s="3" t="s">
        <v>153</v>
      </c>
    </row>
    <row r="354" spans="1:25" ht="15" customHeight="1" x14ac:dyDescent="0.3">
      <c r="A354" s="27">
        <v>45862</v>
      </c>
      <c r="B354" s="25">
        <v>31</v>
      </c>
      <c r="C354" s="3" t="s">
        <v>38</v>
      </c>
      <c r="D354" s="3" t="s">
        <v>545</v>
      </c>
      <c r="E354" s="3">
        <v>2</v>
      </c>
      <c r="F354" s="3">
        <v>404</v>
      </c>
      <c r="G354" s="6" t="s">
        <v>407</v>
      </c>
      <c r="H354" s="3" t="s">
        <v>632</v>
      </c>
      <c r="I354" s="6" t="s">
        <v>483</v>
      </c>
      <c r="J354" s="3">
        <v>2</v>
      </c>
      <c r="K354" s="3">
        <v>2</v>
      </c>
      <c r="L354" s="3">
        <v>6.7</v>
      </c>
      <c r="M354" s="3"/>
      <c r="N354" s="3"/>
      <c r="O354" s="3">
        <v>2.5</v>
      </c>
      <c r="P354" s="3"/>
      <c r="Q354" s="3"/>
      <c r="R354" s="3"/>
      <c r="S354" s="3"/>
      <c r="T354" s="3"/>
      <c r="U354" s="3"/>
      <c r="V354" s="3"/>
      <c r="W354" s="3"/>
      <c r="X354" s="3" t="s">
        <v>679</v>
      </c>
      <c r="Y354" s="3"/>
    </row>
    <row r="355" spans="1:25" ht="15" customHeight="1" x14ac:dyDescent="0.3">
      <c r="A355" s="27">
        <v>45862</v>
      </c>
      <c r="B355" s="25">
        <v>31</v>
      </c>
      <c r="C355" s="3" t="s">
        <v>38</v>
      </c>
      <c r="D355" s="3" t="s">
        <v>545</v>
      </c>
      <c r="E355" s="3">
        <v>2</v>
      </c>
      <c r="F355" s="3">
        <v>171</v>
      </c>
      <c r="G355" s="6" t="s">
        <v>552</v>
      </c>
      <c r="H355" s="3" t="s">
        <v>553</v>
      </c>
      <c r="I355" s="6" t="s">
        <v>483</v>
      </c>
      <c r="J355" s="3">
        <v>5</v>
      </c>
      <c r="K355" s="3">
        <v>5</v>
      </c>
      <c r="L355" s="3">
        <v>17.45</v>
      </c>
      <c r="M355" s="3">
        <v>4.5</v>
      </c>
      <c r="N355" s="3">
        <v>9</v>
      </c>
      <c r="O355" s="3">
        <v>6</v>
      </c>
      <c r="P355" s="3">
        <v>55</v>
      </c>
      <c r="Q355" s="3">
        <v>170</v>
      </c>
      <c r="R355" s="3"/>
      <c r="S355" s="3"/>
      <c r="T355" s="3"/>
      <c r="U355" s="3"/>
      <c r="V355" s="3"/>
      <c r="W355" s="3"/>
      <c r="X355" s="3" t="s">
        <v>680</v>
      </c>
      <c r="Y355" s="3" t="s">
        <v>686</v>
      </c>
    </row>
    <row r="356" spans="1:25" ht="15" customHeight="1" x14ac:dyDescent="0.3">
      <c r="A356" s="27">
        <v>45862</v>
      </c>
      <c r="B356" s="25">
        <v>31</v>
      </c>
      <c r="C356" s="3" t="s">
        <v>38</v>
      </c>
      <c r="D356" s="3" t="s">
        <v>545</v>
      </c>
      <c r="E356" s="3">
        <v>2</v>
      </c>
      <c r="F356" s="3">
        <v>172</v>
      </c>
      <c r="G356" s="6" t="s">
        <v>472</v>
      </c>
      <c r="H356" s="3" t="s">
        <v>473</v>
      </c>
      <c r="I356" s="6" t="s">
        <v>483</v>
      </c>
      <c r="J356" s="3">
        <v>4</v>
      </c>
      <c r="K356" s="3">
        <v>4</v>
      </c>
      <c r="L356" s="3">
        <v>17.649999999999999</v>
      </c>
      <c r="M356" s="3">
        <v>2</v>
      </c>
      <c r="N356" s="3">
        <v>11</v>
      </c>
      <c r="O356" s="3">
        <v>8</v>
      </c>
      <c r="P356" s="3" t="s">
        <v>484</v>
      </c>
      <c r="Q356" s="3">
        <v>170</v>
      </c>
      <c r="R356" s="3"/>
      <c r="S356" s="3"/>
      <c r="T356" s="3"/>
      <c r="U356" s="3"/>
      <c r="V356" s="3"/>
      <c r="W356" s="3"/>
      <c r="X356" s="3" t="s">
        <v>496</v>
      </c>
      <c r="Y356" s="3" t="s">
        <v>87</v>
      </c>
    </row>
    <row r="357" spans="1:25" ht="15" customHeight="1" x14ac:dyDescent="0.3">
      <c r="A357" s="27">
        <v>45862</v>
      </c>
      <c r="B357" s="25">
        <v>31</v>
      </c>
      <c r="C357" s="3" t="s">
        <v>38</v>
      </c>
      <c r="D357" s="3" t="s">
        <v>545</v>
      </c>
      <c r="E357" s="3">
        <v>2</v>
      </c>
      <c r="F357" s="3">
        <v>173</v>
      </c>
      <c r="G357" s="6" t="s">
        <v>334</v>
      </c>
      <c r="H357" s="3" t="s">
        <v>633</v>
      </c>
      <c r="I357" s="6" t="s">
        <v>483</v>
      </c>
      <c r="J357" s="3">
        <v>5</v>
      </c>
      <c r="K357" s="3">
        <v>5</v>
      </c>
      <c r="L357" s="3">
        <v>16.309999999999999</v>
      </c>
      <c r="M357" s="3">
        <v>0.6</v>
      </c>
      <c r="N357" s="3">
        <v>11</v>
      </c>
      <c r="O357" s="3">
        <v>7.5</v>
      </c>
      <c r="P357" s="3" t="s">
        <v>672</v>
      </c>
      <c r="Q357" s="3">
        <v>170</v>
      </c>
      <c r="R357" s="3"/>
      <c r="S357" s="3"/>
      <c r="T357" s="3"/>
      <c r="U357" s="3"/>
      <c r="V357" s="3"/>
      <c r="W357" s="3"/>
      <c r="X357" s="3" t="s">
        <v>288</v>
      </c>
      <c r="Y357" s="3" t="s">
        <v>138</v>
      </c>
    </row>
    <row r="358" spans="1:25" ht="15" customHeight="1" x14ac:dyDescent="0.3">
      <c r="A358" s="27">
        <v>45862</v>
      </c>
      <c r="B358" s="25">
        <v>31</v>
      </c>
      <c r="C358" s="3" t="s">
        <v>38</v>
      </c>
      <c r="D358" s="3" t="s">
        <v>545</v>
      </c>
      <c r="E358" s="3">
        <v>2</v>
      </c>
      <c r="F358" s="3">
        <v>176</v>
      </c>
      <c r="G358" s="6" t="s">
        <v>556</v>
      </c>
      <c r="H358" s="3" t="s">
        <v>557</v>
      </c>
      <c r="I358" s="6" t="s">
        <v>483</v>
      </c>
      <c r="J358" s="3">
        <v>5</v>
      </c>
      <c r="K358" s="3">
        <v>5</v>
      </c>
      <c r="L358" s="3">
        <v>16.8</v>
      </c>
      <c r="M358" s="3">
        <v>1</v>
      </c>
      <c r="N358" s="3">
        <v>11</v>
      </c>
      <c r="O358" s="3">
        <v>8</v>
      </c>
      <c r="P358" s="3" t="s">
        <v>673</v>
      </c>
      <c r="Q358" s="3">
        <v>165</v>
      </c>
      <c r="R358" s="3"/>
      <c r="S358" s="3"/>
      <c r="T358" s="3"/>
      <c r="U358" s="3"/>
      <c r="V358" s="3"/>
      <c r="W358" s="3"/>
      <c r="X358" s="3" t="s">
        <v>390</v>
      </c>
      <c r="Y358" s="3" t="s">
        <v>398</v>
      </c>
    </row>
    <row r="359" spans="1:25" ht="15" customHeight="1" x14ac:dyDescent="0.3">
      <c r="A359" s="27">
        <v>45862</v>
      </c>
      <c r="B359" s="25">
        <v>31</v>
      </c>
      <c r="C359" s="3" t="s">
        <v>38</v>
      </c>
      <c r="D359" s="3" t="s">
        <v>545</v>
      </c>
      <c r="E359" s="3">
        <v>2</v>
      </c>
      <c r="F359" s="3">
        <v>177</v>
      </c>
      <c r="G359" s="6" t="s">
        <v>558</v>
      </c>
      <c r="H359" s="3" t="s">
        <v>664</v>
      </c>
      <c r="I359" s="6" t="s">
        <v>483</v>
      </c>
      <c r="J359" s="3">
        <v>3</v>
      </c>
      <c r="K359" s="3">
        <v>3</v>
      </c>
      <c r="L359" s="3">
        <v>13.19</v>
      </c>
      <c r="M359" s="3">
        <v>3.4</v>
      </c>
      <c r="N359" s="3">
        <v>6.25</v>
      </c>
      <c r="O359" s="3">
        <v>4.2</v>
      </c>
      <c r="P359" s="3"/>
      <c r="Q359" s="3">
        <v>170</v>
      </c>
      <c r="R359" s="3"/>
      <c r="S359" s="3"/>
      <c r="T359" s="3"/>
      <c r="U359" s="3"/>
      <c r="V359" s="3"/>
      <c r="W359" s="3"/>
      <c r="X359" s="3" t="s">
        <v>254</v>
      </c>
      <c r="Y359" s="3" t="s">
        <v>84</v>
      </c>
    </row>
    <row r="360" spans="1:25" ht="15" customHeight="1" x14ac:dyDescent="0.3">
      <c r="A360" s="27">
        <v>45862</v>
      </c>
      <c r="B360" s="25">
        <v>31</v>
      </c>
      <c r="C360" s="3" t="s">
        <v>38</v>
      </c>
      <c r="D360" s="3" t="s">
        <v>545</v>
      </c>
      <c r="E360" s="3">
        <v>2</v>
      </c>
      <c r="F360" s="3">
        <v>133</v>
      </c>
      <c r="G360" s="6" t="s">
        <v>665</v>
      </c>
      <c r="H360" s="3" t="s">
        <v>666</v>
      </c>
      <c r="I360" s="6" t="s">
        <v>483</v>
      </c>
      <c r="J360" s="3">
        <v>4</v>
      </c>
      <c r="K360" s="3">
        <v>4</v>
      </c>
      <c r="L360" s="3">
        <v>15.88</v>
      </c>
      <c r="M360" s="3">
        <v>2.6</v>
      </c>
      <c r="N360" s="3">
        <v>6.25</v>
      </c>
      <c r="O360" s="3">
        <v>4.3</v>
      </c>
      <c r="P360" s="3"/>
      <c r="Q360" s="3">
        <v>170</v>
      </c>
      <c r="R360" s="3"/>
      <c r="S360" s="3"/>
      <c r="T360" s="3"/>
      <c r="U360" s="3"/>
      <c r="V360" s="3"/>
      <c r="W360" s="3"/>
      <c r="X360" s="3" t="s">
        <v>681</v>
      </c>
      <c r="Y360" s="3" t="s">
        <v>687</v>
      </c>
    </row>
    <row r="361" spans="1:25" ht="15" customHeight="1" x14ac:dyDescent="0.3">
      <c r="A361" s="27">
        <v>45862</v>
      </c>
      <c r="B361" s="25">
        <v>31</v>
      </c>
      <c r="C361" s="3" t="s">
        <v>38</v>
      </c>
      <c r="D361" s="3" t="s">
        <v>545</v>
      </c>
      <c r="E361" s="3">
        <v>2</v>
      </c>
      <c r="F361" s="3">
        <v>206</v>
      </c>
      <c r="G361" s="6" t="s">
        <v>667</v>
      </c>
      <c r="H361" s="3" t="s">
        <v>668</v>
      </c>
      <c r="I361" s="6" t="s">
        <v>111</v>
      </c>
      <c r="J361" s="3">
        <v>12</v>
      </c>
      <c r="K361" s="23">
        <v>11</v>
      </c>
      <c r="L361" s="3">
        <v>27.2</v>
      </c>
      <c r="M361" s="3">
        <v>18</v>
      </c>
      <c r="N361" s="3">
        <v>1.2</v>
      </c>
      <c r="O361" s="3"/>
      <c r="P361" s="3"/>
      <c r="Q361" s="3"/>
      <c r="R361" s="3" t="s">
        <v>674</v>
      </c>
      <c r="S361" s="3" t="s">
        <v>248</v>
      </c>
      <c r="T361" s="3">
        <v>0.5</v>
      </c>
      <c r="U361" s="3">
        <v>30</v>
      </c>
      <c r="V361" s="3">
        <v>45</v>
      </c>
      <c r="W361" s="3">
        <v>120</v>
      </c>
      <c r="X361" s="3" t="s">
        <v>648</v>
      </c>
      <c r="Y361" s="3"/>
    </row>
    <row r="362" spans="1:25" ht="15" customHeight="1" x14ac:dyDescent="0.3">
      <c r="A362" s="27">
        <v>45862</v>
      </c>
      <c r="B362" s="25">
        <v>31</v>
      </c>
      <c r="C362" s="3" t="s">
        <v>38</v>
      </c>
      <c r="D362" s="3" t="s">
        <v>545</v>
      </c>
      <c r="E362" s="3">
        <v>2</v>
      </c>
      <c r="F362" s="3">
        <v>207</v>
      </c>
      <c r="G362" s="6" t="s">
        <v>476</v>
      </c>
      <c r="H362" s="3" t="s">
        <v>477</v>
      </c>
      <c r="I362" s="6" t="s">
        <v>111</v>
      </c>
      <c r="J362" s="3">
        <v>12</v>
      </c>
      <c r="K362" s="23">
        <v>9</v>
      </c>
      <c r="L362" s="3">
        <v>34.01</v>
      </c>
      <c r="M362" s="3">
        <v>15</v>
      </c>
      <c r="N362" s="3">
        <v>3</v>
      </c>
      <c r="O362" s="3"/>
      <c r="P362" s="3"/>
      <c r="Q362" s="3"/>
      <c r="R362" s="3" t="s">
        <v>675</v>
      </c>
      <c r="S362" s="3" t="s">
        <v>606</v>
      </c>
      <c r="T362" s="3">
        <v>2.5</v>
      </c>
      <c r="U362" s="3">
        <v>20</v>
      </c>
      <c r="V362" s="3">
        <v>30</v>
      </c>
      <c r="W362" s="3">
        <v>140</v>
      </c>
      <c r="X362" s="3" t="s">
        <v>613</v>
      </c>
      <c r="Y362" s="3" t="s">
        <v>688</v>
      </c>
    </row>
    <row r="363" spans="1:25" ht="15" customHeight="1" x14ac:dyDescent="0.3">
      <c r="A363" s="27">
        <v>45862</v>
      </c>
      <c r="B363" s="25">
        <v>31</v>
      </c>
      <c r="C363" s="3" t="s">
        <v>38</v>
      </c>
      <c r="D363" s="3" t="s">
        <v>545</v>
      </c>
      <c r="E363" s="3">
        <v>2</v>
      </c>
      <c r="F363" s="3">
        <v>208</v>
      </c>
      <c r="G363" s="6" t="s">
        <v>593</v>
      </c>
      <c r="H363" s="3" t="s">
        <v>594</v>
      </c>
      <c r="I363" s="6" t="s">
        <v>110</v>
      </c>
      <c r="J363" s="3">
        <v>4</v>
      </c>
      <c r="K363" s="23">
        <v>2</v>
      </c>
      <c r="L363" s="3">
        <v>24.8</v>
      </c>
      <c r="M363" s="3">
        <v>10</v>
      </c>
      <c r="N363" s="3">
        <v>3.2</v>
      </c>
      <c r="O363" s="3"/>
      <c r="P363" s="3"/>
      <c r="Q363" s="3"/>
      <c r="R363" s="3" t="s">
        <v>676</v>
      </c>
      <c r="S363" s="3" t="s">
        <v>678</v>
      </c>
      <c r="T363" s="3">
        <v>2.5</v>
      </c>
      <c r="U363" s="3">
        <v>20</v>
      </c>
      <c r="V363" s="3">
        <v>30</v>
      </c>
      <c r="W363" s="3">
        <v>110</v>
      </c>
      <c r="X363" s="3" t="s">
        <v>683</v>
      </c>
      <c r="Y363" s="3" t="s">
        <v>689</v>
      </c>
    </row>
    <row r="364" spans="1:25" ht="15" customHeight="1" x14ac:dyDescent="0.3">
      <c r="A364" s="27">
        <v>45862</v>
      </c>
      <c r="B364" s="25">
        <v>31</v>
      </c>
      <c r="C364" s="3" t="s">
        <v>38</v>
      </c>
      <c r="D364" s="3" t="s">
        <v>545</v>
      </c>
      <c r="E364" s="3">
        <v>2</v>
      </c>
      <c r="F364" s="3">
        <v>209</v>
      </c>
      <c r="G364" s="6" t="s">
        <v>377</v>
      </c>
      <c r="H364" s="3" t="s">
        <v>378</v>
      </c>
      <c r="I364" s="6" t="s">
        <v>111</v>
      </c>
      <c r="J364" s="3">
        <v>8</v>
      </c>
      <c r="K364" s="23">
        <v>6</v>
      </c>
      <c r="L364" s="3">
        <v>29.5</v>
      </c>
      <c r="M364" s="3">
        <v>13</v>
      </c>
      <c r="N364" s="3">
        <v>1.5</v>
      </c>
      <c r="O364" s="3"/>
      <c r="P364" s="3"/>
      <c r="Q364" s="3"/>
      <c r="R364" s="3" t="s">
        <v>677</v>
      </c>
      <c r="S364" s="3" t="s">
        <v>447</v>
      </c>
      <c r="T364" s="3">
        <v>0.5</v>
      </c>
      <c r="U364" s="3">
        <v>20</v>
      </c>
      <c r="V364" s="3">
        <v>25</v>
      </c>
      <c r="W364" s="3">
        <v>95</v>
      </c>
      <c r="X364" s="3" t="s">
        <v>682</v>
      </c>
      <c r="Y364" s="3"/>
    </row>
    <row r="365" spans="1:25" ht="15" customHeight="1" x14ac:dyDescent="0.3">
      <c r="A365" s="27">
        <v>45862</v>
      </c>
      <c r="B365" s="25">
        <v>31</v>
      </c>
      <c r="C365" s="3" t="s">
        <v>38</v>
      </c>
      <c r="D365" s="3" t="s">
        <v>545</v>
      </c>
      <c r="E365" s="3">
        <v>2</v>
      </c>
      <c r="F365" s="3">
        <v>401</v>
      </c>
      <c r="G365" s="6" t="s">
        <v>669</v>
      </c>
      <c r="H365" s="3" t="s">
        <v>670</v>
      </c>
      <c r="I365" s="6" t="s">
        <v>483</v>
      </c>
      <c r="J365" s="3">
        <v>1</v>
      </c>
      <c r="K365" s="3">
        <v>1</v>
      </c>
      <c r="L365" s="3">
        <v>11.4</v>
      </c>
      <c r="M365" s="3"/>
      <c r="N365" s="3"/>
      <c r="O365" s="3">
        <v>3</v>
      </c>
      <c r="P365" s="3"/>
      <c r="Q365" s="3"/>
      <c r="R365" s="3"/>
      <c r="S365" s="3"/>
      <c r="T365" s="3"/>
      <c r="U365" s="3"/>
      <c r="V365" s="3"/>
      <c r="W365" s="3"/>
      <c r="X365" s="3" t="s">
        <v>684</v>
      </c>
      <c r="Y365" s="3"/>
    </row>
    <row r="366" spans="1:25" ht="15" customHeight="1" x14ac:dyDescent="0.3">
      <c r="A366" s="27">
        <v>45862</v>
      </c>
      <c r="B366" s="25">
        <v>31</v>
      </c>
      <c r="C366" s="3" t="s">
        <v>38</v>
      </c>
      <c r="D366" s="3" t="s">
        <v>545</v>
      </c>
      <c r="E366" s="3">
        <v>2</v>
      </c>
      <c r="F366" s="3">
        <v>301</v>
      </c>
      <c r="G366" s="6" t="s">
        <v>30</v>
      </c>
      <c r="H366" s="3" t="s">
        <v>194</v>
      </c>
      <c r="I366" s="6" t="s">
        <v>5</v>
      </c>
      <c r="J366" s="3">
        <v>8</v>
      </c>
      <c r="K366" s="23">
        <v>5</v>
      </c>
      <c r="L366" s="3">
        <v>28.1</v>
      </c>
      <c r="M366" s="3">
        <v>9</v>
      </c>
      <c r="N366" s="3">
        <v>5.5</v>
      </c>
      <c r="O366" s="3"/>
      <c r="P366" s="3"/>
      <c r="Q366" s="3"/>
      <c r="R366" s="3" t="s">
        <v>128</v>
      </c>
      <c r="S366" s="3" t="s">
        <v>133</v>
      </c>
      <c r="T366" s="3">
        <v>1</v>
      </c>
      <c r="U366" s="3">
        <v>35</v>
      </c>
      <c r="V366" s="3">
        <v>45</v>
      </c>
      <c r="W366" s="3">
        <v>1303</v>
      </c>
      <c r="X366" s="3" t="s">
        <v>147</v>
      </c>
      <c r="Y366" s="3" t="s">
        <v>402</v>
      </c>
    </row>
    <row r="367" spans="1:25" ht="15" customHeight="1" x14ac:dyDescent="0.3">
      <c r="A367" s="27">
        <v>45862</v>
      </c>
      <c r="B367" s="25">
        <v>31</v>
      </c>
      <c r="C367" s="3" t="s">
        <v>38</v>
      </c>
      <c r="D367" s="3" t="s">
        <v>545</v>
      </c>
      <c r="E367" s="3">
        <v>2</v>
      </c>
      <c r="F367" s="3">
        <v>501</v>
      </c>
      <c r="G367" s="6" t="s">
        <v>595</v>
      </c>
      <c r="H367" s="3" t="s">
        <v>596</v>
      </c>
      <c r="I367" s="6" t="s">
        <v>110</v>
      </c>
      <c r="J367" s="3">
        <v>6</v>
      </c>
      <c r="K367" s="3">
        <v>6</v>
      </c>
      <c r="L367" s="3">
        <v>15.62</v>
      </c>
      <c r="M367" s="3"/>
      <c r="N367" s="3"/>
      <c r="O367" s="3">
        <v>9.5</v>
      </c>
      <c r="P367" s="3"/>
      <c r="Q367" s="3"/>
      <c r="R367" s="3"/>
      <c r="S367" s="3"/>
      <c r="T367" s="3"/>
      <c r="U367" s="3"/>
      <c r="V367" s="3"/>
      <c r="W367" s="3"/>
      <c r="X367" s="3" t="s">
        <v>652</v>
      </c>
      <c r="Y367" s="3"/>
    </row>
    <row r="368" spans="1:25" ht="15" customHeight="1" x14ac:dyDescent="0.3">
      <c r="A368" s="27">
        <v>45862</v>
      </c>
      <c r="B368" s="25">
        <v>31</v>
      </c>
      <c r="C368" s="3" t="s">
        <v>38</v>
      </c>
      <c r="D368" s="3" t="s">
        <v>545</v>
      </c>
      <c r="E368" s="3">
        <v>2</v>
      </c>
      <c r="F368" s="3">
        <v>503</v>
      </c>
      <c r="G368" s="6" t="s">
        <v>597</v>
      </c>
      <c r="H368" s="3" t="s">
        <v>598</v>
      </c>
      <c r="I368" s="6" t="s">
        <v>110</v>
      </c>
      <c r="J368" s="3">
        <v>2</v>
      </c>
      <c r="K368" s="3">
        <v>2</v>
      </c>
      <c r="L368" s="3">
        <v>14.5</v>
      </c>
      <c r="M368" s="3"/>
      <c r="N368" s="3"/>
      <c r="O368" s="3">
        <v>18</v>
      </c>
      <c r="P368" s="3"/>
      <c r="Q368" s="3"/>
      <c r="R368" s="3"/>
      <c r="S368" s="3"/>
      <c r="T368" s="3"/>
      <c r="U368" s="3"/>
      <c r="V368" s="3"/>
      <c r="W368" s="3"/>
      <c r="X368" s="3" t="s">
        <v>618</v>
      </c>
      <c r="Y368" s="3"/>
    </row>
    <row r="369" spans="1:25" ht="15" customHeight="1" x14ac:dyDescent="0.3">
      <c r="A369" s="27">
        <v>45862</v>
      </c>
      <c r="B369" s="25">
        <v>31</v>
      </c>
      <c r="C369" s="3" t="s">
        <v>38</v>
      </c>
      <c r="D369" s="3" t="s">
        <v>545</v>
      </c>
      <c r="E369" s="3">
        <v>2</v>
      </c>
      <c r="F369" s="3">
        <v>175</v>
      </c>
      <c r="G369" s="6" t="s">
        <v>227</v>
      </c>
      <c r="H369" s="3" t="s">
        <v>671</v>
      </c>
      <c r="I369" s="6" t="s">
        <v>483</v>
      </c>
      <c r="J369" s="3">
        <v>3</v>
      </c>
      <c r="K369" s="3">
        <v>3</v>
      </c>
      <c r="L369" s="3">
        <v>17.97</v>
      </c>
      <c r="M369" s="3">
        <v>3.8</v>
      </c>
      <c r="N369" s="3">
        <v>9.9</v>
      </c>
      <c r="O369" s="3">
        <v>5.6</v>
      </c>
      <c r="P369" s="3" t="s">
        <v>241</v>
      </c>
      <c r="Q369" s="3">
        <v>180</v>
      </c>
      <c r="R369" s="3"/>
      <c r="S369" s="3"/>
      <c r="T369" s="3"/>
      <c r="U369" s="3"/>
      <c r="V369" s="3"/>
      <c r="W369" s="3"/>
      <c r="X369" s="3" t="s">
        <v>79</v>
      </c>
      <c r="Y369" s="3" t="s">
        <v>84</v>
      </c>
    </row>
    <row r="370" spans="1:25" ht="15" customHeight="1" x14ac:dyDescent="0.3">
      <c r="A370" s="27">
        <v>45862</v>
      </c>
      <c r="B370" s="25">
        <v>31</v>
      </c>
      <c r="C370" s="3" t="s">
        <v>38</v>
      </c>
      <c r="D370" s="3" t="s">
        <v>545</v>
      </c>
      <c r="E370" s="3">
        <v>2</v>
      </c>
      <c r="F370" s="3">
        <v>132</v>
      </c>
      <c r="G370" s="6" t="s">
        <v>481</v>
      </c>
      <c r="H370" s="3" t="s">
        <v>482</v>
      </c>
      <c r="I370" s="6" t="s">
        <v>483</v>
      </c>
      <c r="J370" s="3">
        <v>3</v>
      </c>
      <c r="K370" s="3">
        <v>3</v>
      </c>
      <c r="L370" s="3">
        <v>22.12</v>
      </c>
      <c r="M370" s="3">
        <v>5.2</v>
      </c>
      <c r="N370" s="3">
        <v>11.5</v>
      </c>
      <c r="O370" s="3">
        <v>7</v>
      </c>
      <c r="P370" s="3"/>
      <c r="Q370" s="3">
        <v>170</v>
      </c>
      <c r="R370" s="3"/>
      <c r="S370" s="3"/>
      <c r="T370" s="3"/>
      <c r="U370" s="3"/>
      <c r="V370" s="3"/>
      <c r="W370" s="3"/>
      <c r="X370" s="3" t="s">
        <v>685</v>
      </c>
      <c r="Y370" s="3" t="s">
        <v>690</v>
      </c>
    </row>
    <row r="371" spans="1:25" ht="15" customHeight="1" x14ac:dyDescent="0.3">
      <c r="A371" s="5">
        <v>45863</v>
      </c>
      <c r="B371" s="25">
        <v>31</v>
      </c>
      <c r="C371" s="3" t="s">
        <v>38</v>
      </c>
      <c r="D371" s="3" t="s">
        <v>545</v>
      </c>
      <c r="E371" s="3">
        <v>2</v>
      </c>
      <c r="F371" s="3">
        <v>103</v>
      </c>
      <c r="G371" s="6" t="s">
        <v>163</v>
      </c>
      <c r="H371" s="3" t="s">
        <v>546</v>
      </c>
      <c r="I371" s="6" t="s">
        <v>5</v>
      </c>
      <c r="J371" s="3">
        <v>5</v>
      </c>
      <c r="K371" s="3">
        <v>5</v>
      </c>
      <c r="L371" s="3">
        <v>14.55</v>
      </c>
      <c r="M371" s="3">
        <v>3.5</v>
      </c>
      <c r="N371" s="3">
        <v>6.8</v>
      </c>
      <c r="O371" s="3">
        <v>6</v>
      </c>
      <c r="P371" s="3">
        <v>26</v>
      </c>
      <c r="Q371" s="3">
        <v>165</v>
      </c>
      <c r="R371" s="3"/>
      <c r="S371" s="3"/>
      <c r="T371" s="3"/>
      <c r="U371" s="3"/>
      <c r="V371" s="3"/>
      <c r="W371" s="3"/>
      <c r="X371" s="3" t="s">
        <v>79</v>
      </c>
      <c r="Y371" s="3" t="s">
        <v>254</v>
      </c>
    </row>
    <row r="372" spans="1:25" ht="15" customHeight="1" x14ac:dyDescent="0.3">
      <c r="A372" s="5">
        <v>45863</v>
      </c>
      <c r="B372" s="25">
        <v>31</v>
      </c>
      <c r="C372" s="3" t="s">
        <v>38</v>
      </c>
      <c r="D372" s="3" t="s">
        <v>545</v>
      </c>
      <c r="E372" s="3">
        <v>2</v>
      </c>
      <c r="F372" s="3">
        <v>161</v>
      </c>
      <c r="G372" s="6" t="s">
        <v>691</v>
      </c>
      <c r="H372" s="3" t="s">
        <v>692</v>
      </c>
      <c r="I372" s="6" t="s">
        <v>483</v>
      </c>
      <c r="J372" s="3">
        <v>2</v>
      </c>
      <c r="K372" s="3">
        <v>2</v>
      </c>
      <c r="L372" s="3">
        <v>21</v>
      </c>
      <c r="M372" s="3">
        <v>3.5</v>
      </c>
      <c r="N372" s="3">
        <v>6.5</v>
      </c>
      <c r="O372" s="3">
        <v>2.9</v>
      </c>
      <c r="P372" s="3">
        <v>22</v>
      </c>
      <c r="Q372" s="3">
        <v>170</v>
      </c>
      <c r="R372" s="3"/>
      <c r="S372" s="3"/>
      <c r="T372" s="3"/>
      <c r="U372" s="3"/>
      <c r="V372" s="3"/>
      <c r="W372" s="3"/>
      <c r="X372" s="3" t="s">
        <v>527</v>
      </c>
      <c r="Y372" s="3" t="s">
        <v>505</v>
      </c>
    </row>
    <row r="373" spans="1:25" ht="15" customHeight="1" x14ac:dyDescent="0.3">
      <c r="A373" s="5">
        <v>45863</v>
      </c>
      <c r="B373" s="25">
        <v>31</v>
      </c>
      <c r="C373" s="3" t="s">
        <v>38</v>
      </c>
      <c r="D373" s="3" t="s">
        <v>545</v>
      </c>
      <c r="E373" s="3">
        <v>2</v>
      </c>
      <c r="F373" s="3">
        <v>162</v>
      </c>
      <c r="G373" s="6" t="s">
        <v>661</v>
      </c>
      <c r="H373" s="3" t="s">
        <v>662</v>
      </c>
      <c r="I373" s="6" t="s">
        <v>483</v>
      </c>
      <c r="J373" s="3">
        <v>2</v>
      </c>
      <c r="K373" s="3">
        <v>2</v>
      </c>
      <c r="L373" s="3">
        <v>24</v>
      </c>
      <c r="M373" s="3">
        <v>7</v>
      </c>
      <c r="N373" s="3">
        <v>9.5</v>
      </c>
      <c r="O373" s="3">
        <v>4.4000000000000004</v>
      </c>
      <c r="P373" s="3">
        <v>22</v>
      </c>
      <c r="Q373" s="3">
        <v>175</v>
      </c>
      <c r="R373" s="3"/>
      <c r="S373" s="3"/>
      <c r="T373" s="3"/>
      <c r="U373" s="3"/>
      <c r="V373" s="3"/>
      <c r="W373" s="3"/>
      <c r="X373" s="3" t="s">
        <v>388</v>
      </c>
      <c r="Y373" s="3" t="s">
        <v>396</v>
      </c>
    </row>
    <row r="374" spans="1:25" ht="15" customHeight="1" x14ac:dyDescent="0.3">
      <c r="A374" s="5">
        <v>45863</v>
      </c>
      <c r="B374" s="25">
        <v>31</v>
      </c>
      <c r="C374" s="3" t="s">
        <v>38</v>
      </c>
      <c r="D374" s="3" t="s">
        <v>545</v>
      </c>
      <c r="E374" s="3">
        <v>2</v>
      </c>
      <c r="F374" s="3">
        <v>163</v>
      </c>
      <c r="G374" s="6" t="s">
        <v>174</v>
      </c>
      <c r="H374" s="3" t="s">
        <v>663</v>
      </c>
      <c r="I374" s="6" t="s">
        <v>483</v>
      </c>
      <c r="J374" s="3">
        <v>2</v>
      </c>
      <c r="K374" s="3">
        <v>2</v>
      </c>
      <c r="L374" s="3">
        <v>21</v>
      </c>
      <c r="M374" s="3">
        <v>7</v>
      </c>
      <c r="N374" s="3">
        <v>8</v>
      </c>
      <c r="O374" s="3">
        <v>3</v>
      </c>
      <c r="P374" s="3">
        <v>24</v>
      </c>
      <c r="Q374" s="3">
        <v>165</v>
      </c>
      <c r="R374" s="3"/>
      <c r="S374" s="3"/>
      <c r="T374" s="3"/>
      <c r="U374" s="3"/>
      <c r="V374" s="3"/>
      <c r="W374" s="3"/>
      <c r="X374" s="3" t="s">
        <v>84</v>
      </c>
      <c r="Y374" s="3" t="s">
        <v>153</v>
      </c>
    </row>
    <row r="375" spans="1:25" ht="15" customHeight="1" x14ac:dyDescent="0.3">
      <c r="A375" s="5">
        <v>45863</v>
      </c>
      <c r="B375" s="25">
        <v>31</v>
      </c>
      <c r="C375" s="3" t="s">
        <v>38</v>
      </c>
      <c r="D375" s="3" t="s">
        <v>545</v>
      </c>
      <c r="E375" s="3">
        <v>2</v>
      </c>
      <c r="F375" s="3">
        <v>182</v>
      </c>
      <c r="G375" s="6" t="s">
        <v>693</v>
      </c>
      <c r="H375" s="3" t="s">
        <v>694</v>
      </c>
      <c r="I375" s="6" t="s">
        <v>483</v>
      </c>
      <c r="J375" s="3">
        <v>4</v>
      </c>
      <c r="K375" s="3">
        <v>4</v>
      </c>
      <c r="L375" s="3">
        <v>15</v>
      </c>
      <c r="M375" s="3">
        <v>3.5</v>
      </c>
      <c r="N375" s="3">
        <v>6</v>
      </c>
      <c r="O375" s="3">
        <v>3.25</v>
      </c>
      <c r="P375" s="3"/>
      <c r="Q375" s="3">
        <v>170</v>
      </c>
      <c r="R375" s="3"/>
      <c r="S375" s="3"/>
      <c r="T375" s="3"/>
      <c r="U375" s="3"/>
      <c r="V375" s="3"/>
      <c r="W375" s="3"/>
      <c r="X375" s="3" t="s">
        <v>82</v>
      </c>
      <c r="Y375" s="3" t="s">
        <v>396</v>
      </c>
    </row>
    <row r="376" spans="1:25" ht="15" customHeight="1" x14ac:dyDescent="0.3">
      <c r="A376" s="5">
        <v>45863</v>
      </c>
      <c r="B376" s="25">
        <v>31</v>
      </c>
      <c r="C376" s="3" t="s">
        <v>38</v>
      </c>
      <c r="D376" s="3" t="s">
        <v>545</v>
      </c>
      <c r="E376" s="3">
        <v>2</v>
      </c>
      <c r="F376" s="3">
        <v>404</v>
      </c>
      <c r="G376" s="6" t="s">
        <v>407</v>
      </c>
      <c r="H376" s="3" t="s">
        <v>632</v>
      </c>
      <c r="I376" s="6" t="s">
        <v>483</v>
      </c>
      <c r="J376" s="3">
        <v>2</v>
      </c>
      <c r="K376" s="3">
        <v>2</v>
      </c>
      <c r="L376" s="3">
        <v>6.5</v>
      </c>
      <c r="M376" s="3"/>
      <c r="N376" s="3"/>
      <c r="O376" s="3">
        <v>2.5</v>
      </c>
      <c r="P376" s="3"/>
      <c r="Q376" s="3"/>
      <c r="R376" s="3"/>
      <c r="S376" s="3"/>
      <c r="T376" s="3"/>
      <c r="U376" s="3"/>
      <c r="V376" s="3"/>
      <c r="W376" s="3"/>
      <c r="X376" s="3" t="s">
        <v>702</v>
      </c>
      <c r="Y376" s="3"/>
    </row>
    <row r="377" spans="1:25" ht="15" customHeight="1" x14ac:dyDescent="0.3">
      <c r="A377" s="5">
        <v>45863</v>
      </c>
      <c r="B377" s="25">
        <v>31</v>
      </c>
      <c r="C377" s="3" t="s">
        <v>38</v>
      </c>
      <c r="D377" s="3" t="s">
        <v>545</v>
      </c>
      <c r="E377" s="3">
        <v>2</v>
      </c>
      <c r="F377" s="3">
        <v>405</v>
      </c>
      <c r="G377" s="6" t="s">
        <v>435</v>
      </c>
      <c r="H377" s="3" t="s">
        <v>436</v>
      </c>
      <c r="I377" s="6" t="s">
        <v>483</v>
      </c>
      <c r="J377" s="3">
        <v>2</v>
      </c>
      <c r="K377" s="3">
        <v>2</v>
      </c>
      <c r="L377" s="3">
        <v>7.5</v>
      </c>
      <c r="M377" s="3"/>
      <c r="N377" s="3"/>
      <c r="O377" s="3">
        <v>3.5</v>
      </c>
      <c r="P377" s="3"/>
      <c r="Q377" s="3"/>
      <c r="R377" s="3"/>
      <c r="S377" s="3"/>
      <c r="T377" s="3"/>
      <c r="U377" s="3"/>
      <c r="V377" s="3"/>
      <c r="W377" s="3"/>
      <c r="X377" s="3" t="s">
        <v>703</v>
      </c>
      <c r="Y377" s="3"/>
    </row>
    <row r="378" spans="1:25" ht="15" customHeight="1" x14ac:dyDescent="0.3">
      <c r="A378" s="5">
        <v>45863</v>
      </c>
      <c r="B378" s="25">
        <v>31</v>
      </c>
      <c r="C378" s="3" t="s">
        <v>38</v>
      </c>
      <c r="D378" s="3" t="s">
        <v>545</v>
      </c>
      <c r="E378" s="3">
        <v>2</v>
      </c>
      <c r="F378" s="3">
        <v>171</v>
      </c>
      <c r="G378" s="6" t="s">
        <v>552</v>
      </c>
      <c r="H378" s="3" t="s">
        <v>553</v>
      </c>
      <c r="I378" s="6" t="s">
        <v>483</v>
      </c>
      <c r="J378" s="3">
        <v>6</v>
      </c>
      <c r="K378" s="23">
        <v>5</v>
      </c>
      <c r="L378" s="3">
        <v>17.39</v>
      </c>
      <c r="M378" s="3">
        <v>4.5</v>
      </c>
      <c r="N378" s="3">
        <v>9</v>
      </c>
      <c r="O378" s="3">
        <v>6</v>
      </c>
      <c r="P378" s="3">
        <v>54</v>
      </c>
      <c r="Q378" s="3">
        <v>170</v>
      </c>
      <c r="R378" s="3"/>
      <c r="S378" s="3"/>
      <c r="T378" s="3"/>
      <c r="U378" s="3"/>
      <c r="V378" s="3"/>
      <c r="W378" s="3"/>
      <c r="X378" s="3" t="s">
        <v>680</v>
      </c>
      <c r="Y378" s="3" t="s">
        <v>707</v>
      </c>
    </row>
    <row r="379" spans="1:25" ht="15" customHeight="1" x14ac:dyDescent="0.3">
      <c r="A379" s="5">
        <v>45863</v>
      </c>
      <c r="B379" s="25">
        <v>31</v>
      </c>
      <c r="C379" s="3" t="s">
        <v>38</v>
      </c>
      <c r="D379" s="3" t="s">
        <v>545</v>
      </c>
      <c r="E379" s="3">
        <v>2</v>
      </c>
      <c r="F379" s="3">
        <v>172</v>
      </c>
      <c r="G379" s="6" t="s">
        <v>472</v>
      </c>
      <c r="H379" s="3" t="s">
        <v>473</v>
      </c>
      <c r="I379" s="6" t="s">
        <v>483</v>
      </c>
      <c r="J379" s="3">
        <v>4</v>
      </c>
      <c r="K379" s="3">
        <v>4</v>
      </c>
      <c r="L379" s="3">
        <v>17.649999999999999</v>
      </c>
      <c r="M379" s="3">
        <v>2</v>
      </c>
      <c r="N379" s="3">
        <v>11</v>
      </c>
      <c r="O379" s="3">
        <v>8</v>
      </c>
      <c r="P379" s="3" t="s">
        <v>484</v>
      </c>
      <c r="Q379" s="3">
        <v>170</v>
      </c>
      <c r="R379" s="3"/>
      <c r="S379" s="3"/>
      <c r="T379" s="3"/>
      <c r="U379" s="3"/>
      <c r="V379" s="3"/>
      <c r="W379" s="3"/>
      <c r="X379" s="3" t="s">
        <v>496</v>
      </c>
      <c r="Y379" s="3" t="s">
        <v>87</v>
      </c>
    </row>
    <row r="380" spans="1:25" ht="15" customHeight="1" x14ac:dyDescent="0.3">
      <c r="A380" s="5">
        <v>45863</v>
      </c>
      <c r="B380" s="25">
        <v>31</v>
      </c>
      <c r="C380" s="3" t="s">
        <v>38</v>
      </c>
      <c r="D380" s="3" t="s">
        <v>545</v>
      </c>
      <c r="E380" s="3">
        <v>2</v>
      </c>
      <c r="F380" s="3">
        <v>173</v>
      </c>
      <c r="G380" s="6" t="s">
        <v>334</v>
      </c>
      <c r="H380" s="3" t="s">
        <v>633</v>
      </c>
      <c r="I380" s="6" t="s">
        <v>483</v>
      </c>
      <c r="J380" s="3">
        <v>5</v>
      </c>
      <c r="K380" s="3">
        <v>5</v>
      </c>
      <c r="L380" s="3">
        <v>16.170000000000002</v>
      </c>
      <c r="M380" s="3">
        <v>0.8</v>
      </c>
      <c r="N380" s="3">
        <v>10.85</v>
      </c>
      <c r="O380" s="3">
        <v>7.5</v>
      </c>
      <c r="P380" s="3" t="s">
        <v>697</v>
      </c>
      <c r="Q380" s="3">
        <v>170</v>
      </c>
      <c r="R380" s="3"/>
      <c r="S380" s="3"/>
      <c r="T380" s="3"/>
      <c r="U380" s="3"/>
      <c r="V380" s="3"/>
      <c r="W380" s="3"/>
      <c r="X380" s="3" t="s">
        <v>288</v>
      </c>
      <c r="Y380" s="3" t="s">
        <v>87</v>
      </c>
    </row>
    <row r="381" spans="1:25" ht="15" customHeight="1" x14ac:dyDescent="0.3">
      <c r="A381" s="5">
        <v>45863</v>
      </c>
      <c r="B381" s="25">
        <v>31</v>
      </c>
      <c r="C381" s="3" t="s">
        <v>38</v>
      </c>
      <c r="D381" s="3" t="s">
        <v>545</v>
      </c>
      <c r="E381" s="3">
        <v>2</v>
      </c>
      <c r="F381" s="3">
        <v>174</v>
      </c>
      <c r="G381" s="6" t="s">
        <v>695</v>
      </c>
      <c r="H381" s="3" t="s">
        <v>696</v>
      </c>
      <c r="I381" s="6" t="s">
        <v>483</v>
      </c>
      <c r="J381" s="3">
        <v>5</v>
      </c>
      <c r="K381" s="3">
        <v>5</v>
      </c>
      <c r="L381" s="3">
        <v>13.75</v>
      </c>
      <c r="M381" s="3">
        <v>0.3</v>
      </c>
      <c r="N381" s="3">
        <v>8</v>
      </c>
      <c r="O381" s="3">
        <v>5</v>
      </c>
      <c r="P381" s="3" t="s">
        <v>698</v>
      </c>
      <c r="Q381" s="3">
        <v>170</v>
      </c>
      <c r="R381" s="3"/>
      <c r="S381" s="3"/>
      <c r="T381" s="3"/>
      <c r="U381" s="3"/>
      <c r="V381" s="3"/>
      <c r="W381" s="3"/>
      <c r="X381" s="3" t="s">
        <v>390</v>
      </c>
      <c r="Y381" s="3" t="s">
        <v>80</v>
      </c>
    </row>
    <row r="382" spans="1:25" ht="15" customHeight="1" x14ac:dyDescent="0.3">
      <c r="A382" s="5">
        <v>45863</v>
      </c>
      <c r="B382" s="25">
        <v>31</v>
      </c>
      <c r="C382" s="3" t="s">
        <v>38</v>
      </c>
      <c r="D382" s="3" t="s">
        <v>545</v>
      </c>
      <c r="E382" s="3">
        <v>2</v>
      </c>
      <c r="F382" s="3">
        <v>176</v>
      </c>
      <c r="G382" s="6" t="s">
        <v>556</v>
      </c>
      <c r="H382" s="3" t="s">
        <v>557</v>
      </c>
      <c r="I382" s="6" t="s">
        <v>483</v>
      </c>
      <c r="J382" s="3">
        <v>5</v>
      </c>
      <c r="K382" s="3">
        <v>5</v>
      </c>
      <c r="L382" s="3">
        <v>16.600000000000001</v>
      </c>
      <c r="M382" s="3">
        <v>1</v>
      </c>
      <c r="N382" s="3">
        <v>11</v>
      </c>
      <c r="O382" s="3">
        <v>8</v>
      </c>
      <c r="P382" s="3" t="s">
        <v>570</v>
      </c>
      <c r="Q382" s="3">
        <v>165</v>
      </c>
      <c r="R382" s="3"/>
      <c r="S382" s="3"/>
      <c r="T382" s="3"/>
      <c r="U382" s="3"/>
      <c r="V382" s="3"/>
      <c r="W382" s="3"/>
      <c r="X382" s="3" t="s">
        <v>390</v>
      </c>
      <c r="Y382" s="3" t="s">
        <v>398</v>
      </c>
    </row>
    <row r="383" spans="1:25" ht="15" customHeight="1" x14ac:dyDescent="0.3">
      <c r="A383" s="5">
        <v>45863</v>
      </c>
      <c r="B383" s="25">
        <v>31</v>
      </c>
      <c r="C383" s="3" t="s">
        <v>38</v>
      </c>
      <c r="D383" s="3" t="s">
        <v>545</v>
      </c>
      <c r="E383" s="3">
        <v>2</v>
      </c>
      <c r="F383" s="3">
        <v>177</v>
      </c>
      <c r="G383" s="6" t="s">
        <v>558</v>
      </c>
      <c r="H383" s="3" t="s">
        <v>664</v>
      </c>
      <c r="I383" s="6" t="s">
        <v>483</v>
      </c>
      <c r="J383" s="3">
        <v>3</v>
      </c>
      <c r="K383" s="3">
        <v>3</v>
      </c>
      <c r="L383" s="3">
        <v>13.2</v>
      </c>
      <c r="M383" s="3">
        <v>3.4</v>
      </c>
      <c r="N383" s="3">
        <v>6.25</v>
      </c>
      <c r="O383" s="3">
        <v>4.2</v>
      </c>
      <c r="P383" s="3"/>
      <c r="Q383" s="3">
        <v>170</v>
      </c>
      <c r="R383" s="3"/>
      <c r="S383" s="3"/>
      <c r="T383" s="3"/>
      <c r="U383" s="3"/>
      <c r="V383" s="3"/>
      <c r="W383" s="3"/>
      <c r="X383" s="3" t="s">
        <v>254</v>
      </c>
      <c r="Y383" s="3" t="s">
        <v>84</v>
      </c>
    </row>
    <row r="384" spans="1:25" ht="15" customHeight="1" x14ac:dyDescent="0.3">
      <c r="A384" s="5">
        <v>45863</v>
      </c>
      <c r="B384" s="25">
        <v>31</v>
      </c>
      <c r="C384" s="3" t="s">
        <v>38</v>
      </c>
      <c r="D384" s="3" t="s">
        <v>545</v>
      </c>
      <c r="E384" s="3">
        <v>2</v>
      </c>
      <c r="F384" s="3">
        <v>133</v>
      </c>
      <c r="G384" s="6" t="s">
        <v>665</v>
      </c>
      <c r="H384" s="3" t="s">
        <v>666</v>
      </c>
      <c r="I384" s="6" t="s">
        <v>483</v>
      </c>
      <c r="J384" s="3">
        <v>4</v>
      </c>
      <c r="K384" s="3">
        <v>4</v>
      </c>
      <c r="L384" s="3">
        <v>15.86</v>
      </c>
      <c r="M384" s="3">
        <v>2.6</v>
      </c>
      <c r="N384" s="3">
        <v>6.25</v>
      </c>
      <c r="O384" s="3">
        <v>4.3</v>
      </c>
      <c r="P384" s="3"/>
      <c r="Q384" s="3">
        <v>170</v>
      </c>
      <c r="R384" s="3"/>
      <c r="S384" s="3"/>
      <c r="T384" s="3"/>
      <c r="U384" s="3"/>
      <c r="V384" s="3"/>
      <c r="W384" s="3"/>
      <c r="X384" s="3" t="s">
        <v>681</v>
      </c>
      <c r="Y384" s="3" t="s">
        <v>687</v>
      </c>
    </row>
    <row r="385" spans="1:25" ht="15" customHeight="1" x14ac:dyDescent="0.3">
      <c r="A385" s="5">
        <v>45863</v>
      </c>
      <c r="B385" s="25">
        <v>31</v>
      </c>
      <c r="C385" s="3" t="s">
        <v>38</v>
      </c>
      <c r="D385" s="3" t="s">
        <v>545</v>
      </c>
      <c r="E385" s="3">
        <v>2</v>
      </c>
      <c r="F385" s="3">
        <v>206</v>
      </c>
      <c r="G385" s="6" t="s">
        <v>667</v>
      </c>
      <c r="H385" s="3" t="s">
        <v>668</v>
      </c>
      <c r="I385" s="6" t="s">
        <v>111</v>
      </c>
      <c r="J385" s="3">
        <v>12</v>
      </c>
      <c r="K385" s="23">
        <v>11</v>
      </c>
      <c r="L385" s="3">
        <v>27.1</v>
      </c>
      <c r="M385" s="3">
        <v>18</v>
      </c>
      <c r="N385" s="3">
        <v>1.2</v>
      </c>
      <c r="O385" s="3"/>
      <c r="P385" s="3"/>
      <c r="Q385" s="3"/>
      <c r="R385" s="3" t="s">
        <v>699</v>
      </c>
      <c r="S385" s="3" t="s">
        <v>248</v>
      </c>
      <c r="T385" s="3">
        <v>0.5</v>
      </c>
      <c r="U385" s="3">
        <v>30</v>
      </c>
      <c r="V385" s="3">
        <v>45</v>
      </c>
      <c r="W385" s="3">
        <v>120</v>
      </c>
      <c r="X385" s="3" t="s">
        <v>704</v>
      </c>
      <c r="Y385" s="3" t="s">
        <v>708</v>
      </c>
    </row>
    <row r="386" spans="1:25" ht="15" customHeight="1" x14ac:dyDescent="0.3">
      <c r="A386" s="5">
        <v>45863</v>
      </c>
      <c r="B386" s="25">
        <v>31</v>
      </c>
      <c r="C386" s="3" t="s">
        <v>38</v>
      </c>
      <c r="D386" s="3" t="s">
        <v>545</v>
      </c>
      <c r="E386" s="3">
        <v>2</v>
      </c>
      <c r="F386" s="3">
        <v>208</v>
      </c>
      <c r="G386" s="6" t="s">
        <v>593</v>
      </c>
      <c r="H386" s="3" t="s">
        <v>594</v>
      </c>
      <c r="I386" s="6" t="s">
        <v>110</v>
      </c>
      <c r="J386" s="3">
        <v>4</v>
      </c>
      <c r="K386" s="23">
        <v>2</v>
      </c>
      <c r="L386" s="3">
        <v>24.68</v>
      </c>
      <c r="M386" s="3">
        <v>10</v>
      </c>
      <c r="N386" s="3">
        <v>3.2</v>
      </c>
      <c r="O386" s="3"/>
      <c r="P386" s="3"/>
      <c r="Q386" s="3"/>
      <c r="R386" s="3" t="s">
        <v>700</v>
      </c>
      <c r="S386" s="3" t="s">
        <v>678</v>
      </c>
      <c r="T386" s="3">
        <v>2.5</v>
      </c>
      <c r="U386" s="3">
        <v>20</v>
      </c>
      <c r="V386" s="3">
        <v>30</v>
      </c>
      <c r="W386" s="3">
        <v>118</v>
      </c>
      <c r="X386" s="3" t="s">
        <v>614</v>
      </c>
      <c r="Y386" s="3" t="s">
        <v>709</v>
      </c>
    </row>
    <row r="387" spans="1:25" ht="15" customHeight="1" x14ac:dyDescent="0.3">
      <c r="A387" s="5">
        <v>45863</v>
      </c>
      <c r="B387" s="25">
        <v>31</v>
      </c>
      <c r="C387" s="3" t="s">
        <v>38</v>
      </c>
      <c r="D387" s="3" t="s">
        <v>545</v>
      </c>
      <c r="E387" s="3">
        <v>2</v>
      </c>
      <c r="F387" s="3">
        <v>209</v>
      </c>
      <c r="G387" s="6" t="s">
        <v>377</v>
      </c>
      <c r="H387" s="3" t="s">
        <v>378</v>
      </c>
      <c r="I387" s="6" t="s">
        <v>111</v>
      </c>
      <c r="J387" s="3">
        <v>8</v>
      </c>
      <c r="K387" s="23">
        <v>7</v>
      </c>
      <c r="L387" s="3">
        <v>29.5</v>
      </c>
      <c r="M387" s="3">
        <v>13</v>
      </c>
      <c r="N387" s="3">
        <v>1.5</v>
      </c>
      <c r="O387" s="3"/>
      <c r="P387" s="3"/>
      <c r="Q387" s="3"/>
      <c r="R387" s="3" t="s">
        <v>701</v>
      </c>
      <c r="S387" s="3" t="s">
        <v>447</v>
      </c>
      <c r="T387" s="3">
        <v>0.5</v>
      </c>
      <c r="U387" s="3">
        <v>20</v>
      </c>
      <c r="V387" s="3">
        <v>25</v>
      </c>
      <c r="W387" s="3">
        <v>95</v>
      </c>
      <c r="X387" s="3" t="s">
        <v>705</v>
      </c>
      <c r="Y387" s="3"/>
    </row>
    <row r="388" spans="1:25" ht="15" customHeight="1" x14ac:dyDescent="0.3">
      <c r="A388" s="5">
        <v>45863</v>
      </c>
      <c r="B388" s="25">
        <v>31</v>
      </c>
      <c r="C388" s="3" t="s">
        <v>38</v>
      </c>
      <c r="D388" s="3" t="s">
        <v>545</v>
      </c>
      <c r="E388" s="3">
        <v>2</v>
      </c>
      <c r="F388" s="3">
        <v>401</v>
      </c>
      <c r="G388" s="6" t="s">
        <v>669</v>
      </c>
      <c r="H388" s="3" t="s">
        <v>670</v>
      </c>
      <c r="I388" s="6" t="s">
        <v>483</v>
      </c>
      <c r="J388" s="3">
        <v>1</v>
      </c>
      <c r="K388" s="3">
        <v>1</v>
      </c>
      <c r="L388" s="3">
        <v>11.76</v>
      </c>
      <c r="M388" s="3"/>
      <c r="N388" s="3"/>
      <c r="O388" s="3">
        <v>3.5</v>
      </c>
      <c r="P388" s="3"/>
      <c r="Q388" s="3"/>
      <c r="R388" s="3"/>
      <c r="S388" s="3"/>
      <c r="T388" s="3"/>
      <c r="U388" s="3"/>
      <c r="V388" s="3"/>
      <c r="W388" s="3"/>
      <c r="X388" s="3" t="s">
        <v>706</v>
      </c>
      <c r="Y388" s="3"/>
    </row>
    <row r="389" spans="1:25" ht="15" customHeight="1" x14ac:dyDescent="0.3">
      <c r="A389" s="5">
        <v>45863</v>
      </c>
      <c r="B389" s="25">
        <v>31</v>
      </c>
      <c r="C389" s="3" t="s">
        <v>38</v>
      </c>
      <c r="D389" s="3" t="s">
        <v>545</v>
      </c>
      <c r="E389" s="3">
        <v>2</v>
      </c>
      <c r="F389" s="3">
        <v>503</v>
      </c>
      <c r="G389" s="6" t="s">
        <v>597</v>
      </c>
      <c r="H389" s="3" t="s">
        <v>598</v>
      </c>
      <c r="I389" s="6" t="s">
        <v>110</v>
      </c>
      <c r="J389" s="3">
        <v>2</v>
      </c>
      <c r="K389" s="3">
        <v>2</v>
      </c>
      <c r="L389" s="3">
        <v>14.5</v>
      </c>
      <c r="M389" s="3"/>
      <c r="N389" s="3"/>
      <c r="O389" s="3">
        <v>18</v>
      </c>
      <c r="P389" s="3"/>
      <c r="Q389" s="3"/>
      <c r="R389" s="3"/>
      <c r="S389" s="3"/>
      <c r="T389" s="3"/>
      <c r="U389" s="3"/>
      <c r="V389" s="3"/>
      <c r="W389" s="3"/>
      <c r="X389" s="3" t="s">
        <v>618</v>
      </c>
      <c r="Y389" s="3"/>
    </row>
    <row r="390" spans="1:25" ht="15" customHeight="1" x14ac:dyDescent="0.3">
      <c r="A390" s="5">
        <v>45863</v>
      </c>
      <c r="B390" s="25">
        <v>31</v>
      </c>
      <c r="C390" s="3" t="s">
        <v>38</v>
      </c>
      <c r="D390" s="3" t="s">
        <v>545</v>
      </c>
      <c r="E390" s="3">
        <v>2</v>
      </c>
      <c r="F390" s="3">
        <v>175</v>
      </c>
      <c r="G390" s="6" t="s">
        <v>227</v>
      </c>
      <c r="H390" s="3" t="s">
        <v>671</v>
      </c>
      <c r="I390" s="6" t="s">
        <v>483</v>
      </c>
      <c r="J390" s="3">
        <v>3</v>
      </c>
      <c r="K390" s="3">
        <v>3</v>
      </c>
      <c r="L390" s="3">
        <v>17.03</v>
      </c>
      <c r="M390" s="3">
        <v>3.8</v>
      </c>
      <c r="N390" s="3">
        <v>9</v>
      </c>
      <c r="O390" s="3">
        <v>5.5</v>
      </c>
      <c r="P390" s="3" t="s">
        <v>241</v>
      </c>
      <c r="Q390" s="3">
        <v>180</v>
      </c>
      <c r="R390" s="3"/>
      <c r="S390" s="3"/>
      <c r="T390" s="3"/>
      <c r="U390" s="3"/>
      <c r="V390" s="3"/>
      <c r="W390" s="3"/>
      <c r="X390" s="3" t="s">
        <v>79</v>
      </c>
      <c r="Y390" s="3" t="s">
        <v>84</v>
      </c>
    </row>
    <row r="391" spans="1:25" ht="15" customHeight="1" x14ac:dyDescent="0.3">
      <c r="A391" s="27">
        <v>45866</v>
      </c>
      <c r="B391" s="25">
        <v>31</v>
      </c>
      <c r="C391" s="3" t="s">
        <v>38</v>
      </c>
      <c r="D391" s="3" t="s">
        <v>164</v>
      </c>
      <c r="E391" s="3">
        <v>2</v>
      </c>
      <c r="F391" s="3">
        <v>103</v>
      </c>
      <c r="G391" s="6" t="s">
        <v>163</v>
      </c>
      <c r="H391" s="3" t="s">
        <v>546</v>
      </c>
      <c r="I391" s="6" t="s">
        <v>5</v>
      </c>
      <c r="J391" s="3">
        <v>5</v>
      </c>
      <c r="K391" s="3">
        <v>5</v>
      </c>
      <c r="L391" s="3">
        <v>14.75</v>
      </c>
      <c r="M391" s="3">
        <v>3.5</v>
      </c>
      <c r="N391" s="3">
        <v>6.8</v>
      </c>
      <c r="O391" s="3">
        <v>6</v>
      </c>
      <c r="P391" s="3">
        <v>24</v>
      </c>
      <c r="Q391" s="3">
        <v>170</v>
      </c>
      <c r="R391" s="3"/>
      <c r="S391" s="3"/>
      <c r="T391" s="3"/>
      <c r="U391" s="3"/>
      <c r="V391" s="3"/>
      <c r="W391" s="3"/>
      <c r="X391" s="3" t="s">
        <v>79</v>
      </c>
      <c r="Y391" s="3" t="s">
        <v>79</v>
      </c>
    </row>
    <row r="392" spans="1:25" ht="15" customHeight="1" x14ac:dyDescent="0.3">
      <c r="A392" s="27">
        <v>45866</v>
      </c>
      <c r="B392" s="25">
        <v>31</v>
      </c>
      <c r="C392" s="3" t="s">
        <v>38</v>
      </c>
      <c r="D392" s="3" t="s">
        <v>164</v>
      </c>
      <c r="E392" s="3">
        <v>2</v>
      </c>
      <c r="F392" s="3">
        <v>161</v>
      </c>
      <c r="G392" s="6" t="s">
        <v>691</v>
      </c>
      <c r="H392" s="3" t="s">
        <v>692</v>
      </c>
      <c r="I392" s="6" t="s">
        <v>483</v>
      </c>
      <c r="J392" s="3">
        <v>2</v>
      </c>
      <c r="K392" s="3">
        <v>2</v>
      </c>
      <c r="L392" s="3">
        <v>21</v>
      </c>
      <c r="M392" s="3">
        <v>5</v>
      </c>
      <c r="N392" s="3">
        <v>7</v>
      </c>
      <c r="O392" s="3">
        <v>3</v>
      </c>
      <c r="P392" s="3"/>
      <c r="Q392" s="3">
        <v>175</v>
      </c>
      <c r="R392" s="3"/>
      <c r="S392" s="3"/>
      <c r="T392" s="3"/>
      <c r="U392" s="3"/>
      <c r="V392" s="3"/>
      <c r="W392" s="3"/>
      <c r="X392" s="3" t="s">
        <v>496</v>
      </c>
      <c r="Y392" s="3" t="s">
        <v>396</v>
      </c>
    </row>
    <row r="393" spans="1:25" ht="15" customHeight="1" x14ac:dyDescent="0.3">
      <c r="A393" s="27">
        <v>45866</v>
      </c>
      <c r="B393" s="25">
        <v>31</v>
      </c>
      <c r="C393" s="3" t="s">
        <v>38</v>
      </c>
      <c r="D393" s="3" t="s">
        <v>164</v>
      </c>
      <c r="E393" s="3">
        <v>2</v>
      </c>
      <c r="F393" s="3">
        <v>162</v>
      </c>
      <c r="G393" s="6" t="s">
        <v>710</v>
      </c>
      <c r="H393" s="3" t="s">
        <v>711</v>
      </c>
      <c r="I393" s="6" t="s">
        <v>483</v>
      </c>
      <c r="J393" s="3">
        <v>2</v>
      </c>
      <c r="K393" s="3">
        <v>2</v>
      </c>
      <c r="L393" s="3">
        <v>21</v>
      </c>
      <c r="M393" s="3">
        <v>3.5</v>
      </c>
      <c r="N393" s="3">
        <v>6.5</v>
      </c>
      <c r="O393" s="3">
        <v>2.9</v>
      </c>
      <c r="P393" s="3">
        <v>22</v>
      </c>
      <c r="Q393" s="3">
        <v>170</v>
      </c>
      <c r="R393" s="3"/>
      <c r="S393" s="3"/>
      <c r="T393" s="3"/>
      <c r="U393" s="3"/>
      <c r="V393" s="3"/>
      <c r="W393" s="3"/>
      <c r="X393" s="3" t="s">
        <v>527</v>
      </c>
      <c r="Y393" s="3" t="s">
        <v>505</v>
      </c>
    </row>
    <row r="394" spans="1:25" ht="15" customHeight="1" x14ac:dyDescent="0.3">
      <c r="A394" s="27">
        <v>45866</v>
      </c>
      <c r="B394" s="25">
        <v>31</v>
      </c>
      <c r="C394" s="3" t="s">
        <v>38</v>
      </c>
      <c r="D394" s="3" t="s">
        <v>164</v>
      </c>
      <c r="E394" s="3">
        <v>2</v>
      </c>
      <c r="F394" s="3">
        <v>164</v>
      </c>
      <c r="G394" s="6" t="s">
        <v>11</v>
      </c>
      <c r="H394" s="3" t="s">
        <v>712</v>
      </c>
      <c r="I394" s="6" t="s">
        <v>483</v>
      </c>
      <c r="J394" s="3">
        <v>2</v>
      </c>
      <c r="K394" s="3">
        <v>2</v>
      </c>
      <c r="L394" s="3">
        <v>22.8</v>
      </c>
      <c r="M394" s="3">
        <v>7</v>
      </c>
      <c r="N394" s="3">
        <v>11</v>
      </c>
      <c r="O394" s="3">
        <v>3.5</v>
      </c>
      <c r="P394" s="3"/>
      <c r="Q394" s="3">
        <v>180</v>
      </c>
      <c r="R394" s="3"/>
      <c r="S394" s="3"/>
      <c r="T394" s="3"/>
      <c r="U394" s="3"/>
      <c r="V394" s="3"/>
      <c r="W394" s="3"/>
      <c r="X394" s="3" t="s">
        <v>84</v>
      </c>
      <c r="Y394" s="3" t="s">
        <v>153</v>
      </c>
    </row>
    <row r="395" spans="1:25" ht="15" customHeight="1" x14ac:dyDescent="0.3">
      <c r="A395" s="27">
        <v>45866</v>
      </c>
      <c r="B395" s="25">
        <v>31</v>
      </c>
      <c r="C395" s="3" t="s">
        <v>38</v>
      </c>
      <c r="D395" s="3" t="s">
        <v>164</v>
      </c>
      <c r="E395" s="3">
        <v>2</v>
      </c>
      <c r="F395" s="3">
        <v>182</v>
      </c>
      <c r="G395" s="6" t="s">
        <v>713</v>
      </c>
      <c r="H395" s="3" t="s">
        <v>714</v>
      </c>
      <c r="I395" s="6" t="s">
        <v>483</v>
      </c>
      <c r="J395" s="3">
        <v>4</v>
      </c>
      <c r="K395" s="3">
        <v>4</v>
      </c>
      <c r="L395" s="3">
        <v>15</v>
      </c>
      <c r="M395" s="3">
        <v>3.5</v>
      </c>
      <c r="N395" s="3">
        <v>6</v>
      </c>
      <c r="O395" s="3">
        <v>3</v>
      </c>
      <c r="P395" s="3"/>
      <c r="Q395" s="3">
        <v>170</v>
      </c>
      <c r="R395" s="3"/>
      <c r="S395" s="3"/>
      <c r="T395" s="3"/>
      <c r="U395" s="3"/>
      <c r="V395" s="3"/>
      <c r="W395" s="3"/>
      <c r="X395" s="3" t="s">
        <v>82</v>
      </c>
      <c r="Y395" s="3" t="s">
        <v>396</v>
      </c>
    </row>
    <row r="396" spans="1:25" ht="15" customHeight="1" x14ac:dyDescent="0.3">
      <c r="A396" s="27">
        <v>45866</v>
      </c>
      <c r="B396" s="25">
        <v>31</v>
      </c>
      <c r="C396" s="3" t="s">
        <v>38</v>
      </c>
      <c r="D396" s="3" t="s">
        <v>164</v>
      </c>
      <c r="E396" s="3">
        <v>2</v>
      </c>
      <c r="F396" s="3">
        <v>404</v>
      </c>
      <c r="G396" s="6" t="s">
        <v>407</v>
      </c>
      <c r="H396" s="3" t="s">
        <v>632</v>
      </c>
      <c r="I396" s="6" t="s">
        <v>483</v>
      </c>
      <c r="J396" s="3">
        <v>2</v>
      </c>
      <c r="K396" s="3">
        <v>2</v>
      </c>
      <c r="L396" s="3">
        <v>7.1</v>
      </c>
      <c r="M396" s="3"/>
      <c r="N396" s="3"/>
      <c r="O396" s="3">
        <v>2.5</v>
      </c>
      <c r="P396" s="3"/>
      <c r="Q396" s="3"/>
      <c r="R396" s="3"/>
      <c r="S396" s="3"/>
      <c r="T396" s="3"/>
      <c r="U396" s="3"/>
      <c r="V396" s="3"/>
      <c r="W396" s="3"/>
      <c r="X396" s="3" t="s">
        <v>727</v>
      </c>
      <c r="Y396" s="3"/>
    </row>
    <row r="397" spans="1:25" ht="15" customHeight="1" x14ac:dyDescent="0.3">
      <c r="A397" s="27">
        <v>45866</v>
      </c>
      <c r="B397" s="25">
        <v>31</v>
      </c>
      <c r="C397" s="3" t="s">
        <v>38</v>
      </c>
      <c r="D397" s="3" t="s">
        <v>164</v>
      </c>
      <c r="E397" s="3">
        <v>2</v>
      </c>
      <c r="F397" s="3">
        <v>171</v>
      </c>
      <c r="G397" s="6" t="s">
        <v>552</v>
      </c>
      <c r="H397" s="3" t="s">
        <v>553</v>
      </c>
      <c r="I397" s="6" t="s">
        <v>483</v>
      </c>
      <c r="J397" s="3">
        <v>6</v>
      </c>
      <c r="K397" s="23">
        <v>5</v>
      </c>
      <c r="L397" s="3">
        <v>17.48</v>
      </c>
      <c r="M397" s="3">
        <v>4.5</v>
      </c>
      <c r="N397" s="3">
        <v>9</v>
      </c>
      <c r="O397" s="3">
        <v>6</v>
      </c>
      <c r="P397" s="3"/>
      <c r="Q397" s="3">
        <v>170</v>
      </c>
      <c r="R397" s="3"/>
      <c r="S397" s="3"/>
      <c r="T397" s="3"/>
      <c r="U397" s="3"/>
      <c r="V397" s="3"/>
      <c r="W397" s="3"/>
      <c r="X397" s="3" t="s">
        <v>680</v>
      </c>
      <c r="Y397" s="3" t="s">
        <v>707</v>
      </c>
    </row>
    <row r="398" spans="1:25" ht="15" customHeight="1" x14ac:dyDescent="0.3">
      <c r="A398" s="27">
        <v>45866</v>
      </c>
      <c r="B398" s="25">
        <v>31</v>
      </c>
      <c r="C398" s="3" t="s">
        <v>38</v>
      </c>
      <c r="D398" s="3" t="s">
        <v>164</v>
      </c>
      <c r="E398" s="3">
        <v>2</v>
      </c>
      <c r="F398" s="3">
        <v>174</v>
      </c>
      <c r="G398" s="6" t="s">
        <v>181</v>
      </c>
      <c r="H398" s="3" t="s">
        <v>715</v>
      </c>
      <c r="I398" s="6" t="s">
        <v>483</v>
      </c>
      <c r="J398" s="3">
        <v>5</v>
      </c>
      <c r="K398" s="3">
        <v>5</v>
      </c>
      <c r="L398" s="3">
        <v>13.68</v>
      </c>
      <c r="M398" s="3">
        <v>0.4</v>
      </c>
      <c r="N398" s="3">
        <v>8</v>
      </c>
      <c r="O398" s="3">
        <v>5</v>
      </c>
      <c r="P398" s="3" t="s">
        <v>724</v>
      </c>
      <c r="Q398" s="3">
        <v>170</v>
      </c>
      <c r="R398" s="3"/>
      <c r="S398" s="3"/>
      <c r="T398" s="3"/>
      <c r="U398" s="3"/>
      <c r="V398" s="3"/>
      <c r="W398" s="3"/>
      <c r="X398" s="3" t="s">
        <v>390</v>
      </c>
      <c r="Y398" s="3" t="s">
        <v>80</v>
      </c>
    </row>
    <row r="399" spans="1:25" ht="15" customHeight="1" x14ac:dyDescent="0.3">
      <c r="A399" s="27">
        <v>45866</v>
      </c>
      <c r="B399" s="25">
        <v>31</v>
      </c>
      <c r="C399" s="3" t="s">
        <v>38</v>
      </c>
      <c r="D399" s="3" t="s">
        <v>164</v>
      </c>
      <c r="E399" s="3">
        <v>2</v>
      </c>
      <c r="F399" s="3">
        <v>176</v>
      </c>
      <c r="G399" s="6" t="s">
        <v>716</v>
      </c>
      <c r="H399" s="3" t="s">
        <v>717</v>
      </c>
      <c r="I399" s="6" t="s">
        <v>483</v>
      </c>
      <c r="J399" s="3">
        <v>5</v>
      </c>
      <c r="K399" s="3">
        <v>5</v>
      </c>
      <c r="L399" s="3">
        <v>16.62</v>
      </c>
      <c r="M399" s="3">
        <v>1</v>
      </c>
      <c r="N399" s="3">
        <v>11</v>
      </c>
      <c r="O399" s="3">
        <v>8</v>
      </c>
      <c r="P399" s="3" t="s">
        <v>570</v>
      </c>
      <c r="Q399" s="3">
        <v>165</v>
      </c>
      <c r="R399" s="3"/>
      <c r="S399" s="3"/>
      <c r="T399" s="3"/>
      <c r="U399" s="3"/>
      <c r="V399" s="3"/>
      <c r="W399" s="3"/>
      <c r="X399" s="3" t="s">
        <v>390</v>
      </c>
      <c r="Y399" s="3" t="s">
        <v>398</v>
      </c>
    </row>
    <row r="400" spans="1:25" ht="15" customHeight="1" x14ac:dyDescent="0.3">
      <c r="A400" s="27">
        <v>45866</v>
      </c>
      <c r="B400" s="25">
        <v>31</v>
      </c>
      <c r="C400" s="3" t="s">
        <v>38</v>
      </c>
      <c r="D400" s="3" t="s">
        <v>164</v>
      </c>
      <c r="E400" s="3">
        <v>2</v>
      </c>
      <c r="F400" s="3">
        <v>177</v>
      </c>
      <c r="G400" s="6" t="s">
        <v>558</v>
      </c>
      <c r="H400" s="3" t="s">
        <v>718</v>
      </c>
      <c r="I400" s="6" t="s">
        <v>483</v>
      </c>
      <c r="J400" s="3">
        <v>3</v>
      </c>
      <c r="K400" s="3">
        <v>3</v>
      </c>
      <c r="L400" s="3">
        <v>13.22</v>
      </c>
      <c r="M400" s="3">
        <v>3.4</v>
      </c>
      <c r="N400" s="3">
        <v>6.25</v>
      </c>
      <c r="O400" s="3">
        <v>4.2</v>
      </c>
      <c r="P400" s="3"/>
      <c r="Q400" s="3">
        <v>170</v>
      </c>
      <c r="R400" s="3"/>
      <c r="S400" s="3"/>
      <c r="T400" s="3"/>
      <c r="U400" s="3"/>
      <c r="V400" s="3"/>
      <c r="W400" s="3"/>
      <c r="X400" s="3" t="s">
        <v>254</v>
      </c>
      <c r="Y400" s="3" t="s">
        <v>84</v>
      </c>
    </row>
    <row r="401" spans="1:25" ht="15" customHeight="1" x14ac:dyDescent="0.3">
      <c r="A401" s="27">
        <v>45866</v>
      </c>
      <c r="B401" s="25">
        <v>31</v>
      </c>
      <c r="C401" s="3" t="s">
        <v>38</v>
      </c>
      <c r="D401" s="3" t="s">
        <v>164</v>
      </c>
      <c r="E401" s="3">
        <v>2</v>
      </c>
      <c r="F401" s="3">
        <v>206</v>
      </c>
      <c r="G401" s="6" t="s">
        <v>667</v>
      </c>
      <c r="H401" s="3" t="s">
        <v>668</v>
      </c>
      <c r="I401" s="6" t="s">
        <v>111</v>
      </c>
      <c r="J401" s="3">
        <v>12</v>
      </c>
      <c r="K401" s="23">
        <v>11</v>
      </c>
      <c r="L401" s="3">
        <v>27.2</v>
      </c>
      <c r="M401" s="3">
        <v>18</v>
      </c>
      <c r="N401" s="3">
        <v>1.2</v>
      </c>
      <c r="O401" s="3"/>
      <c r="P401" s="3"/>
      <c r="Q401" s="3"/>
      <c r="R401" s="3" t="s">
        <v>674</v>
      </c>
      <c r="S401" s="3" t="s">
        <v>248</v>
      </c>
      <c r="T401" s="3">
        <v>0.5</v>
      </c>
      <c r="U401" s="3">
        <v>30</v>
      </c>
      <c r="V401" s="3">
        <v>45</v>
      </c>
      <c r="W401" s="3">
        <v>120</v>
      </c>
      <c r="X401" s="3" t="s">
        <v>728</v>
      </c>
      <c r="Y401" s="3" t="s">
        <v>734</v>
      </c>
    </row>
    <row r="402" spans="1:25" ht="15" customHeight="1" x14ac:dyDescent="0.3">
      <c r="A402" s="27">
        <v>45866</v>
      </c>
      <c r="B402" s="25">
        <v>31</v>
      </c>
      <c r="C402" s="3" t="s">
        <v>38</v>
      </c>
      <c r="D402" s="3" t="s">
        <v>164</v>
      </c>
      <c r="E402" s="3">
        <v>2</v>
      </c>
      <c r="F402" s="3">
        <v>207</v>
      </c>
      <c r="G402" s="6" t="s">
        <v>476</v>
      </c>
      <c r="H402" s="3" t="s">
        <v>477</v>
      </c>
      <c r="I402" s="6" t="s">
        <v>111</v>
      </c>
      <c r="J402" s="3">
        <v>12</v>
      </c>
      <c r="K402" s="23">
        <v>8</v>
      </c>
      <c r="L402" s="3">
        <v>34</v>
      </c>
      <c r="M402" s="3">
        <v>15</v>
      </c>
      <c r="N402" s="3">
        <v>3</v>
      </c>
      <c r="O402" s="3"/>
      <c r="P402" s="3"/>
      <c r="Q402" s="3"/>
      <c r="R402" s="3" t="s">
        <v>637</v>
      </c>
      <c r="S402" s="3" t="s">
        <v>75</v>
      </c>
      <c r="T402" s="3">
        <v>2.5</v>
      </c>
      <c r="U402" s="3">
        <v>20</v>
      </c>
      <c r="V402" s="3">
        <v>30</v>
      </c>
      <c r="W402" s="3">
        <v>140</v>
      </c>
      <c r="X402" s="3" t="s">
        <v>613</v>
      </c>
      <c r="Y402" s="3" t="s">
        <v>735</v>
      </c>
    </row>
    <row r="403" spans="1:25" ht="15" customHeight="1" x14ac:dyDescent="0.3">
      <c r="A403" s="27">
        <v>45866</v>
      </c>
      <c r="B403" s="25">
        <v>31</v>
      </c>
      <c r="C403" s="3" t="s">
        <v>38</v>
      </c>
      <c r="D403" s="3" t="s">
        <v>164</v>
      </c>
      <c r="E403" s="3">
        <v>2</v>
      </c>
      <c r="F403" s="3">
        <v>208</v>
      </c>
      <c r="G403" s="6" t="s">
        <v>593</v>
      </c>
      <c r="H403" s="3" t="s">
        <v>594</v>
      </c>
      <c r="I403" s="6" t="s">
        <v>110</v>
      </c>
      <c r="J403" s="3">
        <v>4</v>
      </c>
      <c r="K403" s="23">
        <v>2</v>
      </c>
      <c r="L403" s="3">
        <v>24.8</v>
      </c>
      <c r="M403" s="3">
        <v>10</v>
      </c>
      <c r="N403" s="3">
        <v>3.55</v>
      </c>
      <c r="O403" s="3"/>
      <c r="P403" s="3"/>
      <c r="Q403" s="3"/>
      <c r="R403" s="3" t="s">
        <v>725</v>
      </c>
      <c r="S403" s="3" t="s">
        <v>316</v>
      </c>
      <c r="T403" s="3">
        <v>2.5</v>
      </c>
      <c r="U403" s="3">
        <v>20</v>
      </c>
      <c r="V403" s="3">
        <v>30</v>
      </c>
      <c r="W403" s="3">
        <v>118</v>
      </c>
      <c r="X403" s="3" t="s">
        <v>729</v>
      </c>
      <c r="Y403" s="3" t="s">
        <v>736</v>
      </c>
    </row>
    <row r="404" spans="1:25" ht="15" customHeight="1" x14ac:dyDescent="0.3">
      <c r="A404" s="27">
        <v>45866</v>
      </c>
      <c r="B404" s="25">
        <v>31</v>
      </c>
      <c r="C404" s="3" t="s">
        <v>38</v>
      </c>
      <c r="D404" s="3" t="s">
        <v>164</v>
      </c>
      <c r="E404" s="3">
        <v>2</v>
      </c>
      <c r="F404" s="3">
        <v>209</v>
      </c>
      <c r="G404" s="6" t="s">
        <v>377</v>
      </c>
      <c r="H404" s="3" t="s">
        <v>378</v>
      </c>
      <c r="I404" s="6" t="s">
        <v>111</v>
      </c>
      <c r="J404" s="3">
        <v>8</v>
      </c>
      <c r="K404" s="23">
        <v>7</v>
      </c>
      <c r="L404" s="3">
        <v>29</v>
      </c>
      <c r="M404" s="3">
        <v>13</v>
      </c>
      <c r="N404" s="3">
        <v>1.5</v>
      </c>
      <c r="O404" s="3"/>
      <c r="P404" s="3"/>
      <c r="Q404" s="3"/>
      <c r="R404" s="3" t="s">
        <v>701</v>
      </c>
      <c r="S404" s="3" t="s">
        <v>447</v>
      </c>
      <c r="T404" s="3">
        <v>0.5</v>
      </c>
      <c r="U404" s="3">
        <v>20</v>
      </c>
      <c r="V404" s="3">
        <v>25</v>
      </c>
      <c r="W404" s="3">
        <v>95</v>
      </c>
      <c r="X404" s="3" t="s">
        <v>705</v>
      </c>
      <c r="Y404" s="3"/>
    </row>
    <row r="405" spans="1:25" ht="15" customHeight="1" x14ac:dyDescent="0.3">
      <c r="A405" s="27">
        <v>45866</v>
      </c>
      <c r="B405" s="25">
        <v>31</v>
      </c>
      <c r="C405" s="3" t="s">
        <v>38</v>
      </c>
      <c r="D405" s="3" t="s">
        <v>164</v>
      </c>
      <c r="E405" s="3">
        <v>2</v>
      </c>
      <c r="F405" s="3">
        <v>210</v>
      </c>
      <c r="G405" s="6" t="s">
        <v>28</v>
      </c>
      <c r="H405" s="3" t="s">
        <v>719</v>
      </c>
      <c r="I405" s="6" t="s">
        <v>111</v>
      </c>
      <c r="J405" s="3">
        <v>4</v>
      </c>
      <c r="K405" s="3">
        <v>4</v>
      </c>
      <c r="L405" s="3">
        <v>22.2</v>
      </c>
      <c r="M405" s="3">
        <v>8</v>
      </c>
      <c r="N405" s="3">
        <v>4</v>
      </c>
      <c r="O405" s="3"/>
      <c r="P405" s="3"/>
      <c r="Q405" s="3"/>
      <c r="R405" s="3" t="s">
        <v>447</v>
      </c>
      <c r="S405" s="3" t="s">
        <v>421</v>
      </c>
      <c r="T405" s="3">
        <v>1</v>
      </c>
      <c r="U405" s="3">
        <v>20</v>
      </c>
      <c r="V405" s="3">
        <v>30</v>
      </c>
      <c r="W405" s="3">
        <v>100</v>
      </c>
      <c r="X405" s="3" t="s">
        <v>730</v>
      </c>
      <c r="Y405" s="3" t="s">
        <v>737</v>
      </c>
    </row>
    <row r="406" spans="1:25" ht="15" customHeight="1" x14ac:dyDescent="0.3">
      <c r="A406" s="27">
        <v>45866</v>
      </c>
      <c r="B406" s="25">
        <v>31</v>
      </c>
      <c r="C406" s="3" t="s">
        <v>38</v>
      </c>
      <c r="D406" s="3" t="s">
        <v>164</v>
      </c>
      <c r="E406" s="3">
        <v>2</v>
      </c>
      <c r="F406" s="3">
        <v>401</v>
      </c>
      <c r="G406" s="6" t="s">
        <v>669</v>
      </c>
      <c r="H406" s="3" t="s">
        <v>670</v>
      </c>
      <c r="I406" s="6" t="s">
        <v>483</v>
      </c>
      <c r="J406" s="3">
        <v>1</v>
      </c>
      <c r="K406" s="3">
        <v>1</v>
      </c>
      <c r="L406" s="3">
        <v>11.7</v>
      </c>
      <c r="M406" s="3"/>
      <c r="N406" s="3"/>
      <c r="O406" s="3">
        <v>3.5</v>
      </c>
      <c r="P406" s="3"/>
      <c r="Q406" s="3"/>
      <c r="R406" s="3"/>
      <c r="S406" s="3"/>
      <c r="T406" s="3"/>
      <c r="U406" s="3"/>
      <c r="V406" s="3"/>
      <c r="W406" s="3"/>
      <c r="X406" s="3" t="s">
        <v>731</v>
      </c>
      <c r="Y406" s="3"/>
    </row>
    <row r="407" spans="1:25" ht="15" customHeight="1" x14ac:dyDescent="0.3">
      <c r="A407" s="27">
        <v>45866</v>
      </c>
      <c r="B407" s="25">
        <v>31</v>
      </c>
      <c r="C407" s="3" t="s">
        <v>38</v>
      </c>
      <c r="D407" s="3" t="s">
        <v>164</v>
      </c>
      <c r="E407" s="3">
        <v>2</v>
      </c>
      <c r="F407" s="3">
        <v>303</v>
      </c>
      <c r="G407" s="6" t="s">
        <v>32</v>
      </c>
      <c r="H407" s="3" t="s">
        <v>238</v>
      </c>
      <c r="I407" s="6" t="s">
        <v>483</v>
      </c>
      <c r="J407" s="3">
        <v>12</v>
      </c>
      <c r="K407" s="23">
        <v>6</v>
      </c>
      <c r="L407" s="3">
        <v>41.9</v>
      </c>
      <c r="M407" s="3">
        <v>18</v>
      </c>
      <c r="N407" s="3">
        <v>7</v>
      </c>
      <c r="O407" s="3"/>
      <c r="P407" s="3"/>
      <c r="Q407" s="3">
        <v>140</v>
      </c>
      <c r="R407" s="3" t="s">
        <v>63</v>
      </c>
      <c r="S407" s="3" t="s">
        <v>726</v>
      </c>
      <c r="T407" s="3">
        <v>3</v>
      </c>
      <c r="U407" s="3">
        <v>20</v>
      </c>
      <c r="V407" s="3">
        <v>40</v>
      </c>
      <c r="W407" s="3">
        <v>140</v>
      </c>
      <c r="X407" s="3" t="s">
        <v>732</v>
      </c>
      <c r="Y407" s="3" t="s">
        <v>738</v>
      </c>
    </row>
    <row r="408" spans="1:25" ht="15" customHeight="1" x14ac:dyDescent="0.3">
      <c r="A408" s="27">
        <v>45866</v>
      </c>
      <c r="B408" s="25">
        <v>31</v>
      </c>
      <c r="C408" s="3" t="s">
        <v>38</v>
      </c>
      <c r="D408" s="3" t="s">
        <v>164</v>
      </c>
      <c r="E408" s="3">
        <v>2</v>
      </c>
      <c r="F408" s="3">
        <v>503</v>
      </c>
      <c r="G408" s="6" t="s">
        <v>597</v>
      </c>
      <c r="H408" s="3" t="s">
        <v>598</v>
      </c>
      <c r="I408" s="6" t="s">
        <v>110</v>
      </c>
      <c r="J408" s="3">
        <v>2</v>
      </c>
      <c r="K408" s="3">
        <v>2</v>
      </c>
      <c r="L408" s="3">
        <v>14.5</v>
      </c>
      <c r="M408" s="3"/>
      <c r="N408" s="3"/>
      <c r="O408" s="3">
        <v>18</v>
      </c>
      <c r="P408" s="3"/>
      <c r="Q408" s="3"/>
      <c r="R408" s="3"/>
      <c r="S408" s="3"/>
      <c r="T408" s="3"/>
      <c r="U408" s="3"/>
      <c r="V408" s="3"/>
      <c r="W408" s="3"/>
      <c r="X408" s="3" t="s">
        <v>618</v>
      </c>
      <c r="Y408" s="3"/>
    </row>
    <row r="409" spans="1:25" ht="15" customHeight="1" x14ac:dyDescent="0.3">
      <c r="A409" s="27">
        <v>45866</v>
      </c>
      <c r="B409" s="25">
        <v>31</v>
      </c>
      <c r="C409" s="3" t="s">
        <v>38</v>
      </c>
      <c r="D409" s="3" t="s">
        <v>164</v>
      </c>
      <c r="E409" s="3">
        <v>2</v>
      </c>
      <c r="F409" s="3">
        <v>175</v>
      </c>
      <c r="G409" s="6" t="s">
        <v>227</v>
      </c>
      <c r="H409" s="3" t="s">
        <v>671</v>
      </c>
      <c r="I409" s="6" t="s">
        <v>483</v>
      </c>
      <c r="J409" s="3">
        <v>3</v>
      </c>
      <c r="K409" s="3">
        <v>3</v>
      </c>
      <c r="L409" s="3">
        <v>17.100000000000001</v>
      </c>
      <c r="M409" s="3">
        <v>3.8</v>
      </c>
      <c r="N409" s="3">
        <v>9</v>
      </c>
      <c r="O409" s="3">
        <v>5.5</v>
      </c>
      <c r="P409" s="3" t="s">
        <v>241</v>
      </c>
      <c r="Q409" s="3">
        <v>180</v>
      </c>
      <c r="R409" s="3"/>
      <c r="S409" s="3"/>
      <c r="T409" s="3"/>
      <c r="U409" s="3"/>
      <c r="V409" s="3"/>
      <c r="W409" s="3"/>
      <c r="X409" s="3" t="s">
        <v>79</v>
      </c>
      <c r="Y409" s="3" t="s">
        <v>84</v>
      </c>
    </row>
    <row r="410" spans="1:25" ht="15" customHeight="1" x14ac:dyDescent="0.3">
      <c r="A410" s="27">
        <v>45866</v>
      </c>
      <c r="B410" s="25">
        <v>31</v>
      </c>
      <c r="C410" s="3" t="s">
        <v>38</v>
      </c>
      <c r="D410" s="3" t="s">
        <v>164</v>
      </c>
      <c r="E410" s="3">
        <v>2</v>
      </c>
      <c r="F410" s="3">
        <v>181</v>
      </c>
      <c r="G410" s="6" t="s">
        <v>720</v>
      </c>
      <c r="H410" s="3" t="s">
        <v>721</v>
      </c>
      <c r="I410" s="6" t="s">
        <v>483</v>
      </c>
      <c r="J410" s="3">
        <v>4</v>
      </c>
      <c r="K410" s="3">
        <v>4</v>
      </c>
      <c r="L410" s="3">
        <v>14</v>
      </c>
      <c r="M410" s="3">
        <v>4</v>
      </c>
      <c r="N410" s="3">
        <v>6</v>
      </c>
      <c r="O410" s="3">
        <v>2.5</v>
      </c>
      <c r="P410" s="3"/>
      <c r="Q410" s="3">
        <v>180</v>
      </c>
      <c r="R410" s="3"/>
      <c r="S410" s="3"/>
      <c r="T410" s="3"/>
      <c r="U410" s="3"/>
      <c r="V410" s="3"/>
      <c r="W410" s="3"/>
      <c r="X410" s="3" t="s">
        <v>388</v>
      </c>
      <c r="Y410" s="3" t="s">
        <v>153</v>
      </c>
    </row>
    <row r="411" spans="1:25" ht="15" customHeight="1" x14ac:dyDescent="0.3">
      <c r="A411" s="27">
        <v>45866</v>
      </c>
      <c r="B411" s="25">
        <v>31</v>
      </c>
      <c r="C411" s="3" t="s">
        <v>38</v>
      </c>
      <c r="D411" s="3" t="s">
        <v>164</v>
      </c>
      <c r="E411" s="3">
        <v>2</v>
      </c>
      <c r="F411" s="3">
        <v>132</v>
      </c>
      <c r="G411" s="6" t="s">
        <v>722</v>
      </c>
      <c r="H411" s="3" t="s">
        <v>723</v>
      </c>
      <c r="I411" s="6" t="s">
        <v>483</v>
      </c>
      <c r="J411" s="3">
        <v>3</v>
      </c>
      <c r="K411" s="3">
        <v>3</v>
      </c>
      <c r="L411" s="3">
        <v>16.93</v>
      </c>
      <c r="M411" s="3">
        <v>3.3</v>
      </c>
      <c r="N411" s="3">
        <v>8.1999999999999993</v>
      </c>
      <c r="O411" s="3">
        <v>5.5</v>
      </c>
      <c r="P411" s="3"/>
      <c r="Q411" s="3">
        <v>170</v>
      </c>
      <c r="R411" s="3"/>
      <c r="S411" s="3"/>
      <c r="T411" s="3"/>
      <c r="U411" s="3"/>
      <c r="V411" s="3"/>
      <c r="W411" s="3"/>
      <c r="X411" s="3" t="s">
        <v>733</v>
      </c>
      <c r="Y411" s="3" t="s">
        <v>739</v>
      </c>
    </row>
    <row r="412" spans="1:25" ht="15" customHeight="1" x14ac:dyDescent="0.3">
      <c r="A412" s="5">
        <v>45867</v>
      </c>
      <c r="B412" s="25">
        <v>33</v>
      </c>
      <c r="C412" s="3" t="s">
        <v>38</v>
      </c>
      <c r="D412" s="3" t="s">
        <v>164</v>
      </c>
      <c r="E412" s="3">
        <v>2</v>
      </c>
      <c r="F412" s="3">
        <v>103</v>
      </c>
      <c r="G412" s="6" t="s">
        <v>163</v>
      </c>
      <c r="H412" s="3" t="s">
        <v>546</v>
      </c>
      <c r="I412" s="6" t="s">
        <v>5</v>
      </c>
      <c r="J412" s="3">
        <v>5</v>
      </c>
      <c r="K412" s="3">
        <v>5</v>
      </c>
      <c r="L412" s="3">
        <v>14.53</v>
      </c>
      <c r="M412" s="3">
        <v>3.5</v>
      </c>
      <c r="N412" s="3">
        <v>6.8</v>
      </c>
      <c r="O412" s="3">
        <v>6</v>
      </c>
      <c r="P412" s="3">
        <v>26</v>
      </c>
      <c r="Q412" s="3">
        <v>170</v>
      </c>
      <c r="R412" s="3"/>
      <c r="S412" s="3"/>
      <c r="T412" s="3"/>
      <c r="U412" s="3"/>
      <c r="V412" s="3"/>
      <c r="W412" s="3"/>
      <c r="X412" s="3" t="s">
        <v>79</v>
      </c>
      <c r="Y412" s="3" t="s">
        <v>254</v>
      </c>
    </row>
    <row r="413" spans="1:25" ht="15" customHeight="1" x14ac:dyDescent="0.3">
      <c r="A413" s="5">
        <v>45867</v>
      </c>
      <c r="B413" s="25">
        <v>33</v>
      </c>
      <c r="C413" s="3" t="s">
        <v>38</v>
      </c>
      <c r="D413" s="3" t="s">
        <v>164</v>
      </c>
      <c r="E413" s="3">
        <v>2</v>
      </c>
      <c r="F413" s="3">
        <v>161</v>
      </c>
      <c r="G413" s="6" t="s">
        <v>691</v>
      </c>
      <c r="H413" s="3" t="s">
        <v>692</v>
      </c>
      <c r="I413" s="6" t="s">
        <v>483</v>
      </c>
      <c r="J413" s="3">
        <v>2</v>
      </c>
      <c r="K413" s="3">
        <v>2</v>
      </c>
      <c r="L413" s="3">
        <v>21</v>
      </c>
      <c r="M413" s="3">
        <v>5</v>
      </c>
      <c r="N413" s="3">
        <v>7</v>
      </c>
      <c r="O413" s="3">
        <v>2.7</v>
      </c>
      <c r="P413" s="3">
        <v>25</v>
      </c>
      <c r="Q413" s="3">
        <v>175</v>
      </c>
      <c r="R413" s="3"/>
      <c r="S413" s="3"/>
      <c r="T413" s="3"/>
      <c r="U413" s="3"/>
      <c r="V413" s="3"/>
      <c r="W413" s="3"/>
      <c r="X413" s="3" t="s">
        <v>388</v>
      </c>
      <c r="Y413" s="3" t="s">
        <v>396</v>
      </c>
    </row>
    <row r="414" spans="1:25" ht="15" customHeight="1" x14ac:dyDescent="0.3">
      <c r="A414" s="5">
        <v>45867</v>
      </c>
      <c r="B414" s="25">
        <v>33</v>
      </c>
      <c r="C414" s="3" t="s">
        <v>38</v>
      </c>
      <c r="D414" s="3" t="s">
        <v>164</v>
      </c>
      <c r="E414" s="3">
        <v>2</v>
      </c>
      <c r="F414" s="3">
        <v>162</v>
      </c>
      <c r="G414" s="6" t="s">
        <v>762</v>
      </c>
      <c r="H414" s="3" t="s">
        <v>763</v>
      </c>
      <c r="I414" s="6" t="s">
        <v>483</v>
      </c>
      <c r="J414" s="3">
        <v>2</v>
      </c>
      <c r="K414" s="3">
        <v>2</v>
      </c>
      <c r="L414" s="3">
        <v>21.84</v>
      </c>
      <c r="M414" s="3">
        <v>3.5</v>
      </c>
      <c r="N414" s="3">
        <v>6.5</v>
      </c>
      <c r="O414" s="3">
        <v>2.9</v>
      </c>
      <c r="P414" s="3">
        <v>22</v>
      </c>
      <c r="Q414" s="3">
        <v>170</v>
      </c>
      <c r="R414" s="3"/>
      <c r="S414" s="3"/>
      <c r="T414" s="3"/>
      <c r="U414" s="3"/>
      <c r="V414" s="3"/>
      <c r="W414" s="3"/>
      <c r="X414" s="3" t="s">
        <v>527</v>
      </c>
      <c r="Y414" s="3" t="s">
        <v>505</v>
      </c>
    </row>
    <row r="415" spans="1:25" ht="15" customHeight="1" x14ac:dyDescent="0.3">
      <c r="A415" s="5">
        <v>45867</v>
      </c>
      <c r="B415" s="25">
        <v>33</v>
      </c>
      <c r="C415" s="3" t="s">
        <v>38</v>
      </c>
      <c r="D415" s="3" t="s">
        <v>164</v>
      </c>
      <c r="E415" s="3">
        <v>2</v>
      </c>
      <c r="F415" s="3">
        <v>163</v>
      </c>
      <c r="G415" s="6" t="s">
        <v>764</v>
      </c>
      <c r="H415" s="3" t="s">
        <v>765</v>
      </c>
      <c r="I415" s="6" t="s">
        <v>483</v>
      </c>
      <c r="J415" s="3">
        <v>2</v>
      </c>
      <c r="K415" s="3">
        <v>2</v>
      </c>
      <c r="L415" s="3">
        <v>22.49</v>
      </c>
      <c r="M415" s="3">
        <v>6</v>
      </c>
      <c r="N415" s="3">
        <v>8.5</v>
      </c>
      <c r="O415" s="3">
        <v>3.4</v>
      </c>
      <c r="P415" s="3">
        <v>21</v>
      </c>
      <c r="Q415" s="3">
        <v>170</v>
      </c>
      <c r="R415" s="3"/>
      <c r="S415" s="3"/>
      <c r="T415" s="3"/>
      <c r="U415" s="3"/>
      <c r="V415" s="3"/>
      <c r="W415" s="3"/>
      <c r="X415" s="3" t="s">
        <v>388</v>
      </c>
      <c r="Y415" s="3" t="s">
        <v>396</v>
      </c>
    </row>
    <row r="416" spans="1:25" ht="15" customHeight="1" x14ac:dyDescent="0.3">
      <c r="A416" s="5">
        <v>45867</v>
      </c>
      <c r="B416" s="25">
        <v>33</v>
      </c>
      <c r="C416" s="3" t="s">
        <v>38</v>
      </c>
      <c r="D416" s="3" t="s">
        <v>164</v>
      </c>
      <c r="E416" s="3">
        <v>2</v>
      </c>
      <c r="F416" s="3">
        <v>164</v>
      </c>
      <c r="G416" s="6" t="s">
        <v>11</v>
      </c>
      <c r="H416" s="3" t="s">
        <v>712</v>
      </c>
      <c r="I416" s="6" t="s">
        <v>483</v>
      </c>
      <c r="J416" s="3">
        <v>2</v>
      </c>
      <c r="K416" s="3">
        <v>2</v>
      </c>
      <c r="L416" s="3">
        <v>22.8</v>
      </c>
      <c r="M416" s="3">
        <v>7</v>
      </c>
      <c r="N416" s="3">
        <v>11</v>
      </c>
      <c r="O416" s="3">
        <v>3.8</v>
      </c>
      <c r="P416" s="3">
        <v>18</v>
      </c>
      <c r="Q416" s="3">
        <v>180</v>
      </c>
      <c r="R416" s="3"/>
      <c r="S416" s="3"/>
      <c r="T416" s="3"/>
      <c r="U416" s="3"/>
      <c r="V416" s="3"/>
      <c r="W416" s="3"/>
      <c r="X416" s="3" t="s">
        <v>388</v>
      </c>
      <c r="Y416" s="3" t="s">
        <v>396</v>
      </c>
    </row>
    <row r="417" spans="1:25" ht="15" customHeight="1" x14ac:dyDescent="0.3">
      <c r="A417" s="5">
        <v>45867</v>
      </c>
      <c r="B417" s="25">
        <v>33</v>
      </c>
      <c r="C417" s="3" t="s">
        <v>38</v>
      </c>
      <c r="D417" s="3" t="s">
        <v>164</v>
      </c>
      <c r="E417" s="3">
        <v>2</v>
      </c>
      <c r="F417" s="3">
        <v>182</v>
      </c>
      <c r="G417" s="6" t="s">
        <v>713</v>
      </c>
      <c r="H417" s="3" t="s">
        <v>714</v>
      </c>
      <c r="I417" s="6" t="s">
        <v>483</v>
      </c>
      <c r="J417" s="3">
        <v>4</v>
      </c>
      <c r="K417" s="3">
        <v>4</v>
      </c>
      <c r="L417" s="3">
        <v>15</v>
      </c>
      <c r="M417" s="3">
        <v>3.5</v>
      </c>
      <c r="N417" s="3">
        <v>6</v>
      </c>
      <c r="O417" s="3">
        <v>3</v>
      </c>
      <c r="P417" s="3"/>
      <c r="Q417" s="3">
        <v>170</v>
      </c>
      <c r="R417" s="3"/>
      <c r="S417" s="3"/>
      <c r="T417" s="3"/>
      <c r="U417" s="3"/>
      <c r="V417" s="3"/>
      <c r="W417" s="3"/>
      <c r="X417" s="3" t="s">
        <v>82</v>
      </c>
      <c r="Y417" s="3" t="s">
        <v>396</v>
      </c>
    </row>
    <row r="418" spans="1:25" ht="15" customHeight="1" x14ac:dyDescent="0.3">
      <c r="A418" s="5">
        <v>45867</v>
      </c>
      <c r="B418" s="25">
        <v>33</v>
      </c>
      <c r="C418" s="3" t="s">
        <v>38</v>
      </c>
      <c r="D418" s="3" t="s">
        <v>164</v>
      </c>
      <c r="E418" s="3">
        <v>2</v>
      </c>
      <c r="F418" s="3">
        <v>402</v>
      </c>
      <c r="G418" s="6" t="s">
        <v>12</v>
      </c>
      <c r="H418" s="3" t="s">
        <v>589</v>
      </c>
      <c r="I418" s="6" t="s">
        <v>483</v>
      </c>
      <c r="J418" s="3">
        <v>2</v>
      </c>
      <c r="K418" s="3">
        <v>2</v>
      </c>
      <c r="L418" s="3">
        <v>10.5</v>
      </c>
      <c r="M418" s="3"/>
      <c r="N418" s="3"/>
      <c r="O418" s="3">
        <v>3.5</v>
      </c>
      <c r="P418" s="3"/>
      <c r="Q418" s="3"/>
      <c r="R418" s="3"/>
      <c r="S418" s="3"/>
      <c r="T418" s="3"/>
      <c r="U418" s="3"/>
      <c r="V418" s="3"/>
      <c r="W418" s="3"/>
      <c r="X418" s="3" t="s">
        <v>747</v>
      </c>
      <c r="Y418" s="3"/>
    </row>
    <row r="419" spans="1:25" ht="15" customHeight="1" x14ac:dyDescent="0.3">
      <c r="A419" s="5">
        <v>45867</v>
      </c>
      <c r="B419" s="25">
        <v>33</v>
      </c>
      <c r="C419" s="3" t="s">
        <v>38</v>
      </c>
      <c r="D419" s="3" t="s">
        <v>164</v>
      </c>
      <c r="E419" s="3">
        <v>2</v>
      </c>
      <c r="F419" s="3">
        <v>404</v>
      </c>
      <c r="G419" s="6" t="s">
        <v>407</v>
      </c>
      <c r="H419" s="3" t="s">
        <v>632</v>
      </c>
      <c r="I419" s="6" t="s">
        <v>483</v>
      </c>
      <c r="J419" s="3">
        <v>2</v>
      </c>
      <c r="K419" s="3">
        <v>2</v>
      </c>
      <c r="L419" s="3">
        <v>6.9</v>
      </c>
      <c r="M419" s="3"/>
      <c r="N419" s="3"/>
      <c r="O419" s="3">
        <v>2.5</v>
      </c>
      <c r="P419" s="3"/>
      <c r="Q419" s="3"/>
      <c r="R419" s="3"/>
      <c r="S419" s="3"/>
      <c r="T419" s="3"/>
      <c r="U419" s="3"/>
      <c r="V419" s="3"/>
      <c r="W419" s="3"/>
      <c r="X419" s="3" t="s">
        <v>748</v>
      </c>
      <c r="Y419" s="3"/>
    </row>
    <row r="420" spans="1:25" ht="15" customHeight="1" x14ac:dyDescent="0.3">
      <c r="A420" s="5">
        <v>45867</v>
      </c>
      <c r="B420" s="25">
        <v>33</v>
      </c>
      <c r="C420" s="3" t="s">
        <v>38</v>
      </c>
      <c r="D420" s="3" t="s">
        <v>164</v>
      </c>
      <c r="E420" s="3">
        <v>2</v>
      </c>
      <c r="F420" s="3">
        <v>405</v>
      </c>
      <c r="G420" s="6" t="s">
        <v>14</v>
      </c>
      <c r="H420" s="3" t="s">
        <v>766</v>
      </c>
      <c r="I420" s="6" t="s">
        <v>483</v>
      </c>
      <c r="J420" s="3">
        <v>2</v>
      </c>
      <c r="K420" s="3">
        <v>2</v>
      </c>
      <c r="L420" s="3">
        <v>8.9</v>
      </c>
      <c r="M420" s="3"/>
      <c r="N420" s="3"/>
      <c r="O420" s="3">
        <v>3.5</v>
      </c>
      <c r="P420" s="3"/>
      <c r="Q420" s="3"/>
      <c r="R420" s="3"/>
      <c r="S420" s="3"/>
      <c r="T420" s="3"/>
      <c r="U420" s="3"/>
      <c r="V420" s="3"/>
      <c r="W420" s="3"/>
      <c r="X420" s="3" t="s">
        <v>749</v>
      </c>
      <c r="Y420" s="3"/>
    </row>
    <row r="421" spans="1:25" ht="15" customHeight="1" x14ac:dyDescent="0.3">
      <c r="A421" s="5">
        <v>45867</v>
      </c>
      <c r="B421" s="25">
        <v>33</v>
      </c>
      <c r="C421" s="3" t="s">
        <v>38</v>
      </c>
      <c r="D421" s="3" t="s">
        <v>164</v>
      </c>
      <c r="E421" s="3">
        <v>2</v>
      </c>
      <c r="F421" s="3">
        <v>171</v>
      </c>
      <c r="G421" s="6" t="s">
        <v>552</v>
      </c>
      <c r="H421" s="3" t="s">
        <v>553</v>
      </c>
      <c r="I421" s="6" t="s">
        <v>483</v>
      </c>
      <c r="J421" s="3">
        <v>6</v>
      </c>
      <c r="K421" s="23">
        <v>5</v>
      </c>
      <c r="L421" s="3">
        <v>17.43</v>
      </c>
      <c r="M421" s="3">
        <v>4.5</v>
      </c>
      <c r="N421" s="3">
        <v>9</v>
      </c>
      <c r="O421" s="3">
        <v>6</v>
      </c>
      <c r="P421" s="3"/>
      <c r="Q421" s="3">
        <v>170</v>
      </c>
      <c r="R421" s="3"/>
      <c r="S421" s="3"/>
      <c r="T421" s="3"/>
      <c r="U421" s="3"/>
      <c r="V421" s="3"/>
      <c r="W421" s="3"/>
      <c r="X421" s="3" t="s">
        <v>680</v>
      </c>
      <c r="Y421" s="3" t="s">
        <v>707</v>
      </c>
    </row>
    <row r="422" spans="1:25" ht="15" customHeight="1" x14ac:dyDescent="0.3">
      <c r="A422" s="5">
        <v>45867</v>
      </c>
      <c r="B422" s="25">
        <v>33</v>
      </c>
      <c r="C422" s="3" t="s">
        <v>38</v>
      </c>
      <c r="D422" s="3" t="s">
        <v>164</v>
      </c>
      <c r="E422" s="3">
        <v>2</v>
      </c>
      <c r="F422" s="3">
        <v>172</v>
      </c>
      <c r="G422" s="6" t="s">
        <v>15</v>
      </c>
      <c r="H422" s="3" t="s">
        <v>767</v>
      </c>
      <c r="I422" s="6" t="s">
        <v>483</v>
      </c>
      <c r="J422" s="3">
        <v>4</v>
      </c>
      <c r="K422" s="3">
        <v>4</v>
      </c>
      <c r="L422" s="3">
        <v>17.600000000000001</v>
      </c>
      <c r="M422" s="3">
        <v>2</v>
      </c>
      <c r="N422" s="3">
        <v>11</v>
      </c>
      <c r="O422" s="3">
        <v>8</v>
      </c>
      <c r="P422" s="3" t="s">
        <v>484</v>
      </c>
      <c r="Q422" s="3">
        <v>170</v>
      </c>
      <c r="R422" s="3"/>
      <c r="S422" s="3"/>
      <c r="T422" s="3"/>
      <c r="U422" s="3"/>
      <c r="V422" s="3"/>
      <c r="W422" s="3"/>
      <c r="X422" s="3" t="s">
        <v>496</v>
      </c>
      <c r="Y422" s="3" t="s">
        <v>87</v>
      </c>
    </row>
    <row r="423" spans="1:25" ht="15" customHeight="1" x14ac:dyDescent="0.3">
      <c r="A423" s="5">
        <v>45867</v>
      </c>
      <c r="B423" s="25">
        <v>33</v>
      </c>
      <c r="C423" s="3" t="s">
        <v>38</v>
      </c>
      <c r="D423" s="3" t="s">
        <v>164</v>
      </c>
      <c r="E423" s="3">
        <v>2</v>
      </c>
      <c r="F423" s="3">
        <v>174</v>
      </c>
      <c r="G423" s="6" t="s">
        <v>181</v>
      </c>
      <c r="H423" s="3" t="s">
        <v>715</v>
      </c>
      <c r="I423" s="6" t="s">
        <v>483</v>
      </c>
      <c r="J423" s="3">
        <v>5</v>
      </c>
      <c r="K423" s="3">
        <v>5</v>
      </c>
      <c r="L423" s="3">
        <v>13.78</v>
      </c>
      <c r="M423" s="3">
        <v>0.7</v>
      </c>
      <c r="N423" s="3">
        <v>8.5500000000000007</v>
      </c>
      <c r="O423" s="3">
        <v>5</v>
      </c>
      <c r="P423" s="3" t="s">
        <v>740</v>
      </c>
      <c r="Q423" s="3">
        <v>170</v>
      </c>
      <c r="R423" s="3"/>
      <c r="S423" s="3"/>
      <c r="T423" s="3"/>
      <c r="U423" s="3"/>
      <c r="V423" s="3"/>
      <c r="W423" s="3"/>
      <c r="X423" s="3" t="s">
        <v>750</v>
      </c>
      <c r="Y423" s="3" t="s">
        <v>84</v>
      </c>
    </row>
    <row r="424" spans="1:25" ht="15" customHeight="1" x14ac:dyDescent="0.3">
      <c r="A424" s="5">
        <v>45867</v>
      </c>
      <c r="B424" s="25">
        <v>33</v>
      </c>
      <c r="C424" s="3" t="s">
        <v>38</v>
      </c>
      <c r="D424" s="3" t="s">
        <v>164</v>
      </c>
      <c r="E424" s="3">
        <v>2</v>
      </c>
      <c r="F424" s="3">
        <v>176</v>
      </c>
      <c r="G424" s="6" t="s">
        <v>716</v>
      </c>
      <c r="H424" s="3" t="s">
        <v>717</v>
      </c>
      <c r="I424" s="6" t="s">
        <v>483</v>
      </c>
      <c r="J424" s="3">
        <v>5</v>
      </c>
      <c r="K424" s="3">
        <v>5</v>
      </c>
      <c r="L424" s="3">
        <v>16.940000000000001</v>
      </c>
      <c r="M424" s="3">
        <v>1</v>
      </c>
      <c r="N424" s="3">
        <v>11.5</v>
      </c>
      <c r="O424" s="3">
        <v>7.8</v>
      </c>
      <c r="P424" s="3" t="s">
        <v>570</v>
      </c>
      <c r="Q424" s="3">
        <v>165</v>
      </c>
      <c r="R424" s="3"/>
      <c r="S424" s="3"/>
      <c r="T424" s="3"/>
      <c r="U424" s="3"/>
      <c r="V424" s="3"/>
      <c r="W424" s="3"/>
      <c r="X424" s="3" t="s">
        <v>390</v>
      </c>
      <c r="Y424" s="3" t="s">
        <v>398</v>
      </c>
    </row>
    <row r="425" spans="1:25" ht="15" customHeight="1" x14ac:dyDescent="0.3">
      <c r="A425" s="5">
        <v>45867</v>
      </c>
      <c r="B425" s="25">
        <v>33</v>
      </c>
      <c r="C425" s="3" t="s">
        <v>38</v>
      </c>
      <c r="D425" s="3" t="s">
        <v>164</v>
      </c>
      <c r="E425" s="3">
        <v>2</v>
      </c>
      <c r="F425" s="3">
        <v>131</v>
      </c>
      <c r="G425" s="6" t="s">
        <v>768</v>
      </c>
      <c r="H425" s="3" t="s">
        <v>769</v>
      </c>
      <c r="I425" s="6" t="s">
        <v>483</v>
      </c>
      <c r="J425" s="3">
        <v>3</v>
      </c>
      <c r="K425" s="23">
        <v>2</v>
      </c>
      <c r="L425" s="3">
        <v>17.420000000000002</v>
      </c>
      <c r="M425" s="3">
        <v>4.1500000000000004</v>
      </c>
      <c r="N425" s="3">
        <v>8.5500000000000007</v>
      </c>
      <c r="O425" s="3">
        <v>5.5</v>
      </c>
      <c r="P425" s="3"/>
      <c r="Q425" s="3">
        <v>170</v>
      </c>
      <c r="R425" s="3"/>
      <c r="S425" s="3"/>
      <c r="T425" s="3"/>
      <c r="U425" s="3"/>
      <c r="V425" s="3"/>
      <c r="W425" s="3"/>
      <c r="X425" s="3" t="s">
        <v>289</v>
      </c>
      <c r="Y425" s="3" t="s">
        <v>755</v>
      </c>
    </row>
    <row r="426" spans="1:25" ht="15" customHeight="1" x14ac:dyDescent="0.3">
      <c r="A426" s="5">
        <v>45867</v>
      </c>
      <c r="B426" s="25">
        <v>33</v>
      </c>
      <c r="C426" s="3" t="s">
        <v>38</v>
      </c>
      <c r="D426" s="3" t="s">
        <v>164</v>
      </c>
      <c r="E426" s="3">
        <v>2</v>
      </c>
      <c r="F426" s="3">
        <v>134</v>
      </c>
      <c r="G426" s="6" t="s">
        <v>770</v>
      </c>
      <c r="H426" s="3" t="s">
        <v>771</v>
      </c>
      <c r="I426" s="6" t="s">
        <v>483</v>
      </c>
      <c r="J426" s="3">
        <v>3</v>
      </c>
      <c r="K426" s="23">
        <v>2</v>
      </c>
      <c r="L426" s="3">
        <v>14.67</v>
      </c>
      <c r="M426" s="3">
        <v>2.7</v>
      </c>
      <c r="N426" s="3">
        <v>5.5</v>
      </c>
      <c r="O426" s="3">
        <v>5</v>
      </c>
      <c r="P426" s="3"/>
      <c r="Q426" s="3">
        <v>170</v>
      </c>
      <c r="R426" s="3"/>
      <c r="S426" s="3"/>
      <c r="T426" s="3"/>
      <c r="U426" s="3"/>
      <c r="V426" s="3"/>
      <c r="W426" s="3"/>
      <c r="X426" s="3" t="s">
        <v>751</v>
      </c>
      <c r="Y426" s="3" t="s">
        <v>756</v>
      </c>
    </row>
    <row r="427" spans="1:25" ht="15" customHeight="1" x14ac:dyDescent="0.3">
      <c r="A427" s="5">
        <v>45867</v>
      </c>
      <c r="B427" s="25">
        <v>33</v>
      </c>
      <c r="C427" s="3" t="s">
        <v>38</v>
      </c>
      <c r="D427" s="3" t="s">
        <v>164</v>
      </c>
      <c r="E427" s="3">
        <v>2</v>
      </c>
      <c r="F427" s="3">
        <v>206</v>
      </c>
      <c r="G427" s="6" t="s">
        <v>772</v>
      </c>
      <c r="H427" s="3" t="s">
        <v>773</v>
      </c>
      <c r="I427" s="6" t="s">
        <v>111</v>
      </c>
      <c r="J427" s="3">
        <v>12</v>
      </c>
      <c r="K427" s="23">
        <v>11</v>
      </c>
      <c r="L427" s="3">
        <v>27.2</v>
      </c>
      <c r="M427" s="3">
        <v>18</v>
      </c>
      <c r="N427" s="3">
        <v>1.2</v>
      </c>
      <c r="O427" s="3"/>
      <c r="P427" s="3"/>
      <c r="Q427" s="3"/>
      <c r="R427" s="3" t="s">
        <v>674</v>
      </c>
      <c r="S427" s="3" t="s">
        <v>248</v>
      </c>
      <c r="T427" s="3">
        <v>0.5</v>
      </c>
      <c r="U427" s="3">
        <v>30</v>
      </c>
      <c r="V427" s="3">
        <v>45</v>
      </c>
      <c r="W427" s="3">
        <v>120</v>
      </c>
      <c r="X427" s="3" t="s">
        <v>648</v>
      </c>
      <c r="Y427" s="3" t="s">
        <v>757</v>
      </c>
    </row>
    <row r="428" spans="1:25" ht="15" customHeight="1" x14ac:dyDescent="0.3">
      <c r="A428" s="5">
        <v>45867</v>
      </c>
      <c r="B428" s="25">
        <v>33</v>
      </c>
      <c r="C428" s="3" t="s">
        <v>38</v>
      </c>
      <c r="D428" s="3" t="s">
        <v>164</v>
      </c>
      <c r="E428" s="3">
        <v>2</v>
      </c>
      <c r="F428" s="3">
        <v>207</v>
      </c>
      <c r="G428" s="6" t="s">
        <v>476</v>
      </c>
      <c r="H428" s="3" t="s">
        <v>477</v>
      </c>
      <c r="I428" s="6" t="s">
        <v>111</v>
      </c>
      <c r="J428" s="3">
        <v>12</v>
      </c>
      <c r="K428" s="23">
        <v>8</v>
      </c>
      <c r="L428" s="3">
        <v>34.869999999999997</v>
      </c>
      <c r="M428" s="3">
        <v>15</v>
      </c>
      <c r="N428" s="3">
        <v>3</v>
      </c>
      <c r="O428" s="3"/>
      <c r="P428" s="3"/>
      <c r="Q428" s="3"/>
      <c r="R428" s="3" t="s">
        <v>637</v>
      </c>
      <c r="S428" s="3" t="s">
        <v>75</v>
      </c>
      <c r="T428" s="3">
        <v>2.5</v>
      </c>
      <c r="U428" s="3">
        <v>20</v>
      </c>
      <c r="V428" s="3">
        <v>30</v>
      </c>
      <c r="W428" s="3">
        <v>140</v>
      </c>
      <c r="X428" s="3" t="s">
        <v>613</v>
      </c>
      <c r="Y428" s="3" t="s">
        <v>758</v>
      </c>
    </row>
    <row r="429" spans="1:25" ht="15" customHeight="1" x14ac:dyDescent="0.3">
      <c r="A429" s="5">
        <v>45867</v>
      </c>
      <c r="B429" s="25">
        <v>33</v>
      </c>
      <c r="C429" s="3" t="s">
        <v>38</v>
      </c>
      <c r="D429" s="3" t="s">
        <v>164</v>
      </c>
      <c r="E429" s="3">
        <v>2</v>
      </c>
      <c r="F429" s="3">
        <v>208</v>
      </c>
      <c r="G429" s="6" t="s">
        <v>593</v>
      </c>
      <c r="H429" s="3" t="s">
        <v>594</v>
      </c>
      <c r="I429" s="6" t="s">
        <v>110</v>
      </c>
      <c r="J429" s="3">
        <v>4</v>
      </c>
      <c r="K429" s="23">
        <v>2</v>
      </c>
      <c r="L429" s="3">
        <v>24.5</v>
      </c>
      <c r="M429" s="3">
        <v>10</v>
      </c>
      <c r="N429" s="3">
        <v>3.55</v>
      </c>
      <c r="O429" s="3"/>
      <c r="P429" s="3"/>
      <c r="Q429" s="3"/>
      <c r="R429" s="3" t="s">
        <v>742</v>
      </c>
      <c r="S429" s="3" t="s">
        <v>316</v>
      </c>
      <c r="T429" s="3">
        <v>2.5</v>
      </c>
      <c r="U429" s="3">
        <v>20</v>
      </c>
      <c r="V429" s="3">
        <v>30</v>
      </c>
      <c r="W429" s="3">
        <v>110</v>
      </c>
      <c r="X429" s="3" t="s">
        <v>729</v>
      </c>
      <c r="Y429" s="3" t="s">
        <v>736</v>
      </c>
    </row>
    <row r="430" spans="1:25" ht="15" customHeight="1" x14ac:dyDescent="0.3">
      <c r="A430" s="5">
        <v>45867</v>
      </c>
      <c r="B430" s="25">
        <v>33</v>
      </c>
      <c r="C430" s="3" t="s">
        <v>38</v>
      </c>
      <c r="D430" s="3" t="s">
        <v>164</v>
      </c>
      <c r="E430" s="3">
        <v>2</v>
      </c>
      <c r="F430" s="3">
        <v>209</v>
      </c>
      <c r="G430" s="6" t="s">
        <v>377</v>
      </c>
      <c r="H430" s="3" t="s">
        <v>378</v>
      </c>
      <c r="I430" s="6" t="s">
        <v>111</v>
      </c>
      <c r="J430" s="3">
        <v>8</v>
      </c>
      <c r="K430" s="23">
        <v>7</v>
      </c>
      <c r="L430" s="3">
        <v>29</v>
      </c>
      <c r="M430" s="3">
        <v>13</v>
      </c>
      <c r="N430" s="3">
        <v>1.5</v>
      </c>
      <c r="O430" s="3"/>
      <c r="P430" s="3"/>
      <c r="Q430" s="3"/>
      <c r="R430" s="3" t="s">
        <v>743</v>
      </c>
      <c r="S430" s="3" t="s">
        <v>447</v>
      </c>
      <c r="T430" s="3">
        <v>1</v>
      </c>
      <c r="U430" s="3">
        <v>30</v>
      </c>
      <c r="V430" s="3">
        <v>35</v>
      </c>
      <c r="W430" s="3">
        <v>95</v>
      </c>
      <c r="X430" s="3" t="s">
        <v>705</v>
      </c>
      <c r="Y430" s="3"/>
    </row>
    <row r="431" spans="1:25" ht="15" customHeight="1" x14ac:dyDescent="0.3">
      <c r="A431" s="5">
        <v>45867</v>
      </c>
      <c r="B431" s="25">
        <v>33</v>
      </c>
      <c r="C431" s="3" t="s">
        <v>38</v>
      </c>
      <c r="D431" s="3" t="s">
        <v>164</v>
      </c>
      <c r="E431" s="3">
        <v>2</v>
      </c>
      <c r="F431" s="3">
        <v>210</v>
      </c>
      <c r="G431" s="6" t="s">
        <v>278</v>
      </c>
      <c r="H431" s="3" t="s">
        <v>774</v>
      </c>
      <c r="I431" s="6" t="s">
        <v>111</v>
      </c>
      <c r="J431" s="3">
        <v>4</v>
      </c>
      <c r="K431" s="3">
        <v>4</v>
      </c>
      <c r="L431" s="3">
        <v>22.2</v>
      </c>
      <c r="M431" s="3">
        <v>8</v>
      </c>
      <c r="N431" s="3">
        <v>4</v>
      </c>
      <c r="O431" s="3"/>
      <c r="P431" s="3"/>
      <c r="Q431" s="3"/>
      <c r="R431" s="3" t="s">
        <v>744</v>
      </c>
      <c r="S431" s="3" t="s">
        <v>421</v>
      </c>
      <c r="T431" s="3">
        <v>1</v>
      </c>
      <c r="U431" s="3">
        <v>20</v>
      </c>
      <c r="V431" s="3">
        <v>30</v>
      </c>
      <c r="W431" s="3">
        <v>100</v>
      </c>
      <c r="X431" s="3" t="s">
        <v>730</v>
      </c>
      <c r="Y431" s="3" t="s">
        <v>759</v>
      </c>
    </row>
    <row r="432" spans="1:25" ht="15" customHeight="1" x14ac:dyDescent="0.3">
      <c r="A432" s="5">
        <v>45867</v>
      </c>
      <c r="B432" s="25">
        <v>33</v>
      </c>
      <c r="C432" s="3" t="s">
        <v>38</v>
      </c>
      <c r="D432" s="3" t="s">
        <v>164</v>
      </c>
      <c r="E432" s="3">
        <v>2</v>
      </c>
      <c r="F432" s="3">
        <v>401</v>
      </c>
      <c r="G432" s="6" t="s">
        <v>775</v>
      </c>
      <c r="H432" s="3" t="s">
        <v>776</v>
      </c>
      <c r="I432" s="6" t="s">
        <v>483</v>
      </c>
      <c r="J432" s="3">
        <v>1</v>
      </c>
      <c r="K432" s="3">
        <v>1</v>
      </c>
      <c r="L432" s="3">
        <v>8.75</v>
      </c>
      <c r="M432" s="3"/>
      <c r="N432" s="3"/>
      <c r="O432" s="3">
        <v>3</v>
      </c>
      <c r="P432" s="3"/>
      <c r="Q432" s="3"/>
      <c r="R432" s="3"/>
      <c r="S432" s="3"/>
      <c r="T432" s="3"/>
      <c r="U432" s="3"/>
      <c r="V432" s="3"/>
      <c r="W432" s="3"/>
      <c r="X432" s="3" t="s">
        <v>752</v>
      </c>
      <c r="Y432" s="3"/>
    </row>
    <row r="433" spans="1:25" ht="15" customHeight="1" x14ac:dyDescent="0.3">
      <c r="A433" s="5">
        <v>45867</v>
      </c>
      <c r="B433" s="25">
        <v>33</v>
      </c>
      <c r="C433" s="3" t="s">
        <v>38</v>
      </c>
      <c r="D433" s="3" t="s">
        <v>164</v>
      </c>
      <c r="E433" s="3">
        <v>2</v>
      </c>
      <c r="F433" s="3">
        <v>303</v>
      </c>
      <c r="G433" s="6" t="s">
        <v>32</v>
      </c>
      <c r="H433" s="3" t="s">
        <v>238</v>
      </c>
      <c r="I433" s="6" t="s">
        <v>483</v>
      </c>
      <c r="J433" s="3">
        <v>12</v>
      </c>
      <c r="K433" s="23">
        <v>6</v>
      </c>
      <c r="L433" s="3">
        <v>41.5</v>
      </c>
      <c r="M433" s="3">
        <v>18</v>
      </c>
      <c r="N433" s="3">
        <v>7</v>
      </c>
      <c r="O433" s="3"/>
      <c r="P433" s="3"/>
      <c r="Q433" s="3">
        <v>140</v>
      </c>
      <c r="R433" s="3" t="s">
        <v>67</v>
      </c>
      <c r="S433" s="3" t="s">
        <v>746</v>
      </c>
      <c r="T433" s="3">
        <v>3</v>
      </c>
      <c r="U433" s="3">
        <v>20</v>
      </c>
      <c r="V433" s="3">
        <v>40</v>
      </c>
      <c r="W433" s="3">
        <v>140</v>
      </c>
      <c r="X433" s="3" t="s">
        <v>753</v>
      </c>
      <c r="Y433" s="3" t="s">
        <v>738</v>
      </c>
    </row>
    <row r="434" spans="1:25" ht="15" customHeight="1" x14ac:dyDescent="0.3">
      <c r="A434" s="5">
        <v>45867</v>
      </c>
      <c r="B434" s="25">
        <v>33</v>
      </c>
      <c r="C434" s="3" t="s">
        <v>38</v>
      </c>
      <c r="D434" s="3" t="s">
        <v>164</v>
      </c>
      <c r="E434" s="3">
        <v>2</v>
      </c>
      <c r="F434" s="3">
        <v>302</v>
      </c>
      <c r="G434" s="6" t="s">
        <v>31</v>
      </c>
      <c r="H434" s="3" t="s">
        <v>195</v>
      </c>
      <c r="I434" s="6" t="s">
        <v>483</v>
      </c>
      <c r="J434" s="3">
        <v>12</v>
      </c>
      <c r="K434" s="23">
        <v>9</v>
      </c>
      <c r="L434" s="3">
        <v>62.8</v>
      </c>
      <c r="M434" s="3">
        <v>17</v>
      </c>
      <c r="N434" s="3">
        <v>12</v>
      </c>
      <c r="O434" s="3"/>
      <c r="P434" s="3"/>
      <c r="Q434" s="3"/>
      <c r="R434" s="3" t="s">
        <v>745</v>
      </c>
      <c r="S434" s="3" t="s">
        <v>642</v>
      </c>
      <c r="T434" s="3">
        <v>6.5</v>
      </c>
      <c r="U434" s="3">
        <v>30</v>
      </c>
      <c r="V434" s="3">
        <v>65</v>
      </c>
      <c r="W434" s="3">
        <v>150</v>
      </c>
      <c r="X434" s="3" t="s">
        <v>754</v>
      </c>
      <c r="Y434" s="3" t="s">
        <v>760</v>
      </c>
    </row>
    <row r="435" spans="1:25" ht="15" customHeight="1" x14ac:dyDescent="0.3">
      <c r="A435" s="5">
        <v>45867</v>
      </c>
      <c r="B435" s="25">
        <v>33</v>
      </c>
      <c r="C435" s="3" t="s">
        <v>38</v>
      </c>
      <c r="D435" s="3" t="s">
        <v>164</v>
      </c>
      <c r="E435" s="3">
        <v>2</v>
      </c>
      <c r="F435" s="3">
        <v>503</v>
      </c>
      <c r="G435" s="6" t="s">
        <v>777</v>
      </c>
      <c r="H435" s="3" t="s">
        <v>778</v>
      </c>
      <c r="I435" s="6" t="s">
        <v>110</v>
      </c>
      <c r="J435" s="3">
        <v>2</v>
      </c>
      <c r="K435" s="3">
        <v>2</v>
      </c>
      <c r="L435" s="3">
        <v>14.5</v>
      </c>
      <c r="M435" s="3"/>
      <c r="N435" s="3"/>
      <c r="O435" s="3">
        <v>18</v>
      </c>
      <c r="P435" s="3"/>
      <c r="Q435" s="3"/>
      <c r="R435" s="3"/>
      <c r="S435" s="3"/>
      <c r="T435" s="3"/>
      <c r="U435" s="3"/>
      <c r="V435" s="3"/>
      <c r="W435" s="3"/>
      <c r="X435" s="3" t="s">
        <v>618</v>
      </c>
      <c r="Y435" s="3"/>
    </row>
    <row r="436" spans="1:25" ht="15" customHeight="1" x14ac:dyDescent="0.3">
      <c r="A436" s="5">
        <v>45867</v>
      </c>
      <c r="B436" s="25">
        <v>33</v>
      </c>
      <c r="C436" s="3" t="s">
        <v>38</v>
      </c>
      <c r="D436" s="3" t="s">
        <v>164</v>
      </c>
      <c r="E436" s="3">
        <v>2</v>
      </c>
      <c r="F436" s="3">
        <v>175</v>
      </c>
      <c r="G436" s="6" t="s">
        <v>227</v>
      </c>
      <c r="H436" s="3" t="s">
        <v>671</v>
      </c>
      <c r="I436" s="6" t="s">
        <v>483</v>
      </c>
      <c r="J436" s="3">
        <v>3</v>
      </c>
      <c r="K436" s="3">
        <v>3</v>
      </c>
      <c r="L436" s="3">
        <v>17</v>
      </c>
      <c r="M436" s="3">
        <v>3.8</v>
      </c>
      <c r="N436" s="3">
        <v>9</v>
      </c>
      <c r="O436" s="3">
        <v>5.5</v>
      </c>
      <c r="P436" s="3" t="s">
        <v>741</v>
      </c>
      <c r="Q436" s="3">
        <v>180</v>
      </c>
      <c r="R436" s="3"/>
      <c r="S436" s="3"/>
      <c r="T436" s="3"/>
      <c r="U436" s="3"/>
      <c r="V436" s="3"/>
      <c r="W436" s="3"/>
      <c r="X436" s="3" t="s">
        <v>79</v>
      </c>
      <c r="Y436" s="3" t="s">
        <v>84</v>
      </c>
    </row>
    <row r="437" spans="1:25" ht="15" customHeight="1" x14ac:dyDescent="0.3">
      <c r="A437" s="5">
        <v>45867</v>
      </c>
      <c r="B437" s="25">
        <v>33</v>
      </c>
      <c r="C437" s="3" t="s">
        <v>38</v>
      </c>
      <c r="D437" s="3" t="s">
        <v>164</v>
      </c>
      <c r="E437" s="3">
        <v>2</v>
      </c>
      <c r="F437" s="3">
        <v>138</v>
      </c>
      <c r="G437" s="6" t="s">
        <v>779</v>
      </c>
      <c r="H437" s="3" t="s">
        <v>780</v>
      </c>
      <c r="I437" s="6" t="s">
        <v>483</v>
      </c>
      <c r="J437" s="3">
        <v>4</v>
      </c>
      <c r="K437" s="3">
        <v>4</v>
      </c>
      <c r="L437" s="3">
        <v>17.75</v>
      </c>
      <c r="M437" s="3">
        <v>4.2</v>
      </c>
      <c r="N437" s="3">
        <v>9.4</v>
      </c>
      <c r="O437" s="3">
        <v>6</v>
      </c>
      <c r="P437" s="3"/>
      <c r="Q437" s="3">
        <v>170</v>
      </c>
      <c r="R437" s="3"/>
      <c r="S437" s="3"/>
      <c r="T437" s="3"/>
      <c r="U437" s="3"/>
      <c r="V437" s="3"/>
      <c r="W437" s="3"/>
      <c r="X437" s="3" t="s">
        <v>84</v>
      </c>
      <c r="Y437" s="3" t="s">
        <v>396</v>
      </c>
    </row>
    <row r="438" spans="1:25" ht="15" customHeight="1" x14ac:dyDescent="0.3">
      <c r="A438" s="5">
        <v>45867</v>
      </c>
      <c r="B438" s="25">
        <v>33</v>
      </c>
      <c r="C438" s="3" t="s">
        <v>38</v>
      </c>
      <c r="D438" s="3" t="s">
        <v>164</v>
      </c>
      <c r="E438" s="3">
        <v>2</v>
      </c>
      <c r="F438" s="3">
        <v>132</v>
      </c>
      <c r="G438" s="6" t="s">
        <v>781</v>
      </c>
      <c r="H438" s="3" t="s">
        <v>782</v>
      </c>
      <c r="I438" s="6" t="s">
        <v>483</v>
      </c>
      <c r="J438" s="3">
        <v>3</v>
      </c>
      <c r="K438" s="3">
        <v>3</v>
      </c>
      <c r="L438" s="3">
        <v>21.04</v>
      </c>
      <c r="M438" s="3">
        <v>4</v>
      </c>
      <c r="N438" s="3">
        <v>11.5</v>
      </c>
      <c r="O438" s="3">
        <v>6</v>
      </c>
      <c r="P438" s="3"/>
      <c r="Q438" s="3">
        <v>170</v>
      </c>
      <c r="R438" s="3"/>
      <c r="S438" s="3"/>
      <c r="T438" s="3"/>
      <c r="U438" s="3"/>
      <c r="V438" s="3"/>
      <c r="W438" s="3"/>
      <c r="X438" s="3" t="s">
        <v>733</v>
      </c>
      <c r="Y438" s="3" t="s">
        <v>761</v>
      </c>
    </row>
    <row r="439" spans="1:25" ht="15" customHeight="1" x14ac:dyDescent="0.3">
      <c r="A439" s="27">
        <v>45868</v>
      </c>
      <c r="B439" s="25">
        <v>34</v>
      </c>
      <c r="C439" s="3" t="s">
        <v>38</v>
      </c>
      <c r="D439" s="3" t="s">
        <v>164</v>
      </c>
      <c r="E439" s="3">
        <v>2</v>
      </c>
      <c r="F439" s="3">
        <v>101</v>
      </c>
      <c r="G439" s="6" t="s">
        <v>783</v>
      </c>
      <c r="H439" s="3" t="s">
        <v>784</v>
      </c>
      <c r="I439" s="6" t="s">
        <v>5</v>
      </c>
      <c r="J439" s="3">
        <v>4</v>
      </c>
      <c r="K439" s="3">
        <v>4</v>
      </c>
      <c r="L439" s="3">
        <v>12.29</v>
      </c>
      <c r="M439" s="3">
        <v>2.5</v>
      </c>
      <c r="N439" s="3">
        <v>5.8</v>
      </c>
      <c r="O439" s="3">
        <v>4.3499999999999996</v>
      </c>
      <c r="P439" s="3">
        <v>65</v>
      </c>
      <c r="Q439" s="3">
        <v>170</v>
      </c>
      <c r="R439" s="3"/>
      <c r="S439" s="3"/>
      <c r="T439" s="3"/>
      <c r="U439" s="3"/>
      <c r="V439" s="3"/>
      <c r="W439" s="3"/>
      <c r="X439" s="3" t="s">
        <v>388</v>
      </c>
      <c r="Y439" s="3" t="s">
        <v>810</v>
      </c>
    </row>
    <row r="440" spans="1:25" ht="15" customHeight="1" x14ac:dyDescent="0.3">
      <c r="A440" s="27">
        <v>45868</v>
      </c>
      <c r="B440" s="25">
        <v>34</v>
      </c>
      <c r="C440" s="3" t="s">
        <v>38</v>
      </c>
      <c r="D440" s="3" t="s">
        <v>164</v>
      </c>
      <c r="E440" s="3">
        <v>2</v>
      </c>
      <c r="F440" s="3">
        <v>103</v>
      </c>
      <c r="G440" s="6" t="s">
        <v>163</v>
      </c>
      <c r="H440" s="3" t="s">
        <v>546</v>
      </c>
      <c r="I440" s="6" t="s">
        <v>483</v>
      </c>
      <c r="J440" s="3">
        <v>5</v>
      </c>
      <c r="K440" s="3">
        <v>5</v>
      </c>
      <c r="L440" s="3">
        <v>14.66</v>
      </c>
      <c r="M440" s="3">
        <v>3.65</v>
      </c>
      <c r="N440" s="3">
        <v>6.8</v>
      </c>
      <c r="O440" s="3">
        <v>6</v>
      </c>
      <c r="P440" s="3">
        <v>30</v>
      </c>
      <c r="Q440" s="3">
        <v>170</v>
      </c>
      <c r="R440" s="3"/>
      <c r="S440" s="3"/>
      <c r="T440" s="3"/>
      <c r="U440" s="3"/>
      <c r="V440" s="3"/>
      <c r="W440" s="3"/>
      <c r="X440" s="3" t="s">
        <v>79</v>
      </c>
      <c r="Y440" s="3" t="s">
        <v>254</v>
      </c>
    </row>
    <row r="441" spans="1:25" ht="15" customHeight="1" x14ac:dyDescent="0.3">
      <c r="A441" s="27">
        <v>45868</v>
      </c>
      <c r="B441" s="25">
        <v>34</v>
      </c>
      <c r="C441" s="3" t="s">
        <v>38</v>
      </c>
      <c r="D441" s="3" t="s">
        <v>164</v>
      </c>
      <c r="E441" s="3">
        <v>2</v>
      </c>
      <c r="F441" s="3">
        <v>161</v>
      </c>
      <c r="G441" s="6" t="s">
        <v>691</v>
      </c>
      <c r="H441" s="3" t="s">
        <v>692</v>
      </c>
      <c r="I441" s="6" t="s">
        <v>483</v>
      </c>
      <c r="J441" s="3">
        <v>2</v>
      </c>
      <c r="K441" s="3">
        <v>2</v>
      </c>
      <c r="L441" s="3">
        <v>21</v>
      </c>
      <c r="M441" s="3">
        <v>5</v>
      </c>
      <c r="N441" s="3">
        <v>7</v>
      </c>
      <c r="O441" s="3">
        <v>2.7</v>
      </c>
      <c r="P441" s="3">
        <v>25</v>
      </c>
      <c r="Q441" s="3">
        <v>175</v>
      </c>
      <c r="R441" s="3"/>
      <c r="S441" s="3"/>
      <c r="T441" s="3"/>
      <c r="U441" s="3"/>
      <c r="V441" s="3"/>
      <c r="W441" s="3"/>
      <c r="X441" s="3" t="s">
        <v>388</v>
      </c>
      <c r="Y441" s="3" t="s">
        <v>396</v>
      </c>
    </row>
    <row r="442" spans="1:25" ht="15" customHeight="1" x14ac:dyDescent="0.3">
      <c r="A442" s="27">
        <v>45868</v>
      </c>
      <c r="B442" s="25">
        <v>34</v>
      </c>
      <c r="C442" s="3" t="s">
        <v>38</v>
      </c>
      <c r="D442" s="3" t="s">
        <v>164</v>
      </c>
      <c r="E442" s="3">
        <v>2</v>
      </c>
      <c r="F442" s="3">
        <v>162</v>
      </c>
      <c r="G442" s="6" t="s">
        <v>762</v>
      </c>
      <c r="H442" s="3" t="s">
        <v>763</v>
      </c>
      <c r="I442" s="6" t="s">
        <v>483</v>
      </c>
      <c r="J442" s="3">
        <v>2</v>
      </c>
      <c r="K442" s="3">
        <v>2</v>
      </c>
      <c r="L442" s="3">
        <v>21</v>
      </c>
      <c r="M442" s="3">
        <v>3.5</v>
      </c>
      <c r="N442" s="3">
        <v>6.5</v>
      </c>
      <c r="O442" s="3">
        <v>2.9</v>
      </c>
      <c r="P442" s="3">
        <v>24</v>
      </c>
      <c r="Q442" s="3">
        <v>170</v>
      </c>
      <c r="R442" s="3"/>
      <c r="S442" s="3"/>
      <c r="T442" s="3"/>
      <c r="U442" s="3"/>
      <c r="V442" s="3"/>
      <c r="W442" s="3"/>
      <c r="X442" s="3" t="s">
        <v>527</v>
      </c>
      <c r="Y442" s="3" t="s">
        <v>505</v>
      </c>
    </row>
    <row r="443" spans="1:25" ht="15" customHeight="1" x14ac:dyDescent="0.3">
      <c r="A443" s="27">
        <v>45868</v>
      </c>
      <c r="B443" s="25">
        <v>34</v>
      </c>
      <c r="C443" s="3" t="s">
        <v>38</v>
      </c>
      <c r="D443" s="3" t="s">
        <v>164</v>
      </c>
      <c r="E443" s="3">
        <v>2</v>
      </c>
      <c r="F443" s="3">
        <v>164</v>
      </c>
      <c r="G443" s="6" t="s">
        <v>11</v>
      </c>
      <c r="H443" s="3" t="s">
        <v>712</v>
      </c>
      <c r="I443" s="6" t="s">
        <v>483</v>
      </c>
      <c r="J443" s="3">
        <v>2</v>
      </c>
      <c r="K443" s="3">
        <v>2</v>
      </c>
      <c r="L443" s="3">
        <v>22.79</v>
      </c>
      <c r="M443" s="3">
        <v>7</v>
      </c>
      <c r="N443" s="3">
        <v>11</v>
      </c>
      <c r="O443" s="3">
        <v>3.8</v>
      </c>
      <c r="P443" s="3">
        <v>18</v>
      </c>
      <c r="Q443" s="3">
        <v>180</v>
      </c>
      <c r="R443" s="3"/>
      <c r="S443" s="3"/>
      <c r="T443" s="3"/>
      <c r="U443" s="3"/>
      <c r="V443" s="3"/>
      <c r="W443" s="3"/>
      <c r="X443" s="3" t="s">
        <v>388</v>
      </c>
      <c r="Y443" s="3" t="s">
        <v>396</v>
      </c>
    </row>
    <row r="444" spans="1:25" ht="15" customHeight="1" x14ac:dyDescent="0.3">
      <c r="A444" s="27">
        <v>45868</v>
      </c>
      <c r="B444" s="25">
        <v>34</v>
      </c>
      <c r="C444" s="3" t="s">
        <v>38</v>
      </c>
      <c r="D444" s="3" t="s">
        <v>164</v>
      </c>
      <c r="E444" s="3">
        <v>2</v>
      </c>
      <c r="F444" s="3">
        <v>182</v>
      </c>
      <c r="G444" s="6" t="s">
        <v>785</v>
      </c>
      <c r="H444" s="3" t="s">
        <v>786</v>
      </c>
      <c r="I444" s="6" t="s">
        <v>483</v>
      </c>
      <c r="J444" s="3">
        <v>4</v>
      </c>
      <c r="K444" s="3">
        <v>4</v>
      </c>
      <c r="L444" s="3">
        <v>15</v>
      </c>
      <c r="M444" s="3">
        <v>3.5</v>
      </c>
      <c r="N444" s="3">
        <v>6</v>
      </c>
      <c r="O444" s="3">
        <v>3</v>
      </c>
      <c r="P444" s="3"/>
      <c r="Q444" s="3">
        <v>170</v>
      </c>
      <c r="R444" s="3"/>
      <c r="S444" s="3"/>
      <c r="T444" s="3"/>
      <c r="U444" s="3"/>
      <c r="V444" s="3"/>
      <c r="W444" s="3"/>
      <c r="X444" s="3" t="s">
        <v>82</v>
      </c>
      <c r="Y444" s="3" t="s">
        <v>396</v>
      </c>
    </row>
    <row r="445" spans="1:25" ht="15" customHeight="1" x14ac:dyDescent="0.3">
      <c r="A445" s="27">
        <v>45868</v>
      </c>
      <c r="B445" s="25">
        <v>34</v>
      </c>
      <c r="C445" s="3" t="s">
        <v>38</v>
      </c>
      <c r="D445" s="3" t="s">
        <v>164</v>
      </c>
      <c r="E445" s="3">
        <v>2</v>
      </c>
      <c r="F445" s="3">
        <v>402</v>
      </c>
      <c r="G445" s="6" t="s">
        <v>12</v>
      </c>
      <c r="H445" s="3" t="s">
        <v>589</v>
      </c>
      <c r="I445" s="6" t="s">
        <v>483</v>
      </c>
      <c r="J445" s="3">
        <v>2</v>
      </c>
      <c r="K445" s="3">
        <v>2</v>
      </c>
      <c r="L445" s="3">
        <v>10.5</v>
      </c>
      <c r="M445" s="3"/>
      <c r="N445" s="3"/>
      <c r="O445" s="3">
        <v>3.5</v>
      </c>
      <c r="P445" s="3"/>
      <c r="Q445" s="3"/>
      <c r="R445" s="3"/>
      <c r="S445" s="3"/>
      <c r="T445" s="3"/>
      <c r="U445" s="3"/>
      <c r="V445" s="3"/>
      <c r="W445" s="3"/>
      <c r="X445" s="3" t="s">
        <v>803</v>
      </c>
      <c r="Y445" s="3"/>
    </row>
    <row r="446" spans="1:25" ht="15" customHeight="1" x14ac:dyDescent="0.3">
      <c r="A446" s="27">
        <v>45868</v>
      </c>
      <c r="B446" s="25">
        <v>34</v>
      </c>
      <c r="C446" s="3" t="s">
        <v>38</v>
      </c>
      <c r="D446" s="3" t="s">
        <v>164</v>
      </c>
      <c r="E446" s="3">
        <v>2</v>
      </c>
      <c r="F446" s="3">
        <v>405</v>
      </c>
      <c r="G446" s="6" t="s">
        <v>14</v>
      </c>
      <c r="H446" s="3" t="s">
        <v>766</v>
      </c>
      <c r="I446" s="6" t="s">
        <v>483</v>
      </c>
      <c r="J446" s="3">
        <v>2</v>
      </c>
      <c r="K446" s="3">
        <v>2</v>
      </c>
      <c r="L446" s="3">
        <v>8.8000000000000007</v>
      </c>
      <c r="M446" s="3"/>
      <c r="N446" s="3"/>
      <c r="O446" s="3">
        <v>3.5</v>
      </c>
      <c r="P446" s="3"/>
      <c r="Q446" s="3"/>
      <c r="R446" s="3"/>
      <c r="S446" s="3"/>
      <c r="T446" s="3"/>
      <c r="U446" s="3"/>
      <c r="V446" s="3"/>
      <c r="W446" s="3"/>
      <c r="X446" s="3" t="s">
        <v>804</v>
      </c>
      <c r="Y446" s="3"/>
    </row>
    <row r="447" spans="1:25" ht="15" customHeight="1" x14ac:dyDescent="0.3">
      <c r="A447" s="27">
        <v>45868</v>
      </c>
      <c r="B447" s="25">
        <v>34</v>
      </c>
      <c r="C447" s="3" t="s">
        <v>38</v>
      </c>
      <c r="D447" s="3" t="s">
        <v>164</v>
      </c>
      <c r="E447" s="3">
        <v>2</v>
      </c>
      <c r="F447" s="3">
        <v>172</v>
      </c>
      <c r="G447" s="6" t="s">
        <v>15</v>
      </c>
      <c r="H447" s="3" t="s">
        <v>767</v>
      </c>
      <c r="I447" s="6" t="s">
        <v>483</v>
      </c>
      <c r="J447" s="3">
        <v>4</v>
      </c>
      <c r="K447" s="3">
        <v>4</v>
      </c>
      <c r="L447" s="3">
        <v>15.29</v>
      </c>
      <c r="M447" s="3">
        <v>0.6</v>
      </c>
      <c r="N447" s="3">
        <v>10</v>
      </c>
      <c r="O447" s="3">
        <v>6.75</v>
      </c>
      <c r="P447" s="3" t="s">
        <v>794</v>
      </c>
      <c r="Q447" s="3">
        <v>170</v>
      </c>
      <c r="R447" s="3"/>
      <c r="S447" s="3"/>
      <c r="T447" s="3"/>
      <c r="U447" s="3"/>
      <c r="V447" s="3"/>
      <c r="W447" s="3"/>
      <c r="X447" s="3" t="s">
        <v>79</v>
      </c>
      <c r="Y447" s="3" t="s">
        <v>84</v>
      </c>
    </row>
    <row r="448" spans="1:25" ht="15" customHeight="1" x14ac:dyDescent="0.3">
      <c r="A448" s="27">
        <v>45868</v>
      </c>
      <c r="B448" s="25">
        <v>34</v>
      </c>
      <c r="C448" s="3" t="s">
        <v>38</v>
      </c>
      <c r="D448" s="3" t="s">
        <v>164</v>
      </c>
      <c r="E448" s="3">
        <v>2</v>
      </c>
      <c r="F448" s="3">
        <v>174</v>
      </c>
      <c r="G448" s="6" t="s">
        <v>181</v>
      </c>
      <c r="H448" s="3" t="s">
        <v>715</v>
      </c>
      <c r="I448" s="6" t="s">
        <v>483</v>
      </c>
      <c r="J448" s="3">
        <v>5</v>
      </c>
      <c r="K448" s="3">
        <v>5</v>
      </c>
      <c r="L448" s="3">
        <v>13.74</v>
      </c>
      <c r="M448" s="3">
        <v>1</v>
      </c>
      <c r="N448" s="3">
        <v>8</v>
      </c>
      <c r="O448" s="3">
        <v>5</v>
      </c>
      <c r="P448" s="3" t="s">
        <v>795</v>
      </c>
      <c r="Q448" s="3">
        <v>170</v>
      </c>
      <c r="R448" s="3"/>
      <c r="S448" s="3"/>
      <c r="T448" s="3"/>
      <c r="U448" s="3"/>
      <c r="V448" s="3"/>
      <c r="W448" s="3"/>
      <c r="X448" s="3" t="s">
        <v>79</v>
      </c>
      <c r="Y448" s="3" t="s">
        <v>84</v>
      </c>
    </row>
    <row r="449" spans="1:25" ht="15" customHeight="1" x14ac:dyDescent="0.3">
      <c r="A449" s="27">
        <v>45868</v>
      </c>
      <c r="B449" s="25">
        <v>34</v>
      </c>
      <c r="C449" s="3" t="s">
        <v>38</v>
      </c>
      <c r="D449" s="3" t="s">
        <v>164</v>
      </c>
      <c r="E449" s="3">
        <v>2</v>
      </c>
      <c r="F449" s="3">
        <v>176</v>
      </c>
      <c r="G449" s="6" t="s">
        <v>716</v>
      </c>
      <c r="H449" s="3" t="s">
        <v>717</v>
      </c>
      <c r="I449" s="6" t="s">
        <v>483</v>
      </c>
      <c r="J449" s="3">
        <v>5</v>
      </c>
      <c r="K449" s="3">
        <v>5</v>
      </c>
      <c r="L449" s="3">
        <v>16.920000000000002</v>
      </c>
      <c r="M449" s="3">
        <v>1</v>
      </c>
      <c r="N449" s="3">
        <v>11.5</v>
      </c>
      <c r="O449" s="3">
        <v>8</v>
      </c>
      <c r="P449" s="3" t="s">
        <v>570</v>
      </c>
      <c r="Q449" s="3">
        <v>165</v>
      </c>
      <c r="R449" s="3"/>
      <c r="S449" s="3"/>
      <c r="T449" s="3"/>
      <c r="U449" s="3"/>
      <c r="V449" s="3"/>
      <c r="W449" s="3"/>
      <c r="X449" s="3" t="s">
        <v>390</v>
      </c>
      <c r="Y449" s="3" t="s">
        <v>398</v>
      </c>
    </row>
    <row r="450" spans="1:25" ht="15" customHeight="1" x14ac:dyDescent="0.3">
      <c r="A450" s="27">
        <v>45868</v>
      </c>
      <c r="B450" s="25">
        <v>34</v>
      </c>
      <c r="C450" s="3" t="s">
        <v>38</v>
      </c>
      <c r="D450" s="3" t="s">
        <v>164</v>
      </c>
      <c r="E450" s="3">
        <v>2</v>
      </c>
      <c r="F450" s="3">
        <v>177</v>
      </c>
      <c r="G450" s="6" t="s">
        <v>558</v>
      </c>
      <c r="H450" s="3" t="s">
        <v>718</v>
      </c>
      <c r="I450" s="6" t="s">
        <v>483</v>
      </c>
      <c r="J450" s="3">
        <v>3</v>
      </c>
      <c r="K450" s="3">
        <v>3</v>
      </c>
      <c r="L450" s="3">
        <v>13.19</v>
      </c>
      <c r="M450" s="3">
        <v>3.4</v>
      </c>
      <c r="N450" s="3">
        <v>6.25</v>
      </c>
      <c r="O450" s="3">
        <v>4.2</v>
      </c>
      <c r="P450" s="3"/>
      <c r="Q450" s="3">
        <v>170</v>
      </c>
      <c r="R450" s="3"/>
      <c r="S450" s="3"/>
      <c r="T450" s="3"/>
      <c r="U450" s="3"/>
      <c r="V450" s="3"/>
      <c r="W450" s="3"/>
      <c r="X450" s="3" t="s">
        <v>254</v>
      </c>
      <c r="Y450" s="3" t="s">
        <v>84</v>
      </c>
    </row>
    <row r="451" spans="1:25" ht="15" customHeight="1" x14ac:dyDescent="0.3">
      <c r="A451" s="27">
        <v>45868</v>
      </c>
      <c r="B451" s="25">
        <v>34</v>
      </c>
      <c r="C451" s="3" t="s">
        <v>38</v>
      </c>
      <c r="D451" s="3" t="s">
        <v>164</v>
      </c>
      <c r="E451" s="3">
        <v>2</v>
      </c>
      <c r="F451" s="3">
        <v>131</v>
      </c>
      <c r="G451" s="6" t="s">
        <v>768</v>
      </c>
      <c r="H451" s="3" t="s">
        <v>769</v>
      </c>
      <c r="I451" s="6" t="s">
        <v>483</v>
      </c>
      <c r="J451" s="3">
        <v>3</v>
      </c>
      <c r="K451" s="23">
        <v>2</v>
      </c>
      <c r="L451" s="3">
        <v>17.97</v>
      </c>
      <c r="M451" s="3">
        <v>4.5</v>
      </c>
      <c r="N451" s="3">
        <v>8.6999999999999993</v>
      </c>
      <c r="O451" s="3">
        <v>5.5</v>
      </c>
      <c r="P451" s="3"/>
      <c r="Q451" s="3">
        <v>170</v>
      </c>
      <c r="R451" s="3"/>
      <c r="S451" s="3"/>
      <c r="T451" s="3"/>
      <c r="U451" s="3"/>
      <c r="V451" s="3"/>
      <c r="W451" s="3"/>
      <c r="X451" s="3" t="s">
        <v>805</v>
      </c>
      <c r="Y451" s="3" t="s">
        <v>811</v>
      </c>
    </row>
    <row r="452" spans="1:25" ht="15" customHeight="1" x14ac:dyDescent="0.3">
      <c r="A452" s="27">
        <v>45868</v>
      </c>
      <c r="B452" s="25">
        <v>34</v>
      </c>
      <c r="C452" s="3" t="s">
        <v>38</v>
      </c>
      <c r="D452" s="3" t="s">
        <v>164</v>
      </c>
      <c r="E452" s="3">
        <v>2</v>
      </c>
      <c r="F452" s="3">
        <v>134</v>
      </c>
      <c r="G452" s="6" t="s">
        <v>787</v>
      </c>
      <c r="H452" s="3" t="s">
        <v>788</v>
      </c>
      <c r="I452" s="6" t="s">
        <v>483</v>
      </c>
      <c r="J452" s="3">
        <v>3</v>
      </c>
      <c r="K452" s="23">
        <v>2</v>
      </c>
      <c r="L452" s="3">
        <v>13.97</v>
      </c>
      <c r="M452" s="3">
        <v>2.9</v>
      </c>
      <c r="N452" s="3">
        <v>5.2</v>
      </c>
      <c r="O452" s="3">
        <v>3.8</v>
      </c>
      <c r="P452" s="3"/>
      <c r="Q452" s="3">
        <v>170</v>
      </c>
      <c r="R452" s="3"/>
      <c r="S452" s="3"/>
      <c r="T452" s="3"/>
      <c r="U452" s="3"/>
      <c r="V452" s="3"/>
      <c r="W452" s="3"/>
      <c r="X452" s="3" t="s">
        <v>751</v>
      </c>
      <c r="Y452" s="3" t="s">
        <v>756</v>
      </c>
    </row>
    <row r="453" spans="1:25" ht="15" customHeight="1" x14ac:dyDescent="0.3">
      <c r="A453" s="27">
        <v>45868</v>
      </c>
      <c r="B453" s="25">
        <v>34</v>
      </c>
      <c r="C453" s="3" t="s">
        <v>38</v>
      </c>
      <c r="D453" s="3" t="s">
        <v>164</v>
      </c>
      <c r="E453" s="3">
        <v>2</v>
      </c>
      <c r="F453" s="3">
        <v>206</v>
      </c>
      <c r="G453" s="6" t="s">
        <v>772</v>
      </c>
      <c r="H453" s="3" t="s">
        <v>773</v>
      </c>
      <c r="I453" s="6" t="s">
        <v>111</v>
      </c>
      <c r="J453" s="3">
        <v>12</v>
      </c>
      <c r="K453" s="23">
        <v>11</v>
      </c>
      <c r="L453" s="3">
        <v>27.2</v>
      </c>
      <c r="M453" s="3">
        <v>18</v>
      </c>
      <c r="N453" s="3">
        <v>1.2</v>
      </c>
      <c r="O453" s="3"/>
      <c r="P453" s="3"/>
      <c r="Q453" s="3"/>
      <c r="R453" s="3" t="s">
        <v>796</v>
      </c>
      <c r="S453" s="3" t="s">
        <v>248</v>
      </c>
      <c r="T453" s="3">
        <v>0.5</v>
      </c>
      <c r="U453" s="3">
        <v>30</v>
      </c>
      <c r="V453" s="3">
        <v>45</v>
      </c>
      <c r="W453" s="3">
        <v>120</v>
      </c>
      <c r="X453" s="3" t="s">
        <v>648</v>
      </c>
      <c r="Y453" s="3" t="s">
        <v>812</v>
      </c>
    </row>
    <row r="454" spans="1:25" ht="15" customHeight="1" x14ac:dyDescent="0.3">
      <c r="A454" s="27">
        <v>45868</v>
      </c>
      <c r="B454" s="25">
        <v>34</v>
      </c>
      <c r="C454" s="3" t="s">
        <v>38</v>
      </c>
      <c r="D454" s="3" t="s">
        <v>164</v>
      </c>
      <c r="E454" s="3">
        <v>2</v>
      </c>
      <c r="F454" s="3">
        <v>207</v>
      </c>
      <c r="G454" s="6" t="s">
        <v>476</v>
      </c>
      <c r="H454" s="3" t="s">
        <v>477</v>
      </c>
      <c r="I454" s="6" t="s">
        <v>111</v>
      </c>
      <c r="J454" s="3">
        <v>12</v>
      </c>
      <c r="K454" s="23">
        <v>8</v>
      </c>
      <c r="L454" s="3">
        <v>34.11</v>
      </c>
      <c r="M454" s="3">
        <v>15</v>
      </c>
      <c r="N454" s="3">
        <v>3</v>
      </c>
      <c r="O454" s="3"/>
      <c r="P454" s="3"/>
      <c r="Q454" s="3"/>
      <c r="R454" s="3" t="s">
        <v>637</v>
      </c>
      <c r="S454" s="3" t="s">
        <v>75</v>
      </c>
      <c r="T454" s="3">
        <v>2.5</v>
      </c>
      <c r="U454" s="3">
        <v>20</v>
      </c>
      <c r="V454" s="3">
        <v>30</v>
      </c>
      <c r="W454" s="3">
        <v>140</v>
      </c>
      <c r="X454" s="3" t="s">
        <v>613</v>
      </c>
      <c r="Y454" s="3" t="s">
        <v>813</v>
      </c>
    </row>
    <row r="455" spans="1:25" ht="15" customHeight="1" x14ac:dyDescent="0.3">
      <c r="A455" s="27">
        <v>45868</v>
      </c>
      <c r="B455" s="25">
        <v>34</v>
      </c>
      <c r="C455" s="3" t="s">
        <v>38</v>
      </c>
      <c r="D455" s="3" t="s">
        <v>164</v>
      </c>
      <c r="E455" s="3">
        <v>2</v>
      </c>
      <c r="F455" s="3">
        <v>208</v>
      </c>
      <c r="G455" s="6" t="s">
        <v>593</v>
      </c>
      <c r="H455" s="3" t="s">
        <v>594</v>
      </c>
      <c r="I455" s="6" t="s">
        <v>110</v>
      </c>
      <c r="J455" s="3">
        <v>4</v>
      </c>
      <c r="K455" s="23">
        <v>2</v>
      </c>
      <c r="L455" s="3">
        <v>27.79</v>
      </c>
      <c r="M455" s="3">
        <v>13</v>
      </c>
      <c r="N455" s="3">
        <v>4.0999999999999996</v>
      </c>
      <c r="O455" s="3"/>
      <c r="P455" s="3"/>
      <c r="Q455" s="3"/>
      <c r="R455" s="3" t="s">
        <v>797</v>
      </c>
      <c r="S455" s="3" t="s">
        <v>800</v>
      </c>
      <c r="T455" s="3">
        <v>2.5</v>
      </c>
      <c r="U455" s="3">
        <v>25</v>
      </c>
      <c r="V455" s="3">
        <v>30</v>
      </c>
      <c r="W455" s="3">
        <v>110</v>
      </c>
      <c r="X455" s="3" t="s">
        <v>729</v>
      </c>
      <c r="Y455" s="3" t="s">
        <v>814</v>
      </c>
    </row>
    <row r="456" spans="1:25" ht="15" customHeight="1" x14ac:dyDescent="0.3">
      <c r="A456" s="27">
        <v>45867</v>
      </c>
      <c r="B456" s="25">
        <v>33</v>
      </c>
      <c r="C456" s="3" t="s">
        <v>38</v>
      </c>
      <c r="D456" s="3" t="s">
        <v>164</v>
      </c>
      <c r="E456" s="3">
        <v>2</v>
      </c>
      <c r="F456" s="3">
        <v>401</v>
      </c>
      <c r="G456" s="6" t="s">
        <v>775</v>
      </c>
      <c r="H456" s="3" t="s">
        <v>776</v>
      </c>
      <c r="I456" s="6" t="s">
        <v>483</v>
      </c>
      <c r="J456" s="3">
        <v>1</v>
      </c>
      <c r="K456" s="3">
        <v>1</v>
      </c>
      <c r="L456" s="3">
        <v>8.75</v>
      </c>
      <c r="M456" s="3"/>
      <c r="N456" s="3"/>
      <c r="O456" s="3">
        <v>3</v>
      </c>
      <c r="P456" s="3"/>
      <c r="Q456" s="3"/>
      <c r="R456" s="3"/>
      <c r="S456" s="3"/>
      <c r="T456" s="3"/>
      <c r="U456" s="3"/>
      <c r="V456" s="3"/>
      <c r="W456" s="3"/>
      <c r="X456" s="3" t="s">
        <v>752</v>
      </c>
      <c r="Y456" s="3"/>
    </row>
    <row r="457" spans="1:25" ht="15" customHeight="1" x14ac:dyDescent="0.3">
      <c r="A457" s="27">
        <v>45868</v>
      </c>
      <c r="B457" s="25">
        <v>34</v>
      </c>
      <c r="C457" s="3" t="s">
        <v>38</v>
      </c>
      <c r="D457" s="3" t="s">
        <v>164</v>
      </c>
      <c r="E457" s="3">
        <v>2</v>
      </c>
      <c r="F457" s="3">
        <v>302</v>
      </c>
      <c r="G457" s="6" t="s">
        <v>31</v>
      </c>
      <c r="H457" s="3" t="s">
        <v>195</v>
      </c>
      <c r="I457" s="6" t="s">
        <v>793</v>
      </c>
      <c r="J457" s="3">
        <v>12</v>
      </c>
      <c r="K457" s="23">
        <v>9</v>
      </c>
      <c r="L457" s="3">
        <v>62.85</v>
      </c>
      <c r="M457" s="3">
        <v>17</v>
      </c>
      <c r="N457" s="3">
        <v>12</v>
      </c>
      <c r="O457" s="3"/>
      <c r="P457" s="3"/>
      <c r="Q457" s="3"/>
      <c r="R457" s="3" t="s">
        <v>745</v>
      </c>
      <c r="S457" s="3" t="s">
        <v>642</v>
      </c>
      <c r="T457" s="3">
        <v>6.5</v>
      </c>
      <c r="U457" s="3">
        <v>30</v>
      </c>
      <c r="V457" s="3">
        <v>65</v>
      </c>
      <c r="W457" s="3">
        <v>150</v>
      </c>
      <c r="X457" s="3" t="s">
        <v>806</v>
      </c>
      <c r="Y457" s="3" t="s">
        <v>815</v>
      </c>
    </row>
    <row r="458" spans="1:25" ht="15" customHeight="1" x14ac:dyDescent="0.3">
      <c r="A458" s="27">
        <v>45868</v>
      </c>
      <c r="B458" s="25">
        <v>34</v>
      </c>
      <c r="C458" s="3" t="s">
        <v>38</v>
      </c>
      <c r="D458" s="3" t="s">
        <v>164</v>
      </c>
      <c r="E458" s="3">
        <v>2</v>
      </c>
      <c r="F458" s="3">
        <v>303</v>
      </c>
      <c r="G458" s="6" t="s">
        <v>32</v>
      </c>
      <c r="H458" s="3" t="s">
        <v>238</v>
      </c>
      <c r="I458" s="6" t="s">
        <v>483</v>
      </c>
      <c r="J458" s="3">
        <v>12</v>
      </c>
      <c r="K458" s="23">
        <v>6</v>
      </c>
      <c r="L458" s="3">
        <v>41.9</v>
      </c>
      <c r="M458" s="3">
        <v>18</v>
      </c>
      <c r="N458" s="3">
        <v>7</v>
      </c>
      <c r="O458" s="3"/>
      <c r="P458" s="3"/>
      <c r="Q458" s="3">
        <v>140</v>
      </c>
      <c r="R458" s="3" t="s">
        <v>798</v>
      </c>
      <c r="S458" s="3" t="s">
        <v>801</v>
      </c>
      <c r="T458" s="3">
        <v>3</v>
      </c>
      <c r="U458" s="3">
        <v>20</v>
      </c>
      <c r="V458" s="3">
        <v>40</v>
      </c>
      <c r="W458" s="3">
        <v>140</v>
      </c>
      <c r="X458" s="3" t="s">
        <v>807</v>
      </c>
      <c r="Y458" s="3" t="s">
        <v>738</v>
      </c>
    </row>
    <row r="459" spans="1:25" ht="15" customHeight="1" x14ac:dyDescent="0.3">
      <c r="A459" s="27">
        <v>45868</v>
      </c>
      <c r="B459" s="25">
        <v>34</v>
      </c>
      <c r="C459" s="3" t="s">
        <v>38</v>
      </c>
      <c r="D459" s="3" t="s">
        <v>164</v>
      </c>
      <c r="E459" s="3">
        <v>2</v>
      </c>
      <c r="F459" s="3">
        <v>503</v>
      </c>
      <c r="G459" s="6" t="s">
        <v>777</v>
      </c>
      <c r="H459" s="3" t="s">
        <v>778</v>
      </c>
      <c r="I459" s="6" t="s">
        <v>110</v>
      </c>
      <c r="J459" s="3">
        <v>2</v>
      </c>
      <c r="K459" s="3">
        <v>2</v>
      </c>
      <c r="L459" s="3">
        <v>14</v>
      </c>
      <c r="M459" s="3"/>
      <c r="N459" s="3"/>
      <c r="O459" s="3">
        <v>17</v>
      </c>
      <c r="P459" s="3"/>
      <c r="Q459" s="3"/>
      <c r="R459" s="3"/>
      <c r="S459" s="3"/>
      <c r="T459" s="3"/>
      <c r="U459" s="3"/>
      <c r="V459" s="3"/>
      <c r="W459" s="3"/>
      <c r="X459" s="3" t="s">
        <v>618</v>
      </c>
      <c r="Y459" s="3"/>
    </row>
    <row r="460" spans="1:25" ht="15" customHeight="1" x14ac:dyDescent="0.3">
      <c r="A460" s="27">
        <v>45868</v>
      </c>
      <c r="B460" s="25">
        <v>34</v>
      </c>
      <c r="C460" s="3" t="s">
        <v>38</v>
      </c>
      <c r="D460" s="3" t="s">
        <v>164</v>
      </c>
      <c r="E460" s="3">
        <v>2</v>
      </c>
      <c r="F460" s="3">
        <v>175</v>
      </c>
      <c r="G460" s="6" t="s">
        <v>227</v>
      </c>
      <c r="H460" s="3" t="s">
        <v>671</v>
      </c>
      <c r="I460" s="6" t="s">
        <v>483</v>
      </c>
      <c r="J460" s="3">
        <v>3</v>
      </c>
      <c r="K460" s="3">
        <v>3</v>
      </c>
      <c r="L460" s="3">
        <v>17.059999999999999</v>
      </c>
      <c r="M460" s="3">
        <v>3.8</v>
      </c>
      <c r="N460" s="3">
        <v>9</v>
      </c>
      <c r="O460" s="3">
        <v>5.5</v>
      </c>
      <c r="P460" s="3" t="s">
        <v>741</v>
      </c>
      <c r="Q460" s="3">
        <v>180</v>
      </c>
      <c r="R460" s="3"/>
      <c r="S460" s="3"/>
      <c r="T460" s="3"/>
      <c r="U460" s="3"/>
      <c r="V460" s="3"/>
      <c r="W460" s="3"/>
      <c r="X460" s="3" t="s">
        <v>79</v>
      </c>
      <c r="Y460" s="3" t="s">
        <v>87</v>
      </c>
    </row>
    <row r="461" spans="1:25" ht="15" customHeight="1" x14ac:dyDescent="0.3">
      <c r="A461" s="27">
        <v>45868</v>
      </c>
      <c r="B461" s="25">
        <v>34</v>
      </c>
      <c r="C461" s="3" t="s">
        <v>38</v>
      </c>
      <c r="D461" s="3" t="s">
        <v>164</v>
      </c>
      <c r="E461" s="3">
        <v>2</v>
      </c>
      <c r="F461" s="3">
        <v>181</v>
      </c>
      <c r="G461" s="6" t="s">
        <v>789</v>
      </c>
      <c r="H461" s="3" t="s">
        <v>790</v>
      </c>
      <c r="I461" s="6" t="s">
        <v>483</v>
      </c>
      <c r="J461" s="3">
        <v>4</v>
      </c>
      <c r="K461" s="3">
        <v>4</v>
      </c>
      <c r="L461" s="3">
        <v>14</v>
      </c>
      <c r="M461" s="3">
        <v>4</v>
      </c>
      <c r="N461" s="3">
        <v>6</v>
      </c>
      <c r="O461" s="3">
        <v>2.5</v>
      </c>
      <c r="P461" s="3">
        <v>53</v>
      </c>
      <c r="Q461" s="3">
        <v>180</v>
      </c>
      <c r="R461" s="3"/>
      <c r="S461" s="3"/>
      <c r="T461" s="3"/>
      <c r="U461" s="3"/>
      <c r="V461" s="3"/>
      <c r="W461" s="3"/>
      <c r="X461" s="3" t="s">
        <v>388</v>
      </c>
      <c r="Y461" s="3" t="s">
        <v>153</v>
      </c>
    </row>
    <row r="462" spans="1:25" ht="15" customHeight="1" x14ac:dyDescent="0.3">
      <c r="A462" s="27">
        <v>45868</v>
      </c>
      <c r="B462" s="25">
        <v>34</v>
      </c>
      <c r="C462" s="3" t="s">
        <v>38</v>
      </c>
      <c r="D462" s="3" t="s">
        <v>164</v>
      </c>
      <c r="E462" s="3">
        <v>2</v>
      </c>
      <c r="F462" s="3">
        <v>138</v>
      </c>
      <c r="G462" s="6" t="s">
        <v>779</v>
      </c>
      <c r="H462" s="3" t="s">
        <v>780</v>
      </c>
      <c r="I462" s="6" t="s">
        <v>483</v>
      </c>
      <c r="J462" s="3">
        <v>4</v>
      </c>
      <c r="K462" s="3">
        <v>4</v>
      </c>
      <c r="L462" s="3">
        <v>17.77</v>
      </c>
      <c r="M462" s="3">
        <v>4.2</v>
      </c>
      <c r="N462" s="3">
        <v>9.4</v>
      </c>
      <c r="O462" s="3">
        <v>6</v>
      </c>
      <c r="P462" s="3"/>
      <c r="Q462" s="3">
        <v>190</v>
      </c>
      <c r="R462" s="3"/>
      <c r="S462" s="3"/>
      <c r="T462" s="3"/>
      <c r="U462" s="3"/>
      <c r="V462" s="3"/>
      <c r="W462" s="3"/>
      <c r="X462" s="3" t="s">
        <v>808</v>
      </c>
      <c r="Y462" s="3" t="s">
        <v>396</v>
      </c>
    </row>
    <row r="463" spans="1:25" ht="15" customHeight="1" x14ac:dyDescent="0.3">
      <c r="A463" s="27">
        <v>45868</v>
      </c>
      <c r="B463" s="25">
        <v>34</v>
      </c>
      <c r="C463" s="3" t="s">
        <v>38</v>
      </c>
      <c r="D463" s="3" t="s">
        <v>164</v>
      </c>
      <c r="E463" s="3">
        <v>2</v>
      </c>
      <c r="F463" s="3">
        <v>132</v>
      </c>
      <c r="G463" s="6" t="s">
        <v>781</v>
      </c>
      <c r="H463" s="3" t="s">
        <v>782</v>
      </c>
      <c r="I463" s="6" t="s">
        <v>483</v>
      </c>
      <c r="J463" s="3">
        <v>3</v>
      </c>
      <c r="K463" s="3">
        <v>3</v>
      </c>
      <c r="L463" s="3">
        <v>21.13</v>
      </c>
      <c r="M463" s="3">
        <v>4</v>
      </c>
      <c r="N463" s="3">
        <v>11.5</v>
      </c>
      <c r="O463" s="3">
        <v>6</v>
      </c>
      <c r="P463" s="3"/>
      <c r="Q463" s="3">
        <v>170</v>
      </c>
      <c r="R463" s="3"/>
      <c r="S463" s="3"/>
      <c r="T463" s="3"/>
      <c r="U463" s="3"/>
      <c r="V463" s="3"/>
      <c r="W463" s="3"/>
      <c r="X463" s="3" t="s">
        <v>733</v>
      </c>
      <c r="Y463" s="3" t="s">
        <v>761</v>
      </c>
    </row>
    <row r="464" spans="1:25" ht="15" customHeight="1" x14ac:dyDescent="0.3">
      <c r="A464" s="27">
        <v>45868</v>
      </c>
      <c r="B464" s="25">
        <v>34</v>
      </c>
      <c r="C464" s="3" t="s">
        <v>38</v>
      </c>
      <c r="D464" s="3" t="s">
        <v>164</v>
      </c>
      <c r="E464" s="3">
        <v>2</v>
      </c>
      <c r="F464" s="3">
        <v>204</v>
      </c>
      <c r="G464" s="6" t="s">
        <v>791</v>
      </c>
      <c r="H464" s="3" t="s">
        <v>792</v>
      </c>
      <c r="I464" s="6" t="s">
        <v>111</v>
      </c>
      <c r="J464" s="3">
        <v>4</v>
      </c>
      <c r="K464" s="23">
        <v>3</v>
      </c>
      <c r="L464" s="3">
        <v>21.3</v>
      </c>
      <c r="M464" s="3">
        <v>8</v>
      </c>
      <c r="N464" s="3">
        <v>3</v>
      </c>
      <c r="O464" s="3"/>
      <c r="P464" s="3"/>
      <c r="Q464" s="3"/>
      <c r="R464" s="3" t="s">
        <v>799</v>
      </c>
      <c r="S464" s="3" t="s">
        <v>802</v>
      </c>
      <c r="T464" s="3">
        <v>2</v>
      </c>
      <c r="U464" s="3">
        <v>15</v>
      </c>
      <c r="V464" s="3">
        <v>20</v>
      </c>
      <c r="W464" s="3">
        <v>135</v>
      </c>
      <c r="X464" s="3" t="s">
        <v>809</v>
      </c>
      <c r="Y464" s="3" t="s">
        <v>816</v>
      </c>
    </row>
    <row r="465" spans="1:25" ht="15" customHeight="1" x14ac:dyDescent="0.3">
      <c r="A465" s="5">
        <v>45869</v>
      </c>
      <c r="B465" s="25">
        <v>34</v>
      </c>
      <c r="C465" s="3" t="s">
        <v>38</v>
      </c>
      <c r="D465" s="3" t="s">
        <v>164</v>
      </c>
      <c r="E465" s="3">
        <v>2</v>
      </c>
      <c r="F465" s="3">
        <v>101</v>
      </c>
      <c r="G465" s="6" t="s">
        <v>783</v>
      </c>
      <c r="H465" s="3" t="s">
        <v>784</v>
      </c>
      <c r="I465" s="6" t="s">
        <v>793</v>
      </c>
      <c r="J465" s="3">
        <v>4</v>
      </c>
      <c r="K465" s="3">
        <v>4</v>
      </c>
      <c r="L465" s="3">
        <v>12.46</v>
      </c>
      <c r="M465" s="3">
        <v>3</v>
      </c>
      <c r="N465" s="3">
        <v>5.8</v>
      </c>
      <c r="O465" s="3">
        <v>4.3499999999999996</v>
      </c>
      <c r="P465" s="3">
        <v>65</v>
      </c>
      <c r="Q465" s="3">
        <v>170</v>
      </c>
      <c r="R465" s="3"/>
      <c r="S465" s="3"/>
      <c r="T465" s="3"/>
      <c r="U465" s="3"/>
      <c r="V465" s="3"/>
      <c r="W465" s="3"/>
      <c r="X465" s="3" t="s">
        <v>388</v>
      </c>
      <c r="Y465" s="3" t="s">
        <v>810</v>
      </c>
    </row>
    <row r="466" spans="1:25" ht="15" customHeight="1" x14ac:dyDescent="0.3">
      <c r="A466" s="5">
        <v>45869</v>
      </c>
      <c r="B466" s="25">
        <v>34</v>
      </c>
      <c r="C466" s="3" t="s">
        <v>38</v>
      </c>
      <c r="D466" s="3" t="s">
        <v>164</v>
      </c>
      <c r="E466" s="3">
        <v>2</v>
      </c>
      <c r="F466" s="3">
        <v>103</v>
      </c>
      <c r="G466" s="6" t="s">
        <v>163</v>
      </c>
      <c r="H466" s="3" t="s">
        <v>817</v>
      </c>
      <c r="I466" s="6" t="s">
        <v>793</v>
      </c>
      <c r="J466" s="3">
        <v>5</v>
      </c>
      <c r="K466" s="3">
        <v>5</v>
      </c>
      <c r="L466" s="3">
        <v>14.87</v>
      </c>
      <c r="M466" s="3">
        <v>3.65</v>
      </c>
      <c r="N466" s="3">
        <v>7</v>
      </c>
      <c r="O466" s="3">
        <v>6</v>
      </c>
      <c r="P466" s="3">
        <v>28</v>
      </c>
      <c r="Q466" s="3">
        <v>175</v>
      </c>
      <c r="R466" s="3"/>
      <c r="S466" s="3"/>
      <c r="T466" s="3"/>
      <c r="U466" s="3"/>
      <c r="V466" s="3"/>
      <c r="W466" s="3"/>
      <c r="X466" s="3" t="s">
        <v>79</v>
      </c>
      <c r="Y466" s="3" t="s">
        <v>254</v>
      </c>
    </row>
    <row r="467" spans="1:25" ht="15" customHeight="1" x14ac:dyDescent="0.3">
      <c r="A467" s="5">
        <v>45869</v>
      </c>
      <c r="B467" s="25">
        <v>34</v>
      </c>
      <c r="C467" s="3" t="s">
        <v>38</v>
      </c>
      <c r="D467" s="3" t="s">
        <v>164</v>
      </c>
      <c r="E467" s="3">
        <v>2</v>
      </c>
      <c r="F467" s="3">
        <v>161</v>
      </c>
      <c r="G467" s="6" t="s">
        <v>818</v>
      </c>
      <c r="H467" s="3" t="s">
        <v>819</v>
      </c>
      <c r="I467" s="6" t="s">
        <v>483</v>
      </c>
      <c r="J467" s="3">
        <v>2</v>
      </c>
      <c r="K467" s="3">
        <v>2</v>
      </c>
      <c r="L467" s="3">
        <v>21.61</v>
      </c>
      <c r="M467" s="3">
        <v>6.8</v>
      </c>
      <c r="N467" s="3">
        <v>9</v>
      </c>
      <c r="O467" s="3">
        <v>3</v>
      </c>
      <c r="P467" s="3"/>
      <c r="Q467" s="3">
        <v>175</v>
      </c>
      <c r="R467" s="3"/>
      <c r="S467" s="3"/>
      <c r="T467" s="3"/>
      <c r="U467" s="3"/>
      <c r="V467" s="3"/>
      <c r="W467" s="3"/>
      <c r="X467" s="3" t="s">
        <v>388</v>
      </c>
      <c r="Y467" s="3" t="s">
        <v>396</v>
      </c>
    </row>
    <row r="468" spans="1:25" ht="15" customHeight="1" x14ac:dyDescent="0.3">
      <c r="A468" s="5">
        <v>45869</v>
      </c>
      <c r="B468" s="25">
        <v>34</v>
      </c>
      <c r="C468" s="3" t="s">
        <v>38</v>
      </c>
      <c r="D468" s="3" t="s">
        <v>164</v>
      </c>
      <c r="E468" s="3">
        <v>2</v>
      </c>
      <c r="F468" s="3">
        <v>162</v>
      </c>
      <c r="G468" s="6" t="s">
        <v>762</v>
      </c>
      <c r="H468" s="3" t="s">
        <v>763</v>
      </c>
      <c r="I468" s="6" t="s">
        <v>483</v>
      </c>
      <c r="J468" s="3">
        <v>2</v>
      </c>
      <c r="K468" s="3">
        <v>2</v>
      </c>
      <c r="L468" s="3">
        <v>21</v>
      </c>
      <c r="M468" s="3">
        <v>3.5</v>
      </c>
      <c r="N468" s="3">
        <v>6.5</v>
      </c>
      <c r="O468" s="3">
        <v>2.9</v>
      </c>
      <c r="P468" s="3">
        <v>25</v>
      </c>
      <c r="Q468" s="3">
        <v>170</v>
      </c>
      <c r="R468" s="3"/>
      <c r="S468" s="3"/>
      <c r="T468" s="3"/>
      <c r="U468" s="3"/>
      <c r="V468" s="3"/>
      <c r="W468" s="3"/>
      <c r="X468" s="3" t="s">
        <v>527</v>
      </c>
      <c r="Y468" s="3" t="s">
        <v>505</v>
      </c>
    </row>
    <row r="469" spans="1:25" ht="15" customHeight="1" x14ac:dyDescent="0.3">
      <c r="A469" s="5">
        <v>45869</v>
      </c>
      <c r="B469" s="25">
        <v>34</v>
      </c>
      <c r="C469" s="3" t="s">
        <v>38</v>
      </c>
      <c r="D469" s="3" t="s">
        <v>164</v>
      </c>
      <c r="E469" s="3">
        <v>2</v>
      </c>
      <c r="F469" s="3">
        <v>163</v>
      </c>
      <c r="G469" s="6" t="s">
        <v>361</v>
      </c>
      <c r="H469" s="3" t="s">
        <v>820</v>
      </c>
      <c r="I469" s="6" t="s">
        <v>483</v>
      </c>
      <c r="J469" s="3">
        <v>2</v>
      </c>
      <c r="K469" s="3">
        <v>2</v>
      </c>
      <c r="L469" s="3">
        <v>24.3</v>
      </c>
      <c r="M469" s="3">
        <v>7</v>
      </c>
      <c r="N469" s="3">
        <v>9</v>
      </c>
      <c r="O469" s="3">
        <v>4.2</v>
      </c>
      <c r="P469" s="3">
        <v>23</v>
      </c>
      <c r="Q469" s="3">
        <v>180</v>
      </c>
      <c r="R469" s="3"/>
      <c r="S469" s="3"/>
      <c r="T469" s="3"/>
      <c r="U469" s="3"/>
      <c r="V469" s="3"/>
      <c r="W469" s="3"/>
      <c r="X469" s="3" t="s">
        <v>388</v>
      </c>
      <c r="Y469" s="3" t="s">
        <v>153</v>
      </c>
    </row>
    <row r="470" spans="1:25" ht="15" customHeight="1" x14ac:dyDescent="0.3">
      <c r="A470" s="5">
        <v>45869</v>
      </c>
      <c r="B470" s="25">
        <v>34</v>
      </c>
      <c r="C470" s="3" t="s">
        <v>38</v>
      </c>
      <c r="D470" s="3" t="s">
        <v>164</v>
      </c>
      <c r="E470" s="3">
        <v>2</v>
      </c>
      <c r="F470" s="3">
        <v>164</v>
      </c>
      <c r="G470" s="6" t="s">
        <v>11</v>
      </c>
      <c r="H470" s="3" t="s">
        <v>712</v>
      </c>
      <c r="I470" s="6" t="s">
        <v>483</v>
      </c>
      <c r="J470" s="3">
        <v>2</v>
      </c>
      <c r="K470" s="3">
        <v>2</v>
      </c>
      <c r="L470" s="3">
        <v>22.79</v>
      </c>
      <c r="M470" s="3">
        <v>7</v>
      </c>
      <c r="N470" s="3">
        <v>11</v>
      </c>
      <c r="O470" s="3">
        <v>3.8</v>
      </c>
      <c r="P470" s="3">
        <v>19</v>
      </c>
      <c r="Q470" s="3">
        <v>180</v>
      </c>
      <c r="R470" s="3"/>
      <c r="S470" s="3"/>
      <c r="T470" s="3"/>
      <c r="U470" s="3"/>
      <c r="V470" s="3"/>
      <c r="W470" s="3"/>
      <c r="X470" s="3" t="s">
        <v>388</v>
      </c>
      <c r="Y470" s="3" t="s">
        <v>396</v>
      </c>
    </row>
    <row r="471" spans="1:25" ht="15" customHeight="1" x14ac:dyDescent="0.3">
      <c r="A471" s="5">
        <v>45869</v>
      </c>
      <c r="B471" s="25">
        <v>34</v>
      </c>
      <c r="C471" s="3" t="s">
        <v>38</v>
      </c>
      <c r="D471" s="3" t="s">
        <v>164</v>
      </c>
      <c r="E471" s="3">
        <v>2</v>
      </c>
      <c r="F471" s="3">
        <v>182</v>
      </c>
      <c r="G471" s="6" t="s">
        <v>785</v>
      </c>
      <c r="H471" s="3" t="s">
        <v>786</v>
      </c>
      <c r="I471" s="6" t="s">
        <v>483</v>
      </c>
      <c r="J471" s="3">
        <v>4</v>
      </c>
      <c r="K471" s="3">
        <v>4</v>
      </c>
      <c r="L471" s="3">
        <v>15</v>
      </c>
      <c r="M471" s="3">
        <v>3.5</v>
      </c>
      <c r="N471" s="3">
        <v>6</v>
      </c>
      <c r="O471" s="3">
        <v>3</v>
      </c>
      <c r="P471" s="3"/>
      <c r="Q471" s="3">
        <v>170</v>
      </c>
      <c r="R471" s="3"/>
      <c r="S471" s="3"/>
      <c r="T471" s="3"/>
      <c r="U471" s="3"/>
      <c r="V471" s="3"/>
      <c r="W471" s="3"/>
      <c r="X471" s="3" t="s">
        <v>82</v>
      </c>
      <c r="Y471" s="3" t="s">
        <v>396</v>
      </c>
    </row>
    <row r="472" spans="1:25" ht="15" customHeight="1" x14ac:dyDescent="0.3">
      <c r="A472" s="5">
        <v>45869</v>
      </c>
      <c r="B472" s="25">
        <v>34</v>
      </c>
      <c r="C472" s="3" t="s">
        <v>38</v>
      </c>
      <c r="D472" s="3" t="s">
        <v>164</v>
      </c>
      <c r="E472" s="3">
        <v>2</v>
      </c>
      <c r="F472" s="3">
        <v>402</v>
      </c>
      <c r="G472" s="6" t="s">
        <v>12</v>
      </c>
      <c r="H472" s="3" t="s">
        <v>821</v>
      </c>
      <c r="I472" s="6" t="s">
        <v>483</v>
      </c>
      <c r="J472" s="3">
        <v>2</v>
      </c>
      <c r="K472" s="3">
        <v>2</v>
      </c>
      <c r="L472" s="3">
        <v>10.5</v>
      </c>
      <c r="M472" s="3"/>
      <c r="N472" s="3"/>
      <c r="O472" s="3">
        <v>3.5</v>
      </c>
      <c r="P472" s="3"/>
      <c r="Q472" s="3"/>
      <c r="R472" s="3"/>
      <c r="S472" s="3"/>
      <c r="T472" s="3"/>
      <c r="U472" s="3"/>
      <c r="V472" s="3"/>
      <c r="W472" s="3"/>
      <c r="X472" s="3" t="s">
        <v>828</v>
      </c>
      <c r="Y472" s="3"/>
    </row>
    <row r="473" spans="1:25" ht="15" customHeight="1" x14ac:dyDescent="0.3">
      <c r="A473" s="5">
        <v>45869</v>
      </c>
      <c r="B473" s="25">
        <v>34</v>
      </c>
      <c r="C473" s="3" t="s">
        <v>38</v>
      </c>
      <c r="D473" s="3" t="s">
        <v>164</v>
      </c>
      <c r="E473" s="3">
        <v>2</v>
      </c>
      <c r="F473" s="3">
        <v>172</v>
      </c>
      <c r="G473" s="6" t="s">
        <v>15</v>
      </c>
      <c r="H473" s="3" t="s">
        <v>767</v>
      </c>
      <c r="I473" s="6" t="s">
        <v>483</v>
      </c>
      <c r="J473" s="3">
        <v>4</v>
      </c>
      <c r="K473" s="3">
        <v>4</v>
      </c>
      <c r="L473" s="3">
        <v>15.77</v>
      </c>
      <c r="M473" s="3">
        <v>0.7</v>
      </c>
      <c r="N473" s="3">
        <v>10.3</v>
      </c>
      <c r="O473" s="3">
        <v>6.75</v>
      </c>
      <c r="P473" s="3" t="s">
        <v>823</v>
      </c>
      <c r="Q473" s="3">
        <v>170</v>
      </c>
      <c r="R473" s="3"/>
      <c r="S473" s="3"/>
      <c r="T473" s="3"/>
      <c r="U473" s="3"/>
      <c r="V473" s="3"/>
      <c r="W473" s="3"/>
      <c r="X473" s="3" t="s">
        <v>79</v>
      </c>
      <c r="Y473" s="3" t="s">
        <v>84</v>
      </c>
    </row>
    <row r="474" spans="1:25" ht="15" customHeight="1" x14ac:dyDescent="0.3">
      <c r="A474" s="5">
        <v>45869</v>
      </c>
      <c r="B474" s="25">
        <v>34</v>
      </c>
      <c r="C474" s="3" t="s">
        <v>38</v>
      </c>
      <c r="D474" s="3" t="s">
        <v>164</v>
      </c>
      <c r="E474" s="3">
        <v>2</v>
      </c>
      <c r="F474" s="3">
        <v>174</v>
      </c>
      <c r="G474" s="6" t="s">
        <v>181</v>
      </c>
      <c r="H474" s="3" t="s">
        <v>822</v>
      </c>
      <c r="I474" s="6" t="s">
        <v>483</v>
      </c>
      <c r="J474" s="3">
        <v>5</v>
      </c>
      <c r="K474" s="3">
        <v>5</v>
      </c>
      <c r="L474" s="3">
        <v>13.78</v>
      </c>
      <c r="M474" s="3">
        <v>1</v>
      </c>
      <c r="N474" s="3">
        <v>8.15</v>
      </c>
      <c r="O474" s="3">
        <v>5</v>
      </c>
      <c r="P474" s="3" t="s">
        <v>795</v>
      </c>
      <c r="Q474" s="3">
        <v>170</v>
      </c>
      <c r="R474" s="3"/>
      <c r="S474" s="3"/>
      <c r="T474" s="3"/>
      <c r="U474" s="3"/>
      <c r="V474" s="3"/>
      <c r="W474" s="3"/>
      <c r="X474" s="3" t="s">
        <v>79</v>
      </c>
      <c r="Y474" s="3" t="s">
        <v>84</v>
      </c>
    </row>
    <row r="475" spans="1:25" ht="15" customHeight="1" x14ac:dyDescent="0.3">
      <c r="A475" s="5">
        <v>45869</v>
      </c>
      <c r="B475" s="25">
        <v>34</v>
      </c>
      <c r="C475" s="3" t="s">
        <v>38</v>
      </c>
      <c r="D475" s="3" t="s">
        <v>164</v>
      </c>
      <c r="E475" s="3">
        <v>2</v>
      </c>
      <c r="F475" s="3">
        <v>176</v>
      </c>
      <c r="G475" s="6" t="s">
        <v>716</v>
      </c>
      <c r="H475" s="3" t="s">
        <v>717</v>
      </c>
      <c r="I475" s="6" t="s">
        <v>483</v>
      </c>
      <c r="J475" s="3">
        <v>5</v>
      </c>
      <c r="K475" s="3">
        <v>5</v>
      </c>
      <c r="L475" s="3">
        <v>16.79</v>
      </c>
      <c r="M475" s="3">
        <v>1</v>
      </c>
      <c r="N475" s="3">
        <v>11.5</v>
      </c>
      <c r="O475" s="3">
        <v>8</v>
      </c>
      <c r="P475" s="3" t="s">
        <v>824</v>
      </c>
      <c r="Q475" s="3">
        <v>165</v>
      </c>
      <c r="R475" s="3"/>
      <c r="S475" s="3"/>
      <c r="T475" s="3"/>
      <c r="U475" s="3"/>
      <c r="V475" s="3"/>
      <c r="W475" s="3"/>
      <c r="X475" s="3" t="s">
        <v>390</v>
      </c>
      <c r="Y475" s="3" t="s">
        <v>398</v>
      </c>
    </row>
    <row r="476" spans="1:25" ht="15" customHeight="1" x14ac:dyDescent="0.3">
      <c r="A476" s="5">
        <v>45869</v>
      </c>
      <c r="B476" s="25">
        <v>34</v>
      </c>
      <c r="C476" s="3" t="s">
        <v>38</v>
      </c>
      <c r="D476" s="3" t="s">
        <v>164</v>
      </c>
      <c r="E476" s="3">
        <v>2</v>
      </c>
      <c r="F476" s="3">
        <v>177</v>
      </c>
      <c r="G476" s="6" t="s">
        <v>558</v>
      </c>
      <c r="H476" s="3" t="s">
        <v>718</v>
      </c>
      <c r="I476" s="6" t="s">
        <v>483</v>
      </c>
      <c r="J476" s="3">
        <v>3</v>
      </c>
      <c r="K476" s="3">
        <v>3</v>
      </c>
      <c r="L476" s="3">
        <v>13.21</v>
      </c>
      <c r="M476" s="3">
        <v>3.4</v>
      </c>
      <c r="N476" s="3">
        <v>6.25</v>
      </c>
      <c r="O476" s="3">
        <v>4.2</v>
      </c>
      <c r="P476" s="3"/>
      <c r="Q476" s="3">
        <v>170</v>
      </c>
      <c r="R476" s="3"/>
      <c r="S476" s="3"/>
      <c r="T476" s="3"/>
      <c r="U476" s="3"/>
      <c r="V476" s="3"/>
      <c r="W476" s="3"/>
      <c r="X476" s="3" t="s">
        <v>254</v>
      </c>
      <c r="Y476" s="3" t="s">
        <v>84</v>
      </c>
    </row>
    <row r="477" spans="1:25" ht="15" customHeight="1" x14ac:dyDescent="0.3">
      <c r="A477" s="5">
        <v>45869</v>
      </c>
      <c r="B477" s="25">
        <v>34</v>
      </c>
      <c r="C477" s="3" t="s">
        <v>38</v>
      </c>
      <c r="D477" s="3" t="s">
        <v>164</v>
      </c>
      <c r="E477" s="3">
        <v>2</v>
      </c>
      <c r="F477" s="3">
        <v>131</v>
      </c>
      <c r="G477" s="6" t="s">
        <v>768</v>
      </c>
      <c r="H477" s="3" t="s">
        <v>769</v>
      </c>
      <c r="I477" s="6" t="s">
        <v>483</v>
      </c>
      <c r="J477" s="3">
        <v>3</v>
      </c>
      <c r="K477" s="23">
        <v>2</v>
      </c>
      <c r="L477" s="3">
        <v>18.27</v>
      </c>
      <c r="M477" s="3">
        <v>4.5</v>
      </c>
      <c r="N477" s="3">
        <v>9</v>
      </c>
      <c r="O477" s="3">
        <v>5.5</v>
      </c>
      <c r="P477" s="3"/>
      <c r="Q477" s="3">
        <v>170</v>
      </c>
      <c r="R477" s="3"/>
      <c r="S477" s="3"/>
      <c r="T477" s="3"/>
      <c r="U477" s="3"/>
      <c r="V477" s="3"/>
      <c r="W477" s="3"/>
      <c r="X477" s="3" t="s">
        <v>829</v>
      </c>
      <c r="Y477" s="3" t="s">
        <v>830</v>
      </c>
    </row>
    <row r="478" spans="1:25" ht="15" customHeight="1" x14ac:dyDescent="0.3">
      <c r="A478" s="5">
        <v>45869</v>
      </c>
      <c r="B478" s="25">
        <v>34</v>
      </c>
      <c r="C478" s="3" t="s">
        <v>38</v>
      </c>
      <c r="D478" s="3" t="s">
        <v>164</v>
      </c>
      <c r="E478" s="3">
        <v>2</v>
      </c>
      <c r="F478" s="3">
        <v>134</v>
      </c>
      <c r="G478" s="6" t="s">
        <v>787</v>
      </c>
      <c r="H478" s="3" t="s">
        <v>788</v>
      </c>
      <c r="I478" s="6" t="s">
        <v>483</v>
      </c>
      <c r="J478" s="3">
        <v>3</v>
      </c>
      <c r="K478" s="23">
        <v>2</v>
      </c>
      <c r="L478" s="3">
        <v>13.97</v>
      </c>
      <c r="M478" s="3">
        <v>2.9</v>
      </c>
      <c r="N478" s="3">
        <v>5.25</v>
      </c>
      <c r="O478" s="3">
        <v>3.7</v>
      </c>
      <c r="P478" s="3"/>
      <c r="Q478" s="3">
        <v>170</v>
      </c>
      <c r="R478" s="3"/>
      <c r="S478" s="3"/>
      <c r="T478" s="3"/>
      <c r="U478" s="3"/>
      <c r="V478" s="3"/>
      <c r="W478" s="3"/>
      <c r="X478" s="3" t="s">
        <v>751</v>
      </c>
      <c r="Y478" s="3" t="s">
        <v>756</v>
      </c>
    </row>
    <row r="479" spans="1:25" ht="15" customHeight="1" x14ac:dyDescent="0.3">
      <c r="A479" s="5">
        <v>45869</v>
      </c>
      <c r="B479" s="25">
        <v>34</v>
      </c>
      <c r="C479" s="3" t="s">
        <v>38</v>
      </c>
      <c r="D479" s="3" t="s">
        <v>164</v>
      </c>
      <c r="E479" s="3">
        <v>2</v>
      </c>
      <c r="F479" s="3">
        <v>206</v>
      </c>
      <c r="G479" s="6" t="s">
        <v>772</v>
      </c>
      <c r="H479" s="3" t="s">
        <v>773</v>
      </c>
      <c r="I479" s="6" t="s">
        <v>111</v>
      </c>
      <c r="J479" s="3">
        <v>12</v>
      </c>
      <c r="K479" s="23">
        <v>11</v>
      </c>
      <c r="L479" s="3">
        <v>27.2</v>
      </c>
      <c r="M479" s="3">
        <v>18</v>
      </c>
      <c r="N479" s="3">
        <v>1.3</v>
      </c>
      <c r="O479" s="3"/>
      <c r="P479" s="3"/>
      <c r="Q479" s="3"/>
      <c r="R479" s="3" t="s">
        <v>825</v>
      </c>
      <c r="S479" s="3" t="s">
        <v>641</v>
      </c>
      <c r="T479" s="3">
        <v>0.5</v>
      </c>
      <c r="U479" s="3">
        <v>31</v>
      </c>
      <c r="V479" s="3">
        <v>45</v>
      </c>
      <c r="W479" s="3">
        <v>120</v>
      </c>
      <c r="X479" s="3" t="s">
        <v>648</v>
      </c>
      <c r="Y479" s="3" t="s">
        <v>831</v>
      </c>
    </row>
    <row r="480" spans="1:25" ht="15" customHeight="1" x14ac:dyDescent="0.3">
      <c r="A480" s="5">
        <v>45869</v>
      </c>
      <c r="B480" s="25">
        <v>34</v>
      </c>
      <c r="C480" s="3" t="s">
        <v>38</v>
      </c>
      <c r="D480" s="3" t="s">
        <v>164</v>
      </c>
      <c r="E480" s="3">
        <v>2</v>
      </c>
      <c r="F480" s="3">
        <v>207</v>
      </c>
      <c r="G480" s="6" t="s">
        <v>476</v>
      </c>
      <c r="H480" s="3" t="s">
        <v>477</v>
      </c>
      <c r="I480" s="6" t="s">
        <v>111</v>
      </c>
      <c r="J480" s="3">
        <v>12</v>
      </c>
      <c r="K480" s="23">
        <v>8</v>
      </c>
      <c r="L480" s="3">
        <v>34.799999999999997</v>
      </c>
      <c r="M480" s="3">
        <v>15</v>
      </c>
      <c r="N480" s="3">
        <v>3</v>
      </c>
      <c r="O480" s="3"/>
      <c r="P480" s="3"/>
      <c r="Q480" s="3"/>
      <c r="R480" s="3" t="s">
        <v>637</v>
      </c>
      <c r="S480" s="3" t="s">
        <v>75</v>
      </c>
      <c r="T480" s="3">
        <v>2.5</v>
      </c>
      <c r="U480" s="3">
        <v>20</v>
      </c>
      <c r="V480" s="3">
        <v>30</v>
      </c>
      <c r="W480" s="3">
        <v>140</v>
      </c>
      <c r="X480" s="3" t="s">
        <v>613</v>
      </c>
      <c r="Y480" s="3" t="s">
        <v>813</v>
      </c>
    </row>
    <row r="481" spans="1:25" ht="15" customHeight="1" x14ac:dyDescent="0.3">
      <c r="A481" s="5">
        <v>45869</v>
      </c>
      <c r="B481" s="25">
        <v>34</v>
      </c>
      <c r="C481" s="3" t="s">
        <v>38</v>
      </c>
      <c r="D481" s="3" t="s">
        <v>164</v>
      </c>
      <c r="E481" s="3">
        <v>2</v>
      </c>
      <c r="F481" s="3">
        <v>209</v>
      </c>
      <c r="G481" s="6" t="s">
        <v>377</v>
      </c>
      <c r="H481" s="3" t="s">
        <v>378</v>
      </c>
      <c r="I481" s="6" t="s">
        <v>111</v>
      </c>
      <c r="J481" s="3">
        <v>8</v>
      </c>
      <c r="K481" s="23">
        <v>7</v>
      </c>
      <c r="L481" s="3">
        <v>29.5</v>
      </c>
      <c r="M481" s="3">
        <v>13</v>
      </c>
      <c r="N481" s="3">
        <v>1.5</v>
      </c>
      <c r="O481" s="3"/>
      <c r="P481" s="3"/>
      <c r="Q481" s="3"/>
      <c r="R481" s="3" t="s">
        <v>447</v>
      </c>
      <c r="S481" s="3" t="s">
        <v>827</v>
      </c>
      <c r="T481" s="3">
        <v>1</v>
      </c>
      <c r="U481" s="3">
        <v>30</v>
      </c>
      <c r="V481" s="3">
        <v>35</v>
      </c>
      <c r="W481" s="3">
        <v>95</v>
      </c>
      <c r="X481" s="3" t="s">
        <v>705</v>
      </c>
      <c r="Y481" s="3"/>
    </row>
    <row r="482" spans="1:25" ht="15" customHeight="1" x14ac:dyDescent="0.3">
      <c r="A482" s="5">
        <v>45869</v>
      </c>
      <c r="B482" s="25">
        <v>33</v>
      </c>
      <c r="C482" s="3" t="s">
        <v>38</v>
      </c>
      <c r="D482" s="3" t="s">
        <v>164</v>
      </c>
      <c r="E482" s="3">
        <v>2</v>
      </c>
      <c r="F482" s="3">
        <v>401</v>
      </c>
      <c r="G482" s="6" t="s">
        <v>775</v>
      </c>
      <c r="H482" s="3" t="s">
        <v>776</v>
      </c>
      <c r="I482" s="6" t="s">
        <v>483</v>
      </c>
      <c r="J482" s="3">
        <v>1</v>
      </c>
      <c r="K482" s="3">
        <v>1</v>
      </c>
      <c r="L482" s="3">
        <v>8.75</v>
      </c>
      <c r="M482" s="3"/>
      <c r="N482" s="3"/>
      <c r="O482" s="3">
        <v>3</v>
      </c>
      <c r="P482" s="3"/>
      <c r="Q482" s="3"/>
      <c r="R482" s="3"/>
      <c r="S482" s="3"/>
      <c r="T482" s="3"/>
      <c r="U482" s="3"/>
      <c r="V482" s="3"/>
      <c r="W482" s="3"/>
      <c r="X482" s="3" t="s">
        <v>752</v>
      </c>
      <c r="Y482" s="3"/>
    </row>
    <row r="483" spans="1:25" ht="15" customHeight="1" x14ac:dyDescent="0.3">
      <c r="A483" s="5">
        <v>45869</v>
      </c>
      <c r="B483" s="25">
        <v>34</v>
      </c>
      <c r="C483" s="3" t="s">
        <v>38</v>
      </c>
      <c r="D483" s="3" t="s">
        <v>164</v>
      </c>
      <c r="E483" s="3">
        <v>2</v>
      </c>
      <c r="F483" s="3">
        <v>503</v>
      </c>
      <c r="G483" s="6" t="s">
        <v>777</v>
      </c>
      <c r="H483" s="3" t="s">
        <v>778</v>
      </c>
      <c r="I483" s="6" t="s">
        <v>110</v>
      </c>
      <c r="J483" s="3">
        <v>2</v>
      </c>
      <c r="K483" s="3">
        <v>2</v>
      </c>
      <c r="L483" s="3">
        <v>13.5</v>
      </c>
      <c r="M483" s="3"/>
      <c r="N483" s="3"/>
      <c r="O483" s="3">
        <v>17</v>
      </c>
      <c r="P483" s="3"/>
      <c r="Q483" s="3"/>
      <c r="R483" s="3"/>
      <c r="S483" s="3"/>
      <c r="T483" s="3"/>
      <c r="U483" s="3"/>
      <c r="V483" s="3"/>
      <c r="W483" s="3"/>
      <c r="X483" s="3" t="s">
        <v>618</v>
      </c>
      <c r="Y483" s="3"/>
    </row>
    <row r="484" spans="1:25" ht="15" customHeight="1" x14ac:dyDescent="0.3">
      <c r="A484" s="5">
        <v>45869</v>
      </c>
      <c r="B484" s="25">
        <v>34</v>
      </c>
      <c r="C484" s="3" t="s">
        <v>38</v>
      </c>
      <c r="D484" s="3" t="s">
        <v>164</v>
      </c>
      <c r="E484" s="3">
        <v>2</v>
      </c>
      <c r="F484" s="3">
        <v>175</v>
      </c>
      <c r="G484" s="6" t="s">
        <v>227</v>
      </c>
      <c r="H484" s="3" t="s">
        <v>671</v>
      </c>
      <c r="I484" s="6" t="s">
        <v>483</v>
      </c>
      <c r="J484" s="3">
        <v>3</v>
      </c>
      <c r="K484" s="3">
        <v>3</v>
      </c>
      <c r="L484" s="3">
        <v>17.07</v>
      </c>
      <c r="M484" s="3">
        <v>3.8</v>
      </c>
      <c r="N484" s="3">
        <v>9</v>
      </c>
      <c r="O484" s="3">
        <v>5.5</v>
      </c>
      <c r="P484" s="3" t="s">
        <v>741</v>
      </c>
      <c r="Q484" s="3">
        <v>180</v>
      </c>
      <c r="R484" s="3"/>
      <c r="S484" s="3"/>
      <c r="T484" s="3"/>
      <c r="U484" s="3"/>
      <c r="V484" s="3"/>
      <c r="W484" s="3"/>
      <c r="X484" s="3" t="s">
        <v>79</v>
      </c>
      <c r="Y484" s="3" t="s">
        <v>87</v>
      </c>
    </row>
    <row r="485" spans="1:25" ht="15" customHeight="1" x14ac:dyDescent="0.3">
      <c r="A485" s="5">
        <v>45869</v>
      </c>
      <c r="B485" s="25">
        <v>34</v>
      </c>
      <c r="C485" s="3" t="s">
        <v>38</v>
      </c>
      <c r="D485" s="3" t="s">
        <v>164</v>
      </c>
      <c r="E485" s="3">
        <v>2</v>
      </c>
      <c r="F485" s="3">
        <v>181</v>
      </c>
      <c r="G485" s="6" t="s">
        <v>789</v>
      </c>
      <c r="H485" s="3" t="s">
        <v>790</v>
      </c>
      <c r="I485" s="6" t="s">
        <v>483</v>
      </c>
      <c r="J485" s="3">
        <v>4</v>
      </c>
      <c r="K485" s="3">
        <v>4</v>
      </c>
      <c r="L485" s="3">
        <v>14</v>
      </c>
      <c r="M485" s="3">
        <v>4</v>
      </c>
      <c r="N485" s="3">
        <v>6</v>
      </c>
      <c r="O485" s="3">
        <v>3</v>
      </c>
      <c r="P485" s="3">
        <v>34</v>
      </c>
      <c r="Q485" s="3">
        <v>180</v>
      </c>
      <c r="R485" s="3"/>
      <c r="S485" s="3"/>
      <c r="T485" s="3"/>
      <c r="U485" s="3"/>
      <c r="V485" s="3"/>
      <c r="W485" s="3"/>
      <c r="X485" s="3" t="s">
        <v>388</v>
      </c>
      <c r="Y485" s="3" t="s">
        <v>153</v>
      </c>
    </row>
    <row r="486" spans="1:25" ht="15" customHeight="1" x14ac:dyDescent="0.3">
      <c r="A486" s="5">
        <v>45869</v>
      </c>
      <c r="B486" s="25">
        <v>34</v>
      </c>
      <c r="C486" s="3" t="s">
        <v>38</v>
      </c>
      <c r="D486" s="3" t="s">
        <v>164</v>
      </c>
      <c r="E486" s="3">
        <v>2</v>
      </c>
      <c r="F486" s="3">
        <v>138</v>
      </c>
      <c r="G486" s="6" t="s">
        <v>779</v>
      </c>
      <c r="H486" s="3" t="s">
        <v>780</v>
      </c>
      <c r="I486" s="6" t="s">
        <v>483</v>
      </c>
      <c r="J486" s="3">
        <v>4</v>
      </c>
      <c r="K486" s="3">
        <v>4</v>
      </c>
      <c r="L486" s="3">
        <v>17.46</v>
      </c>
      <c r="M486" s="3">
        <v>4.0999999999999996</v>
      </c>
      <c r="N486" s="3">
        <v>9.1999999999999993</v>
      </c>
      <c r="O486" s="3">
        <v>6</v>
      </c>
      <c r="P486" s="3"/>
      <c r="Q486" s="3">
        <v>190</v>
      </c>
      <c r="R486" s="3"/>
      <c r="S486" s="3"/>
      <c r="T486" s="3"/>
      <c r="U486" s="3"/>
      <c r="V486" s="3"/>
      <c r="W486" s="3"/>
      <c r="X486" s="3" t="s">
        <v>87</v>
      </c>
      <c r="Y486" s="3" t="s">
        <v>152</v>
      </c>
    </row>
    <row r="487" spans="1:25" ht="15" customHeight="1" x14ac:dyDescent="0.3">
      <c r="A487" s="5">
        <v>45869</v>
      </c>
      <c r="B487" s="25">
        <v>34</v>
      </c>
      <c r="C487" s="3" t="s">
        <v>38</v>
      </c>
      <c r="D487" s="3" t="s">
        <v>164</v>
      </c>
      <c r="E487" s="3">
        <v>2</v>
      </c>
      <c r="F487" s="3">
        <v>132</v>
      </c>
      <c r="G487" s="6" t="s">
        <v>781</v>
      </c>
      <c r="H487" s="3" t="s">
        <v>782</v>
      </c>
      <c r="I487" s="6" t="s">
        <v>483</v>
      </c>
      <c r="J487" s="3">
        <v>3</v>
      </c>
      <c r="K487" s="3">
        <v>3</v>
      </c>
      <c r="L487" s="3">
        <v>21.56</v>
      </c>
      <c r="M487" s="3">
        <v>4</v>
      </c>
      <c r="N487" s="3">
        <v>12</v>
      </c>
      <c r="O487" s="3">
        <v>6.2</v>
      </c>
      <c r="P487" s="3"/>
      <c r="Q487" s="3">
        <v>170</v>
      </c>
      <c r="R487" s="3"/>
      <c r="S487" s="3"/>
      <c r="T487" s="3"/>
      <c r="U487" s="3"/>
      <c r="V487" s="3"/>
      <c r="W487" s="3"/>
      <c r="X487" s="3" t="s">
        <v>733</v>
      </c>
      <c r="Y487" s="3" t="s">
        <v>832</v>
      </c>
    </row>
    <row r="488" spans="1:25" ht="15" customHeight="1" x14ac:dyDescent="0.3">
      <c r="A488" s="5">
        <v>45869</v>
      </c>
      <c r="B488" s="25">
        <v>34</v>
      </c>
      <c r="C488" s="3" t="s">
        <v>38</v>
      </c>
      <c r="D488" s="3" t="s">
        <v>164</v>
      </c>
      <c r="E488" s="3">
        <v>2</v>
      </c>
      <c r="F488" s="3">
        <v>204</v>
      </c>
      <c r="G488" s="6" t="s">
        <v>791</v>
      </c>
      <c r="H488" s="3" t="s">
        <v>792</v>
      </c>
      <c r="I488" s="6" t="s">
        <v>111</v>
      </c>
      <c r="J488" s="3">
        <v>4</v>
      </c>
      <c r="K488" s="23">
        <v>3</v>
      </c>
      <c r="L488" s="3">
        <v>21.9</v>
      </c>
      <c r="M488" s="3">
        <v>8</v>
      </c>
      <c r="N488" s="3">
        <v>3</v>
      </c>
      <c r="O488" s="3"/>
      <c r="P488" s="3"/>
      <c r="Q488" s="3"/>
      <c r="R488" s="3" t="s">
        <v>826</v>
      </c>
      <c r="S488" s="3" t="s">
        <v>802</v>
      </c>
      <c r="T488" s="3">
        <v>2</v>
      </c>
      <c r="U488" s="3">
        <v>15</v>
      </c>
      <c r="V488" s="3">
        <v>20</v>
      </c>
      <c r="W488" s="3">
        <v>135</v>
      </c>
      <c r="X488" s="3" t="s">
        <v>809</v>
      </c>
      <c r="Y488" s="3" t="s">
        <v>833</v>
      </c>
    </row>
    <row r="489" spans="1:25" ht="15" customHeight="1" x14ac:dyDescent="0.3">
      <c r="A489" s="27">
        <v>45873</v>
      </c>
      <c r="B489" s="25">
        <v>32</v>
      </c>
      <c r="C489" s="3" t="s">
        <v>38</v>
      </c>
      <c r="D489" s="3" t="s">
        <v>355</v>
      </c>
      <c r="E489" s="3">
        <v>2</v>
      </c>
      <c r="F489" s="3">
        <v>103</v>
      </c>
      <c r="G489" s="6" t="s">
        <v>163</v>
      </c>
      <c r="H489" s="3" t="s">
        <v>817</v>
      </c>
      <c r="I489" s="6" t="s">
        <v>793</v>
      </c>
      <c r="J489" s="3">
        <v>5</v>
      </c>
      <c r="K489" s="3">
        <v>5</v>
      </c>
      <c r="L489" s="3">
        <v>14.86</v>
      </c>
      <c r="M489" s="3">
        <v>3.65</v>
      </c>
      <c r="N489" s="3">
        <v>7</v>
      </c>
      <c r="O489" s="3">
        <v>6</v>
      </c>
      <c r="P489" s="3">
        <v>28</v>
      </c>
      <c r="Q489" s="3">
        <v>175</v>
      </c>
      <c r="R489" s="3"/>
      <c r="S489" s="3"/>
      <c r="T489" s="3"/>
      <c r="U489" s="3"/>
      <c r="V489" s="3"/>
      <c r="W489" s="3"/>
      <c r="X489" s="3" t="s">
        <v>79</v>
      </c>
      <c r="Y489" s="3" t="s">
        <v>254</v>
      </c>
    </row>
    <row r="490" spans="1:25" ht="15" customHeight="1" x14ac:dyDescent="0.3">
      <c r="A490" s="27">
        <v>45873</v>
      </c>
      <c r="B490" s="25">
        <v>32</v>
      </c>
      <c r="C490" s="3" t="s">
        <v>38</v>
      </c>
      <c r="D490" s="3" t="s">
        <v>355</v>
      </c>
      <c r="E490" s="3">
        <v>2</v>
      </c>
      <c r="F490" s="3">
        <v>104</v>
      </c>
      <c r="G490" s="6" t="s">
        <v>834</v>
      </c>
      <c r="H490" s="3" t="s">
        <v>835</v>
      </c>
      <c r="I490" s="6" t="s">
        <v>793</v>
      </c>
      <c r="J490" s="3">
        <v>6</v>
      </c>
      <c r="K490" s="3">
        <v>6</v>
      </c>
      <c r="L490" s="3">
        <v>16.100000000000001</v>
      </c>
      <c r="M490" s="3">
        <v>5.3</v>
      </c>
      <c r="N490" s="3">
        <v>5.5</v>
      </c>
      <c r="O490" s="3">
        <v>5</v>
      </c>
      <c r="P490" s="3">
        <v>31</v>
      </c>
      <c r="Q490" s="3">
        <v>170</v>
      </c>
      <c r="R490" s="3"/>
      <c r="S490" s="3"/>
      <c r="T490" s="3"/>
      <c r="U490" s="3"/>
      <c r="V490" s="3"/>
      <c r="W490" s="3"/>
      <c r="X490" s="3" t="s">
        <v>496</v>
      </c>
      <c r="Y490" s="3" t="s">
        <v>84</v>
      </c>
    </row>
    <row r="491" spans="1:25" ht="15" customHeight="1" x14ac:dyDescent="0.3">
      <c r="A491" s="27">
        <v>45873</v>
      </c>
      <c r="B491" s="25">
        <v>32</v>
      </c>
      <c r="C491" s="3" t="s">
        <v>38</v>
      </c>
      <c r="D491" s="3" t="s">
        <v>355</v>
      </c>
      <c r="E491" s="3">
        <v>2</v>
      </c>
      <c r="F491" s="3">
        <v>162</v>
      </c>
      <c r="G491" s="6" t="s">
        <v>9</v>
      </c>
      <c r="H491" s="3" t="s">
        <v>836</v>
      </c>
      <c r="I491" s="6" t="s">
        <v>483</v>
      </c>
      <c r="J491" s="3">
        <v>2</v>
      </c>
      <c r="K491" s="3">
        <v>2</v>
      </c>
      <c r="L491" s="3">
        <v>21</v>
      </c>
      <c r="M491" s="3">
        <v>3</v>
      </c>
      <c r="N491" s="3">
        <v>6</v>
      </c>
      <c r="O491" s="3">
        <v>2.6</v>
      </c>
      <c r="P491" s="3">
        <v>20</v>
      </c>
      <c r="Q491" s="3">
        <v>170</v>
      </c>
      <c r="R491" s="3"/>
      <c r="S491" s="3"/>
      <c r="T491" s="3"/>
      <c r="U491" s="3"/>
      <c r="V491" s="3"/>
      <c r="W491" s="3"/>
      <c r="X491" s="3" t="s">
        <v>527</v>
      </c>
      <c r="Y491" s="3" t="s">
        <v>505</v>
      </c>
    </row>
    <row r="492" spans="1:25" ht="15" customHeight="1" x14ac:dyDescent="0.3">
      <c r="A492" s="27">
        <v>45873</v>
      </c>
      <c r="B492" s="25">
        <v>32</v>
      </c>
      <c r="C492" s="3" t="s">
        <v>38</v>
      </c>
      <c r="D492" s="3" t="s">
        <v>355</v>
      </c>
      <c r="E492" s="3">
        <v>2</v>
      </c>
      <c r="F492" s="3">
        <v>163</v>
      </c>
      <c r="G492" s="6" t="s">
        <v>361</v>
      </c>
      <c r="H492" s="3" t="s">
        <v>820</v>
      </c>
      <c r="I492" s="6" t="s">
        <v>483</v>
      </c>
      <c r="J492" s="3">
        <v>2</v>
      </c>
      <c r="K492" s="3">
        <v>2</v>
      </c>
      <c r="L492" s="3">
        <v>24</v>
      </c>
      <c r="M492" s="3">
        <v>6</v>
      </c>
      <c r="N492" s="3">
        <v>10.5</v>
      </c>
      <c r="O492" s="3">
        <v>4.4000000000000004</v>
      </c>
      <c r="P492" s="3">
        <v>25</v>
      </c>
      <c r="Q492" s="3">
        <v>175</v>
      </c>
      <c r="R492" s="3"/>
      <c r="S492" s="3"/>
      <c r="T492" s="3"/>
      <c r="U492" s="3"/>
      <c r="V492" s="3"/>
      <c r="W492" s="3"/>
      <c r="X492" s="3" t="s">
        <v>388</v>
      </c>
      <c r="Y492" s="3" t="s">
        <v>152</v>
      </c>
    </row>
    <row r="493" spans="1:25" ht="15" customHeight="1" x14ac:dyDescent="0.3">
      <c r="A493" s="27">
        <v>45873</v>
      </c>
      <c r="B493" s="25">
        <v>32</v>
      </c>
      <c r="C493" s="3" t="s">
        <v>38</v>
      </c>
      <c r="D493" s="3" t="s">
        <v>355</v>
      </c>
      <c r="E493" s="3">
        <v>2</v>
      </c>
      <c r="F493" s="3">
        <v>182</v>
      </c>
      <c r="G493" s="6" t="s">
        <v>837</v>
      </c>
      <c r="H493" s="3" t="s">
        <v>838</v>
      </c>
      <c r="I493" s="6" t="s">
        <v>483</v>
      </c>
      <c r="J493" s="3">
        <v>4</v>
      </c>
      <c r="K493" s="3">
        <v>4</v>
      </c>
      <c r="L493" s="3">
        <v>15</v>
      </c>
      <c r="M493" s="3">
        <v>3.5</v>
      </c>
      <c r="N493" s="3">
        <v>6</v>
      </c>
      <c r="O493" s="3">
        <v>2.4</v>
      </c>
      <c r="P493" s="3"/>
      <c r="Q493" s="3">
        <v>175</v>
      </c>
      <c r="R493" s="3"/>
      <c r="S493" s="3"/>
      <c r="T493" s="3"/>
      <c r="U493" s="3"/>
      <c r="V493" s="3"/>
      <c r="W493" s="3"/>
      <c r="X493" s="3" t="s">
        <v>82</v>
      </c>
      <c r="Y493" s="3" t="s">
        <v>396</v>
      </c>
    </row>
    <row r="494" spans="1:25" ht="15" customHeight="1" x14ac:dyDescent="0.3">
      <c r="A494" s="27">
        <v>45873</v>
      </c>
      <c r="B494" s="25">
        <v>32</v>
      </c>
      <c r="C494" s="3" t="s">
        <v>38</v>
      </c>
      <c r="D494" s="3" t="s">
        <v>355</v>
      </c>
      <c r="E494" s="3">
        <v>2</v>
      </c>
      <c r="F494" s="3">
        <v>404</v>
      </c>
      <c r="G494" s="6" t="s">
        <v>839</v>
      </c>
      <c r="H494" s="3" t="s">
        <v>840</v>
      </c>
      <c r="I494" s="6" t="s">
        <v>483</v>
      </c>
      <c r="J494" s="3">
        <v>2</v>
      </c>
      <c r="K494" s="3">
        <v>2</v>
      </c>
      <c r="L494" s="3">
        <v>7.3</v>
      </c>
      <c r="M494" s="3"/>
      <c r="N494" s="3"/>
      <c r="O494" s="3">
        <v>2.5</v>
      </c>
      <c r="P494" s="3"/>
      <c r="Q494" s="3"/>
      <c r="R494" s="3"/>
      <c r="S494" s="3"/>
      <c r="T494" s="3"/>
      <c r="U494" s="3"/>
      <c r="V494" s="3"/>
      <c r="W494" s="3"/>
      <c r="X494" s="3" t="s">
        <v>854</v>
      </c>
      <c r="Y494" s="3"/>
    </row>
    <row r="495" spans="1:25" ht="15" customHeight="1" x14ac:dyDescent="0.3">
      <c r="A495" s="27">
        <v>45873</v>
      </c>
      <c r="B495" s="25">
        <v>32</v>
      </c>
      <c r="C495" s="3" t="s">
        <v>38</v>
      </c>
      <c r="D495" s="3" t="s">
        <v>355</v>
      </c>
      <c r="E495" s="3">
        <v>2</v>
      </c>
      <c r="F495" s="3">
        <v>172</v>
      </c>
      <c r="G495" s="6" t="s">
        <v>15</v>
      </c>
      <c r="H495" s="3" t="s">
        <v>767</v>
      </c>
      <c r="I495" s="6" t="s">
        <v>483</v>
      </c>
      <c r="J495" s="3">
        <v>4</v>
      </c>
      <c r="K495" s="3">
        <v>4</v>
      </c>
      <c r="L495" s="3">
        <v>15.79</v>
      </c>
      <c r="M495" s="3">
        <v>0.65</v>
      </c>
      <c r="N495" s="3">
        <v>10</v>
      </c>
      <c r="O495" s="3">
        <v>6.65</v>
      </c>
      <c r="P495" s="3" t="s">
        <v>848</v>
      </c>
      <c r="Q495" s="3">
        <v>170</v>
      </c>
      <c r="R495" s="3"/>
      <c r="S495" s="3"/>
      <c r="T495" s="3"/>
      <c r="U495" s="3"/>
      <c r="V495" s="3"/>
      <c r="W495" s="3"/>
      <c r="X495" s="3" t="s">
        <v>79</v>
      </c>
      <c r="Y495" s="3" t="s">
        <v>84</v>
      </c>
    </row>
    <row r="496" spans="1:25" ht="15" customHeight="1" x14ac:dyDescent="0.3">
      <c r="A496" s="27">
        <v>45873</v>
      </c>
      <c r="B496" s="25">
        <v>32</v>
      </c>
      <c r="C496" s="3" t="s">
        <v>38</v>
      </c>
      <c r="D496" s="3" t="s">
        <v>355</v>
      </c>
      <c r="E496" s="3">
        <v>2</v>
      </c>
      <c r="F496" s="3">
        <v>173</v>
      </c>
      <c r="G496" s="6" t="s">
        <v>841</v>
      </c>
      <c r="H496" s="3" t="s">
        <v>842</v>
      </c>
      <c r="I496" s="6" t="s">
        <v>483</v>
      </c>
      <c r="J496" s="3">
        <v>5</v>
      </c>
      <c r="K496" s="3">
        <v>5</v>
      </c>
      <c r="L496" s="3">
        <v>16.28</v>
      </c>
      <c r="M496" s="3">
        <v>0.9</v>
      </c>
      <c r="N496" s="3">
        <v>11</v>
      </c>
      <c r="O496" s="3">
        <v>7</v>
      </c>
      <c r="P496" s="3" t="s">
        <v>849</v>
      </c>
      <c r="Q496" s="3">
        <v>170</v>
      </c>
      <c r="R496" s="3"/>
      <c r="S496" s="3"/>
      <c r="T496" s="3"/>
      <c r="U496" s="3"/>
      <c r="V496" s="3"/>
      <c r="W496" s="3"/>
      <c r="X496" s="3" t="s">
        <v>288</v>
      </c>
      <c r="Y496" s="3" t="s">
        <v>84</v>
      </c>
    </row>
    <row r="497" spans="1:25" ht="15" customHeight="1" x14ac:dyDescent="0.3">
      <c r="A497" s="27">
        <v>45873</v>
      </c>
      <c r="B497" s="25">
        <v>32</v>
      </c>
      <c r="C497" s="3" t="s">
        <v>38</v>
      </c>
      <c r="D497" s="3" t="s">
        <v>355</v>
      </c>
      <c r="E497" s="3">
        <v>2</v>
      </c>
      <c r="F497" s="3">
        <v>174</v>
      </c>
      <c r="G497" s="6" t="s">
        <v>181</v>
      </c>
      <c r="H497" s="3" t="s">
        <v>822</v>
      </c>
      <c r="I497" s="6" t="s">
        <v>483</v>
      </c>
      <c r="J497" s="3">
        <v>5</v>
      </c>
      <c r="K497" s="3">
        <v>5</v>
      </c>
      <c r="L497" s="3">
        <v>13.72</v>
      </c>
      <c r="M497" s="3">
        <v>1</v>
      </c>
      <c r="N497" s="3">
        <v>8.15</v>
      </c>
      <c r="O497" s="3">
        <v>5</v>
      </c>
      <c r="P497" s="3" t="s">
        <v>795</v>
      </c>
      <c r="Q497" s="3">
        <v>170</v>
      </c>
      <c r="R497" s="3"/>
      <c r="S497" s="3"/>
      <c r="T497" s="3"/>
      <c r="U497" s="3"/>
      <c r="V497" s="3"/>
      <c r="W497" s="3"/>
      <c r="X497" s="3" t="s">
        <v>79</v>
      </c>
      <c r="Y497" s="3" t="s">
        <v>388</v>
      </c>
    </row>
    <row r="498" spans="1:25" ht="15" customHeight="1" x14ac:dyDescent="0.3">
      <c r="A498" s="27">
        <v>45873</v>
      </c>
      <c r="B498" s="25">
        <v>32</v>
      </c>
      <c r="C498" s="3" t="s">
        <v>38</v>
      </c>
      <c r="D498" s="3" t="s">
        <v>355</v>
      </c>
      <c r="E498" s="3">
        <v>2</v>
      </c>
      <c r="F498" s="3">
        <v>206</v>
      </c>
      <c r="G498" s="6" t="s">
        <v>772</v>
      </c>
      <c r="H498" s="3" t="s">
        <v>773</v>
      </c>
      <c r="I498" s="6" t="s">
        <v>111</v>
      </c>
      <c r="J498" s="3">
        <v>12</v>
      </c>
      <c r="K498" s="23">
        <v>11</v>
      </c>
      <c r="L498" s="3">
        <v>27.3</v>
      </c>
      <c r="M498" s="3">
        <v>18</v>
      </c>
      <c r="N498" s="3">
        <v>1.2</v>
      </c>
      <c r="O498" s="3"/>
      <c r="P498" s="3"/>
      <c r="Q498" s="3"/>
      <c r="R498" s="3" t="s">
        <v>850</v>
      </c>
      <c r="S498" s="3" t="s">
        <v>852</v>
      </c>
      <c r="T498" s="3">
        <v>0.5</v>
      </c>
      <c r="U498" s="3">
        <v>31</v>
      </c>
      <c r="V498" s="3">
        <v>45</v>
      </c>
      <c r="W498" s="3">
        <v>120</v>
      </c>
      <c r="X498" s="3" t="s">
        <v>648</v>
      </c>
      <c r="Y498" s="3" t="s">
        <v>855</v>
      </c>
    </row>
    <row r="499" spans="1:25" ht="15" customHeight="1" x14ac:dyDescent="0.3">
      <c r="A499" s="27">
        <v>45873</v>
      </c>
      <c r="B499" s="25">
        <v>32</v>
      </c>
      <c r="C499" s="3" t="s">
        <v>38</v>
      </c>
      <c r="D499" s="3" t="s">
        <v>355</v>
      </c>
      <c r="E499" s="3">
        <v>2</v>
      </c>
      <c r="F499" s="3">
        <v>207</v>
      </c>
      <c r="G499" s="6" t="s">
        <v>476</v>
      </c>
      <c r="H499" s="3" t="s">
        <v>477</v>
      </c>
      <c r="I499" s="6" t="s">
        <v>111</v>
      </c>
      <c r="J499" s="3">
        <v>12</v>
      </c>
      <c r="K499" s="23">
        <v>8</v>
      </c>
      <c r="L499" s="3">
        <v>34.130000000000003</v>
      </c>
      <c r="M499" s="3">
        <v>15</v>
      </c>
      <c r="N499" s="3"/>
      <c r="O499" s="3"/>
      <c r="P499" s="3"/>
      <c r="Q499" s="3"/>
      <c r="R499" s="3" t="s">
        <v>491</v>
      </c>
      <c r="S499" s="3" t="s">
        <v>490</v>
      </c>
      <c r="T499" s="3">
        <v>2.5</v>
      </c>
      <c r="U499" s="3">
        <v>20</v>
      </c>
      <c r="V499" s="3">
        <v>30</v>
      </c>
      <c r="W499" s="3">
        <v>140</v>
      </c>
      <c r="X499" s="3" t="s">
        <v>613</v>
      </c>
      <c r="Y499" s="3" t="s">
        <v>856</v>
      </c>
    </row>
    <row r="500" spans="1:25" ht="15" customHeight="1" x14ac:dyDescent="0.3">
      <c r="A500" s="27">
        <v>45873</v>
      </c>
      <c r="B500" s="25">
        <v>32</v>
      </c>
      <c r="C500" s="3" t="s">
        <v>38</v>
      </c>
      <c r="D500" s="3" t="s">
        <v>355</v>
      </c>
      <c r="E500" s="3">
        <v>2</v>
      </c>
      <c r="F500" s="3">
        <v>208</v>
      </c>
      <c r="G500" s="6" t="s">
        <v>26</v>
      </c>
      <c r="H500" s="3" t="s">
        <v>843</v>
      </c>
      <c r="I500" s="6" t="s">
        <v>112</v>
      </c>
      <c r="J500" s="3">
        <v>2</v>
      </c>
      <c r="K500" s="23">
        <v>1</v>
      </c>
      <c r="L500" s="3">
        <v>36.75</v>
      </c>
      <c r="M500" s="3">
        <v>20</v>
      </c>
      <c r="N500" s="3">
        <v>4</v>
      </c>
      <c r="O500" s="3"/>
      <c r="P500" s="3"/>
      <c r="Q500" s="3"/>
      <c r="R500" s="3" t="s">
        <v>851</v>
      </c>
      <c r="S500" s="3" t="s">
        <v>853</v>
      </c>
      <c r="T500" s="3">
        <v>1</v>
      </c>
      <c r="U500" s="3">
        <v>25</v>
      </c>
      <c r="V500" s="3">
        <v>30</v>
      </c>
      <c r="W500" s="3">
        <v>118</v>
      </c>
      <c r="X500" s="3" t="s">
        <v>614</v>
      </c>
      <c r="Y500" s="3"/>
    </row>
    <row r="501" spans="1:25" ht="15" customHeight="1" x14ac:dyDescent="0.3">
      <c r="A501" s="27">
        <v>45873</v>
      </c>
      <c r="B501" s="25">
        <v>32</v>
      </c>
      <c r="C501" s="3" t="s">
        <v>38</v>
      </c>
      <c r="D501" s="3" t="s">
        <v>355</v>
      </c>
      <c r="E501" s="3">
        <v>2</v>
      </c>
      <c r="F501" s="3">
        <v>209</v>
      </c>
      <c r="G501" s="6" t="s">
        <v>377</v>
      </c>
      <c r="H501" s="3" t="s">
        <v>378</v>
      </c>
      <c r="I501" s="6" t="s">
        <v>111</v>
      </c>
      <c r="J501" s="3">
        <v>8</v>
      </c>
      <c r="K501" s="23">
        <v>7</v>
      </c>
      <c r="L501" s="3">
        <v>28.4</v>
      </c>
      <c r="M501" s="3">
        <v>13</v>
      </c>
      <c r="N501" s="3">
        <v>1.5</v>
      </c>
      <c r="O501" s="3"/>
      <c r="P501" s="3"/>
      <c r="Q501" s="3"/>
      <c r="R501" s="3" t="s">
        <v>447</v>
      </c>
      <c r="S501" s="3" t="s">
        <v>827</v>
      </c>
      <c r="T501" s="3">
        <v>1</v>
      </c>
      <c r="U501" s="3">
        <v>30</v>
      </c>
      <c r="V501" s="3">
        <v>35</v>
      </c>
      <c r="W501" s="3">
        <v>95</v>
      </c>
      <c r="X501" s="3" t="s">
        <v>705</v>
      </c>
      <c r="Y501" s="3"/>
    </row>
    <row r="502" spans="1:25" ht="15" customHeight="1" x14ac:dyDescent="0.3">
      <c r="A502" s="27">
        <v>45873</v>
      </c>
      <c r="B502" s="25">
        <v>32</v>
      </c>
      <c r="C502" s="3" t="s">
        <v>38</v>
      </c>
      <c r="D502" s="3" t="s">
        <v>355</v>
      </c>
      <c r="E502" s="3">
        <v>2</v>
      </c>
      <c r="F502" s="3">
        <v>401</v>
      </c>
      <c r="G502" s="6" t="s">
        <v>844</v>
      </c>
      <c r="H502" s="3" t="s">
        <v>845</v>
      </c>
      <c r="I502" s="6" t="s">
        <v>483</v>
      </c>
      <c r="J502" s="3">
        <v>1</v>
      </c>
      <c r="K502" s="3">
        <v>1</v>
      </c>
      <c r="L502" s="3">
        <v>9.82</v>
      </c>
      <c r="M502" s="3"/>
      <c r="N502" s="3"/>
      <c r="O502" s="3">
        <v>4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" customHeight="1" x14ac:dyDescent="0.3">
      <c r="A503" s="27">
        <v>45873</v>
      </c>
      <c r="B503" s="25">
        <v>32</v>
      </c>
      <c r="C503" s="3" t="s">
        <v>38</v>
      </c>
      <c r="D503" s="3" t="s">
        <v>355</v>
      </c>
      <c r="E503" s="3">
        <v>2</v>
      </c>
      <c r="F503" s="3">
        <v>503</v>
      </c>
      <c r="G503" s="6" t="s">
        <v>846</v>
      </c>
      <c r="H503" s="3" t="s">
        <v>847</v>
      </c>
      <c r="I503" s="6" t="s">
        <v>110</v>
      </c>
      <c r="J503" s="3">
        <v>2</v>
      </c>
      <c r="K503" s="3">
        <v>2</v>
      </c>
      <c r="L503" s="3">
        <v>13.5</v>
      </c>
      <c r="M503" s="3"/>
      <c r="N503" s="3"/>
      <c r="O503" s="3">
        <v>17</v>
      </c>
      <c r="P503" s="3"/>
      <c r="Q503" s="3"/>
      <c r="R503" s="3"/>
      <c r="S503" s="3"/>
      <c r="T503" s="3"/>
      <c r="U503" s="3"/>
      <c r="V503" s="3"/>
      <c r="W503" s="3"/>
      <c r="X503" s="3" t="s">
        <v>618</v>
      </c>
      <c r="Y503" s="3"/>
    </row>
    <row r="504" spans="1:25" ht="15" customHeight="1" x14ac:dyDescent="0.3">
      <c r="A504" s="5">
        <v>45874</v>
      </c>
      <c r="B504" s="25">
        <v>32</v>
      </c>
      <c r="C504" s="3" t="s">
        <v>38</v>
      </c>
      <c r="D504" s="3" t="s">
        <v>355</v>
      </c>
      <c r="E504" s="3">
        <v>2</v>
      </c>
      <c r="F504" s="3">
        <v>103</v>
      </c>
      <c r="G504" s="6" t="s">
        <v>163</v>
      </c>
      <c r="H504" s="3" t="s">
        <v>817</v>
      </c>
      <c r="I504" s="6" t="s">
        <v>793</v>
      </c>
      <c r="J504" s="3">
        <v>5</v>
      </c>
      <c r="K504" s="3">
        <v>5</v>
      </c>
      <c r="L504" s="3">
        <v>14.95</v>
      </c>
      <c r="M504" s="3">
        <v>4</v>
      </c>
      <c r="N504" s="3">
        <v>6.7</v>
      </c>
      <c r="O504" s="3">
        <v>6</v>
      </c>
      <c r="P504" s="3">
        <v>30</v>
      </c>
      <c r="Q504" s="3">
        <v>175</v>
      </c>
      <c r="R504" s="3"/>
      <c r="S504" s="3"/>
      <c r="T504" s="3"/>
      <c r="U504" s="3"/>
      <c r="V504" s="3"/>
      <c r="W504" s="3"/>
      <c r="X504" s="3" t="s">
        <v>79</v>
      </c>
      <c r="Y504" s="3" t="s">
        <v>254</v>
      </c>
    </row>
    <row r="505" spans="1:25" ht="15" customHeight="1" x14ac:dyDescent="0.3">
      <c r="A505" s="5">
        <v>45874</v>
      </c>
      <c r="B505" s="25">
        <v>32</v>
      </c>
      <c r="C505" s="3" t="s">
        <v>38</v>
      </c>
      <c r="D505" s="3" t="s">
        <v>355</v>
      </c>
      <c r="E505" s="3">
        <v>2</v>
      </c>
      <c r="F505" s="3">
        <v>104</v>
      </c>
      <c r="G505" s="6" t="s">
        <v>834</v>
      </c>
      <c r="H505" s="3" t="s">
        <v>835</v>
      </c>
      <c r="I505" s="6" t="s">
        <v>793</v>
      </c>
      <c r="J505" s="3">
        <v>6</v>
      </c>
      <c r="K505" s="3">
        <v>6</v>
      </c>
      <c r="L505" s="3">
        <v>15.85</v>
      </c>
      <c r="M505" s="3">
        <v>5.5</v>
      </c>
      <c r="N505" s="3">
        <v>5.3</v>
      </c>
      <c r="O505" s="3">
        <v>5</v>
      </c>
      <c r="P505" s="3">
        <v>28</v>
      </c>
      <c r="Q505" s="3">
        <v>170</v>
      </c>
      <c r="R505" s="3"/>
      <c r="S505" s="3"/>
      <c r="T505" s="3"/>
      <c r="U505" s="3"/>
      <c r="V505" s="3"/>
      <c r="W505" s="3"/>
      <c r="X505" s="3" t="s">
        <v>496</v>
      </c>
      <c r="Y505" s="3" t="s">
        <v>84</v>
      </c>
    </row>
    <row r="506" spans="1:25" ht="15" customHeight="1" x14ac:dyDescent="0.3">
      <c r="A506" s="5">
        <v>45874</v>
      </c>
      <c r="B506" s="25">
        <v>32</v>
      </c>
      <c r="C506" s="3" t="s">
        <v>38</v>
      </c>
      <c r="D506" s="3" t="s">
        <v>355</v>
      </c>
      <c r="E506" s="3">
        <v>2</v>
      </c>
      <c r="F506" s="3">
        <v>162</v>
      </c>
      <c r="G506" s="6" t="s">
        <v>9</v>
      </c>
      <c r="H506" s="3" t="s">
        <v>836</v>
      </c>
      <c r="I506" s="6" t="s">
        <v>483</v>
      </c>
      <c r="J506" s="3">
        <v>2</v>
      </c>
      <c r="K506" s="3">
        <v>2</v>
      </c>
      <c r="L506" s="3">
        <v>21</v>
      </c>
      <c r="M506" s="3">
        <v>3</v>
      </c>
      <c r="N506" s="3">
        <v>6</v>
      </c>
      <c r="O506" s="3">
        <v>2.6</v>
      </c>
      <c r="P506" s="3">
        <v>28</v>
      </c>
      <c r="Q506" s="3">
        <v>170</v>
      </c>
      <c r="R506" s="3"/>
      <c r="S506" s="3"/>
      <c r="T506" s="3"/>
      <c r="U506" s="3"/>
      <c r="V506" s="3"/>
      <c r="W506" s="3"/>
      <c r="X506" s="3" t="s">
        <v>527</v>
      </c>
      <c r="Y506" s="3" t="s">
        <v>505</v>
      </c>
    </row>
    <row r="507" spans="1:25" ht="15" customHeight="1" x14ac:dyDescent="0.3">
      <c r="A507" s="5">
        <v>45874</v>
      </c>
      <c r="B507" s="25">
        <v>32</v>
      </c>
      <c r="C507" s="3" t="s">
        <v>38</v>
      </c>
      <c r="D507" s="3" t="s">
        <v>355</v>
      </c>
      <c r="E507" s="3">
        <v>2</v>
      </c>
      <c r="F507" s="3">
        <v>163</v>
      </c>
      <c r="G507" s="6" t="s">
        <v>361</v>
      </c>
      <c r="H507" s="3" t="s">
        <v>820</v>
      </c>
      <c r="I507" s="6" t="s">
        <v>483</v>
      </c>
      <c r="J507" s="3">
        <v>2</v>
      </c>
      <c r="K507" s="3">
        <v>2</v>
      </c>
      <c r="L507" s="3">
        <v>24</v>
      </c>
      <c r="M507" s="3">
        <v>6</v>
      </c>
      <c r="N507" s="3">
        <v>10.5</v>
      </c>
      <c r="O507" s="3">
        <v>4.4000000000000004</v>
      </c>
      <c r="P507" s="3">
        <v>26</v>
      </c>
      <c r="Q507" s="3">
        <v>175</v>
      </c>
      <c r="R507" s="3"/>
      <c r="S507" s="3"/>
      <c r="T507" s="3"/>
      <c r="U507" s="3"/>
      <c r="V507" s="3"/>
      <c r="W507" s="3"/>
      <c r="X507" s="3" t="s">
        <v>388</v>
      </c>
      <c r="Y507" s="3" t="s">
        <v>152</v>
      </c>
    </row>
    <row r="508" spans="1:25" ht="15" customHeight="1" x14ac:dyDescent="0.3">
      <c r="A508" s="5">
        <v>45874</v>
      </c>
      <c r="B508" s="25">
        <v>32</v>
      </c>
      <c r="C508" s="3" t="s">
        <v>38</v>
      </c>
      <c r="D508" s="3" t="s">
        <v>355</v>
      </c>
      <c r="E508" s="3">
        <v>2</v>
      </c>
      <c r="F508" s="3">
        <v>164</v>
      </c>
      <c r="G508" s="6" t="s">
        <v>467</v>
      </c>
      <c r="H508" s="3" t="s">
        <v>858</v>
      </c>
      <c r="I508" s="6" t="s">
        <v>483</v>
      </c>
      <c r="J508" s="3">
        <v>2</v>
      </c>
      <c r="K508" s="3">
        <v>2</v>
      </c>
      <c r="L508" s="3">
        <v>25.49</v>
      </c>
      <c r="M508" s="3">
        <v>7.5</v>
      </c>
      <c r="N508" s="3">
        <v>10</v>
      </c>
      <c r="O508" s="3">
        <v>4</v>
      </c>
      <c r="P508" s="3"/>
      <c r="Q508" s="3">
        <v>175</v>
      </c>
      <c r="R508" s="3"/>
      <c r="S508" s="3"/>
      <c r="T508" s="3"/>
      <c r="U508" s="3"/>
      <c r="V508" s="3"/>
      <c r="W508" s="3"/>
      <c r="X508" s="3" t="s">
        <v>84</v>
      </c>
      <c r="Y508" s="3" t="s">
        <v>152</v>
      </c>
    </row>
    <row r="509" spans="1:25" ht="15" customHeight="1" x14ac:dyDescent="0.3">
      <c r="A509" s="5">
        <v>45874</v>
      </c>
      <c r="B509" s="25">
        <v>32</v>
      </c>
      <c r="C509" s="3" t="s">
        <v>38</v>
      </c>
      <c r="D509" s="3" t="s">
        <v>355</v>
      </c>
      <c r="E509" s="3">
        <v>2</v>
      </c>
      <c r="F509" s="3">
        <v>404</v>
      </c>
      <c r="G509" s="6" t="s">
        <v>839</v>
      </c>
      <c r="H509" s="3" t="s">
        <v>840</v>
      </c>
      <c r="I509" s="6" t="s">
        <v>483</v>
      </c>
      <c r="J509" s="3">
        <v>2</v>
      </c>
      <c r="K509" s="3">
        <v>2</v>
      </c>
      <c r="L509" s="3">
        <v>7.3</v>
      </c>
      <c r="M509" s="3"/>
      <c r="N509" s="3"/>
      <c r="O509" s="3">
        <v>2.5</v>
      </c>
      <c r="P509" s="3"/>
      <c r="Q509" s="3"/>
      <c r="R509" s="3"/>
      <c r="S509" s="3"/>
      <c r="T509" s="3"/>
      <c r="U509" s="3"/>
      <c r="V509" s="3"/>
      <c r="W509" s="3"/>
      <c r="X509" s="3" t="s">
        <v>854</v>
      </c>
      <c r="Y509" s="3"/>
    </row>
    <row r="510" spans="1:25" ht="15" customHeight="1" x14ac:dyDescent="0.3">
      <c r="A510" s="5">
        <v>45874</v>
      </c>
      <c r="B510" s="25">
        <v>32</v>
      </c>
      <c r="C510" s="3" t="s">
        <v>38</v>
      </c>
      <c r="D510" s="3" t="s">
        <v>355</v>
      </c>
      <c r="E510" s="3">
        <v>2</v>
      </c>
      <c r="F510" s="3">
        <v>405</v>
      </c>
      <c r="G510" s="6" t="s">
        <v>14</v>
      </c>
      <c r="H510" s="3" t="s">
        <v>766</v>
      </c>
      <c r="I510" s="6" t="s">
        <v>483</v>
      </c>
      <c r="J510" s="3">
        <v>2</v>
      </c>
      <c r="K510" s="3">
        <v>2</v>
      </c>
      <c r="L510" s="3">
        <v>8.8000000000000007</v>
      </c>
      <c r="M510" s="3"/>
      <c r="N510" s="3"/>
      <c r="O510" s="3">
        <v>3.5</v>
      </c>
      <c r="P510" s="3"/>
      <c r="Q510" s="3"/>
      <c r="R510" s="3"/>
      <c r="S510" s="3"/>
      <c r="T510" s="3"/>
      <c r="U510" s="3"/>
      <c r="V510" s="3"/>
      <c r="W510" s="3"/>
      <c r="X510" s="3" t="s">
        <v>870</v>
      </c>
      <c r="Y510" s="3"/>
    </row>
    <row r="511" spans="1:25" ht="15" customHeight="1" x14ac:dyDescent="0.3">
      <c r="A511" s="5">
        <v>45874</v>
      </c>
      <c r="B511" s="25">
        <v>32</v>
      </c>
      <c r="C511" s="3" t="s">
        <v>38</v>
      </c>
      <c r="D511" s="3" t="s">
        <v>355</v>
      </c>
      <c r="E511" s="3">
        <v>2</v>
      </c>
      <c r="F511" s="3">
        <v>172</v>
      </c>
      <c r="G511" s="6" t="s">
        <v>859</v>
      </c>
      <c r="H511" s="3" t="s">
        <v>860</v>
      </c>
      <c r="I511" s="6" t="s">
        <v>483</v>
      </c>
      <c r="J511" s="3">
        <v>4</v>
      </c>
      <c r="K511" s="3">
        <v>4</v>
      </c>
      <c r="L511" s="3">
        <v>17.760000000000002</v>
      </c>
      <c r="M511" s="3">
        <v>2.5</v>
      </c>
      <c r="N511" s="3">
        <v>11</v>
      </c>
      <c r="O511" s="3">
        <v>6.65</v>
      </c>
      <c r="P511" s="3" t="s">
        <v>864</v>
      </c>
      <c r="Q511" s="3">
        <v>170</v>
      </c>
      <c r="R511" s="3"/>
      <c r="S511" s="3"/>
      <c r="T511" s="3"/>
      <c r="U511" s="3"/>
      <c r="V511" s="3"/>
      <c r="W511" s="3"/>
      <c r="X511" s="3" t="s">
        <v>254</v>
      </c>
      <c r="Y511" s="3" t="s">
        <v>80</v>
      </c>
    </row>
    <row r="512" spans="1:25" ht="15" customHeight="1" x14ac:dyDescent="0.3">
      <c r="A512" s="5">
        <v>45874</v>
      </c>
      <c r="B512" s="25">
        <v>32</v>
      </c>
      <c r="C512" s="3" t="s">
        <v>38</v>
      </c>
      <c r="D512" s="3" t="s">
        <v>355</v>
      </c>
      <c r="E512" s="3">
        <v>2</v>
      </c>
      <c r="F512" s="3">
        <v>173</v>
      </c>
      <c r="G512" s="6" t="s">
        <v>841</v>
      </c>
      <c r="H512" s="3" t="s">
        <v>842</v>
      </c>
      <c r="I512" s="6" t="s">
        <v>483</v>
      </c>
      <c r="J512" s="3">
        <v>5</v>
      </c>
      <c r="K512" s="3">
        <v>5</v>
      </c>
      <c r="L512" s="3">
        <v>16.29</v>
      </c>
      <c r="M512" s="3">
        <v>1</v>
      </c>
      <c r="N512" s="3">
        <v>11</v>
      </c>
      <c r="O512" s="3">
        <v>7</v>
      </c>
      <c r="P512" s="3" t="s">
        <v>849</v>
      </c>
      <c r="Q512" s="3">
        <v>170</v>
      </c>
      <c r="R512" s="3"/>
      <c r="S512" s="3"/>
      <c r="T512" s="3"/>
      <c r="U512" s="3"/>
      <c r="V512" s="3"/>
      <c r="W512" s="3"/>
      <c r="X512" s="3" t="s">
        <v>288</v>
      </c>
      <c r="Y512" s="3" t="s">
        <v>84</v>
      </c>
    </row>
    <row r="513" spans="1:25" ht="15" customHeight="1" x14ac:dyDescent="0.3">
      <c r="A513" s="5">
        <v>45874</v>
      </c>
      <c r="B513" s="25">
        <v>32</v>
      </c>
      <c r="C513" s="3" t="s">
        <v>38</v>
      </c>
      <c r="D513" s="3" t="s">
        <v>355</v>
      </c>
      <c r="E513" s="3">
        <v>2</v>
      </c>
      <c r="F513" s="3">
        <v>174</v>
      </c>
      <c r="G513" s="6" t="s">
        <v>181</v>
      </c>
      <c r="H513" s="3" t="s">
        <v>822</v>
      </c>
      <c r="I513" s="6" t="s">
        <v>483</v>
      </c>
      <c r="J513" s="3">
        <v>5</v>
      </c>
      <c r="K513" s="3">
        <v>5</v>
      </c>
      <c r="L513" s="3">
        <v>13.78</v>
      </c>
      <c r="M513" s="3">
        <v>1</v>
      </c>
      <c r="N513" s="3">
        <v>8.15</v>
      </c>
      <c r="O513" s="3">
        <v>5</v>
      </c>
      <c r="P513" s="3" t="s">
        <v>795</v>
      </c>
      <c r="Q513" s="3">
        <v>170</v>
      </c>
      <c r="R513" s="3"/>
      <c r="S513" s="3"/>
      <c r="T513" s="3"/>
      <c r="U513" s="3"/>
      <c r="V513" s="3"/>
      <c r="W513" s="3"/>
      <c r="X513" s="3" t="s">
        <v>79</v>
      </c>
      <c r="Y513" s="3" t="s">
        <v>388</v>
      </c>
    </row>
    <row r="514" spans="1:25" ht="15" customHeight="1" x14ac:dyDescent="0.3">
      <c r="A514" s="5">
        <v>45874</v>
      </c>
      <c r="B514" s="25">
        <v>32</v>
      </c>
      <c r="C514" s="3" t="s">
        <v>38</v>
      </c>
      <c r="D514" s="3" t="s">
        <v>355</v>
      </c>
      <c r="E514" s="3">
        <v>2</v>
      </c>
      <c r="F514" s="3">
        <v>177</v>
      </c>
      <c r="G514" s="6" t="s">
        <v>18</v>
      </c>
      <c r="H514" s="3" t="s">
        <v>861</v>
      </c>
      <c r="I514" s="6" t="s">
        <v>483</v>
      </c>
      <c r="J514" s="3">
        <v>3</v>
      </c>
      <c r="K514" s="3">
        <v>3</v>
      </c>
      <c r="L514" s="3">
        <v>14.55</v>
      </c>
      <c r="M514" s="3">
        <v>4</v>
      </c>
      <c r="N514" s="3">
        <v>7</v>
      </c>
      <c r="O514" s="3">
        <v>4.2</v>
      </c>
      <c r="P514" s="3"/>
      <c r="Q514" s="3">
        <v>165</v>
      </c>
      <c r="R514" s="3"/>
      <c r="S514" s="3"/>
      <c r="T514" s="3"/>
      <c r="U514" s="3"/>
      <c r="V514" s="3"/>
      <c r="W514" s="3"/>
      <c r="X514" s="3" t="s">
        <v>253</v>
      </c>
      <c r="Y514" s="3" t="s">
        <v>87</v>
      </c>
    </row>
    <row r="515" spans="1:25" ht="15" customHeight="1" x14ac:dyDescent="0.3">
      <c r="A515" s="5">
        <v>45874</v>
      </c>
      <c r="B515" s="25">
        <v>32</v>
      </c>
      <c r="C515" s="3" t="s">
        <v>38</v>
      </c>
      <c r="D515" s="3" t="s">
        <v>355</v>
      </c>
      <c r="E515" s="3">
        <v>2</v>
      </c>
      <c r="F515" s="3">
        <v>132</v>
      </c>
      <c r="G515" s="6" t="s">
        <v>781</v>
      </c>
      <c r="H515" s="3" t="s">
        <v>782</v>
      </c>
      <c r="I515" s="6" t="s">
        <v>483</v>
      </c>
      <c r="J515" s="3">
        <v>3</v>
      </c>
      <c r="K515" s="3">
        <v>3</v>
      </c>
      <c r="L515" s="3">
        <v>21.23</v>
      </c>
      <c r="M515" s="3">
        <v>4.3</v>
      </c>
      <c r="N515" s="3">
        <v>11.3</v>
      </c>
      <c r="O515" s="3">
        <v>7.5</v>
      </c>
      <c r="P515" s="3"/>
      <c r="Q515" s="3">
        <v>170</v>
      </c>
      <c r="R515" s="3"/>
      <c r="S515" s="3"/>
      <c r="T515" s="3"/>
      <c r="U515" s="3"/>
      <c r="V515" s="3"/>
      <c r="W515" s="3"/>
      <c r="X515" s="3" t="s">
        <v>733</v>
      </c>
      <c r="Y515" s="3" t="s">
        <v>872</v>
      </c>
    </row>
    <row r="516" spans="1:25" ht="15" customHeight="1" x14ac:dyDescent="0.3">
      <c r="A516" s="5">
        <v>45874</v>
      </c>
      <c r="B516" s="25">
        <v>32</v>
      </c>
      <c r="C516" s="3" t="s">
        <v>38</v>
      </c>
      <c r="D516" s="3" t="s">
        <v>355</v>
      </c>
      <c r="E516" s="3">
        <v>2</v>
      </c>
      <c r="F516" s="3">
        <v>204</v>
      </c>
      <c r="G516" s="6" t="s">
        <v>791</v>
      </c>
      <c r="H516" s="3" t="s">
        <v>792</v>
      </c>
      <c r="I516" s="6" t="s">
        <v>111</v>
      </c>
      <c r="J516" s="3">
        <v>4</v>
      </c>
      <c r="K516" s="23">
        <v>3</v>
      </c>
      <c r="L516" s="3">
        <v>21.4</v>
      </c>
      <c r="M516" s="3">
        <v>8</v>
      </c>
      <c r="N516" s="3">
        <v>3</v>
      </c>
      <c r="O516" s="3"/>
      <c r="P516" s="3"/>
      <c r="Q516" s="3"/>
      <c r="R516" s="3" t="s">
        <v>865</v>
      </c>
      <c r="S516" s="3" t="s">
        <v>799</v>
      </c>
      <c r="T516" s="3">
        <v>2</v>
      </c>
      <c r="U516" s="3">
        <v>15</v>
      </c>
      <c r="V516" s="3">
        <v>20</v>
      </c>
      <c r="W516" s="3">
        <v>135</v>
      </c>
      <c r="X516" s="3" t="s">
        <v>809</v>
      </c>
      <c r="Y516" s="3" t="s">
        <v>873</v>
      </c>
    </row>
    <row r="517" spans="1:25" ht="15" customHeight="1" x14ac:dyDescent="0.3">
      <c r="A517" s="5">
        <v>45874</v>
      </c>
      <c r="B517" s="25">
        <v>32</v>
      </c>
      <c r="C517" s="3" t="s">
        <v>38</v>
      </c>
      <c r="D517" s="3" t="s">
        <v>355</v>
      </c>
      <c r="E517" s="3">
        <v>2</v>
      </c>
      <c r="F517" s="3">
        <v>206</v>
      </c>
      <c r="G517" s="6" t="s">
        <v>772</v>
      </c>
      <c r="H517" s="3" t="s">
        <v>773</v>
      </c>
      <c r="I517" s="6" t="s">
        <v>111</v>
      </c>
      <c r="J517" s="3">
        <v>12</v>
      </c>
      <c r="K517" s="23">
        <v>11</v>
      </c>
      <c r="L517" s="3">
        <v>28.3</v>
      </c>
      <c r="M517" s="3">
        <v>19</v>
      </c>
      <c r="N517" s="3">
        <v>1.2</v>
      </c>
      <c r="O517" s="3"/>
      <c r="P517" s="3"/>
      <c r="Q517" s="3"/>
      <c r="R517" s="3" t="s">
        <v>850</v>
      </c>
      <c r="S517" s="3" t="s">
        <v>605</v>
      </c>
      <c r="T517" s="3">
        <v>0.5</v>
      </c>
      <c r="U517" s="3">
        <v>31</v>
      </c>
      <c r="V517" s="3">
        <v>45</v>
      </c>
      <c r="W517" s="3">
        <v>120</v>
      </c>
      <c r="X517" s="3" t="s">
        <v>648</v>
      </c>
      <c r="Y517" s="3" t="s">
        <v>874</v>
      </c>
    </row>
    <row r="518" spans="1:25" ht="15" customHeight="1" x14ac:dyDescent="0.3">
      <c r="A518" s="5">
        <v>45874</v>
      </c>
      <c r="B518" s="25">
        <v>32</v>
      </c>
      <c r="C518" s="3" t="s">
        <v>38</v>
      </c>
      <c r="D518" s="3" t="s">
        <v>355</v>
      </c>
      <c r="E518" s="3">
        <v>2</v>
      </c>
      <c r="F518" s="3">
        <v>207</v>
      </c>
      <c r="G518" s="6" t="s">
        <v>476</v>
      </c>
      <c r="H518" s="3" t="s">
        <v>477</v>
      </c>
      <c r="I518" s="6" t="s">
        <v>111</v>
      </c>
      <c r="J518" s="3">
        <v>12</v>
      </c>
      <c r="K518" s="23">
        <v>8</v>
      </c>
      <c r="L518" s="3">
        <v>34.299999999999997</v>
      </c>
      <c r="M518" s="3">
        <v>15</v>
      </c>
      <c r="N518" s="3">
        <v>3.15</v>
      </c>
      <c r="O518" s="3"/>
      <c r="P518" s="3"/>
      <c r="Q518" s="3"/>
      <c r="R518" s="3" t="s">
        <v>284</v>
      </c>
      <c r="S518" s="3" t="s">
        <v>868</v>
      </c>
      <c r="T518" s="3">
        <v>2.5</v>
      </c>
      <c r="U518" s="3">
        <v>20</v>
      </c>
      <c r="V518" s="3">
        <v>30</v>
      </c>
      <c r="W518" s="3">
        <v>140</v>
      </c>
      <c r="X518" s="3" t="s">
        <v>613</v>
      </c>
      <c r="Y518" s="3" t="s">
        <v>856</v>
      </c>
    </row>
    <row r="519" spans="1:25" ht="15" customHeight="1" x14ac:dyDescent="0.3">
      <c r="A519" s="5">
        <v>45874</v>
      </c>
      <c r="B519" s="25">
        <v>32</v>
      </c>
      <c r="C519" s="3" t="s">
        <v>38</v>
      </c>
      <c r="D519" s="3" t="s">
        <v>355</v>
      </c>
      <c r="E519" s="3">
        <v>2</v>
      </c>
      <c r="F519" s="3">
        <v>208</v>
      </c>
      <c r="G519" s="6" t="s">
        <v>26</v>
      </c>
      <c r="H519" s="3" t="s">
        <v>843</v>
      </c>
      <c r="I519" s="6" t="s">
        <v>112</v>
      </c>
      <c r="J519" s="3">
        <v>2</v>
      </c>
      <c r="K519" s="3">
        <v>2</v>
      </c>
      <c r="L519" s="3">
        <v>37.479999999999997</v>
      </c>
      <c r="M519" s="3">
        <v>20</v>
      </c>
      <c r="N519" s="3">
        <v>3</v>
      </c>
      <c r="O519" s="3"/>
      <c r="P519" s="3"/>
      <c r="Q519" s="3"/>
      <c r="R519" s="3" t="s">
        <v>866</v>
      </c>
      <c r="S519" s="3" t="s">
        <v>853</v>
      </c>
      <c r="T519" s="3">
        <v>1</v>
      </c>
      <c r="U519" s="3">
        <v>25</v>
      </c>
      <c r="V519" s="3">
        <v>30</v>
      </c>
      <c r="W519" s="3">
        <v>118</v>
      </c>
      <c r="X519" s="3" t="s">
        <v>614</v>
      </c>
      <c r="Y519" s="3"/>
    </row>
    <row r="520" spans="1:25" ht="15" customHeight="1" x14ac:dyDescent="0.3">
      <c r="A520" s="5">
        <v>45874</v>
      </c>
      <c r="B520" s="25">
        <v>32</v>
      </c>
      <c r="C520" s="3" t="s">
        <v>38</v>
      </c>
      <c r="D520" s="3" t="s">
        <v>355</v>
      </c>
      <c r="E520" s="3">
        <v>2</v>
      </c>
      <c r="F520" s="3">
        <v>209</v>
      </c>
      <c r="G520" s="6" t="s">
        <v>377</v>
      </c>
      <c r="H520" s="3" t="s">
        <v>378</v>
      </c>
      <c r="I520" s="6" t="s">
        <v>111</v>
      </c>
      <c r="J520" s="3">
        <v>8</v>
      </c>
      <c r="K520" s="23">
        <v>7</v>
      </c>
      <c r="L520" s="3">
        <v>28.4</v>
      </c>
      <c r="M520" s="3">
        <v>13</v>
      </c>
      <c r="N520" s="3">
        <v>1.5</v>
      </c>
      <c r="O520" s="3"/>
      <c r="P520" s="3"/>
      <c r="Q520" s="3"/>
      <c r="R520" s="3" t="s">
        <v>447</v>
      </c>
      <c r="S520" s="3" t="s">
        <v>827</v>
      </c>
      <c r="T520" s="3">
        <v>1</v>
      </c>
      <c r="U520" s="3">
        <v>30</v>
      </c>
      <c r="V520" s="3">
        <v>35</v>
      </c>
      <c r="W520" s="3">
        <v>95</v>
      </c>
      <c r="X520" s="3" t="s">
        <v>705</v>
      </c>
      <c r="Y520" s="3"/>
    </row>
    <row r="521" spans="1:25" ht="15" customHeight="1" x14ac:dyDescent="0.3">
      <c r="A521" s="5">
        <v>45874</v>
      </c>
      <c r="B521" s="25">
        <v>32</v>
      </c>
      <c r="C521" s="3" t="s">
        <v>38</v>
      </c>
      <c r="D521" s="3" t="s">
        <v>355</v>
      </c>
      <c r="E521" s="3">
        <v>2</v>
      </c>
      <c r="F521" s="3">
        <v>210</v>
      </c>
      <c r="G521" s="6" t="s">
        <v>862</v>
      </c>
      <c r="H521" s="3" t="s">
        <v>863</v>
      </c>
      <c r="I521" s="6" t="s">
        <v>111</v>
      </c>
      <c r="J521" s="3">
        <v>4</v>
      </c>
      <c r="K521" s="23">
        <v>3</v>
      </c>
      <c r="L521" s="3">
        <v>19.7</v>
      </c>
      <c r="M521" s="3">
        <v>6</v>
      </c>
      <c r="N521" s="3">
        <v>4</v>
      </c>
      <c r="O521" s="3"/>
      <c r="P521" s="3"/>
      <c r="Q521" s="3"/>
      <c r="R521" s="3" t="s">
        <v>867</v>
      </c>
      <c r="S521" s="3" t="s">
        <v>869</v>
      </c>
      <c r="T521" s="3">
        <v>1</v>
      </c>
      <c r="U521" s="3">
        <v>20</v>
      </c>
      <c r="V521" s="3">
        <v>30</v>
      </c>
      <c r="W521" s="3">
        <v>100</v>
      </c>
      <c r="X521" s="3" t="s">
        <v>871</v>
      </c>
      <c r="Y521" s="3" t="s">
        <v>857</v>
      </c>
    </row>
    <row r="522" spans="1:25" ht="15" customHeight="1" x14ac:dyDescent="0.3">
      <c r="A522" s="5">
        <v>45874</v>
      </c>
      <c r="B522" s="25">
        <v>32</v>
      </c>
      <c r="C522" s="3" t="s">
        <v>38</v>
      </c>
      <c r="D522" s="3" t="s">
        <v>355</v>
      </c>
      <c r="E522" s="3">
        <v>2</v>
      </c>
      <c r="F522" s="3">
        <v>503</v>
      </c>
      <c r="G522" s="6" t="s">
        <v>846</v>
      </c>
      <c r="H522" s="3" t="s">
        <v>847</v>
      </c>
      <c r="I522" s="6" t="s">
        <v>110</v>
      </c>
      <c r="J522" s="3">
        <v>2</v>
      </c>
      <c r="K522" s="3">
        <v>2</v>
      </c>
      <c r="L522" s="3">
        <v>13.5</v>
      </c>
      <c r="M522" s="3"/>
      <c r="N522" s="3"/>
      <c r="O522" s="3">
        <v>17</v>
      </c>
      <c r="P522" s="3"/>
      <c r="Q522" s="3"/>
      <c r="R522" s="3"/>
      <c r="S522" s="3"/>
      <c r="T522" s="3"/>
      <c r="U522" s="3"/>
      <c r="V522" s="3"/>
      <c r="W522" s="3"/>
      <c r="X522" s="3" t="s">
        <v>618</v>
      </c>
      <c r="Y522" s="3"/>
    </row>
    <row r="523" spans="1:25" ht="15" customHeight="1" x14ac:dyDescent="0.3">
      <c r="A523" s="27">
        <v>45875</v>
      </c>
      <c r="B523" s="25">
        <v>32</v>
      </c>
      <c r="C523" s="3" t="s">
        <v>38</v>
      </c>
      <c r="D523" s="3" t="s">
        <v>355</v>
      </c>
      <c r="E523" s="3">
        <v>2</v>
      </c>
      <c r="F523" s="3">
        <v>103</v>
      </c>
      <c r="G523" s="6" t="s">
        <v>163</v>
      </c>
      <c r="H523" s="3" t="s">
        <v>817</v>
      </c>
      <c r="I523" s="6" t="s">
        <v>793</v>
      </c>
      <c r="J523" s="3">
        <v>5</v>
      </c>
      <c r="K523" s="3">
        <v>5</v>
      </c>
      <c r="L523" s="3">
        <v>14.7</v>
      </c>
      <c r="M523" s="3">
        <v>3.8</v>
      </c>
      <c r="N523" s="3">
        <v>6.7</v>
      </c>
      <c r="O523" s="3">
        <v>5.8</v>
      </c>
      <c r="P523" s="3">
        <v>30</v>
      </c>
      <c r="Q523" s="3">
        <v>170</v>
      </c>
      <c r="R523" s="3"/>
      <c r="S523" s="3"/>
      <c r="T523" s="3"/>
      <c r="U523" s="3"/>
      <c r="V523" s="3"/>
      <c r="W523" s="3"/>
      <c r="X523" s="3" t="s">
        <v>79</v>
      </c>
      <c r="Y523" s="3" t="s">
        <v>254</v>
      </c>
    </row>
    <row r="524" spans="1:25" ht="15" customHeight="1" x14ac:dyDescent="0.3">
      <c r="A524" s="27">
        <v>45875</v>
      </c>
      <c r="B524" s="25">
        <v>32</v>
      </c>
      <c r="C524" s="3" t="s">
        <v>38</v>
      </c>
      <c r="D524" s="3" t="s">
        <v>355</v>
      </c>
      <c r="E524" s="3">
        <v>2</v>
      </c>
      <c r="F524" s="3">
        <v>161</v>
      </c>
      <c r="G524" s="6" t="s">
        <v>875</v>
      </c>
      <c r="H524" s="3" t="s">
        <v>876</v>
      </c>
      <c r="I524" s="6" t="s">
        <v>483</v>
      </c>
      <c r="J524" s="3">
        <v>2</v>
      </c>
      <c r="K524" s="3">
        <v>2</v>
      </c>
      <c r="L524" s="3">
        <v>22</v>
      </c>
      <c r="M524" s="3">
        <v>7.5</v>
      </c>
      <c r="N524" s="3">
        <v>10</v>
      </c>
      <c r="O524" s="3">
        <v>2.8</v>
      </c>
      <c r="P524" s="3">
        <v>42</v>
      </c>
      <c r="Q524" s="3">
        <v>180</v>
      </c>
      <c r="R524" s="3"/>
      <c r="S524" s="3"/>
      <c r="T524" s="3"/>
      <c r="U524" s="3"/>
      <c r="V524" s="3"/>
      <c r="W524" s="3"/>
      <c r="X524" s="3" t="s">
        <v>388</v>
      </c>
      <c r="Y524" s="3" t="s">
        <v>905</v>
      </c>
    </row>
    <row r="525" spans="1:25" ht="15" customHeight="1" x14ac:dyDescent="0.3">
      <c r="A525" s="27">
        <v>45875</v>
      </c>
      <c r="B525" s="25">
        <v>32</v>
      </c>
      <c r="C525" s="3" t="s">
        <v>38</v>
      </c>
      <c r="D525" s="3" t="s">
        <v>355</v>
      </c>
      <c r="E525" s="3">
        <v>2</v>
      </c>
      <c r="F525" s="3">
        <v>162</v>
      </c>
      <c r="G525" s="6" t="s">
        <v>9</v>
      </c>
      <c r="H525" s="3" t="s">
        <v>836</v>
      </c>
      <c r="I525" s="6" t="s">
        <v>483</v>
      </c>
      <c r="J525" s="3">
        <v>2</v>
      </c>
      <c r="K525" s="3">
        <v>2</v>
      </c>
      <c r="L525" s="3">
        <v>21</v>
      </c>
      <c r="M525" s="3">
        <v>3</v>
      </c>
      <c r="N525" s="3">
        <v>6</v>
      </c>
      <c r="O525" s="3">
        <v>2.6</v>
      </c>
      <c r="P525" s="3">
        <v>28</v>
      </c>
      <c r="Q525" s="3">
        <v>170</v>
      </c>
      <c r="R525" s="3"/>
      <c r="S525" s="3"/>
      <c r="T525" s="3"/>
      <c r="U525" s="3"/>
      <c r="V525" s="3"/>
      <c r="W525" s="3"/>
      <c r="X525" s="3" t="s">
        <v>527</v>
      </c>
      <c r="Y525" s="3" t="s">
        <v>505</v>
      </c>
    </row>
    <row r="526" spans="1:25" ht="15" customHeight="1" x14ac:dyDescent="0.3">
      <c r="A526" s="27">
        <v>45875</v>
      </c>
      <c r="B526" s="25">
        <v>32</v>
      </c>
      <c r="C526" s="3" t="s">
        <v>38</v>
      </c>
      <c r="D526" s="3" t="s">
        <v>355</v>
      </c>
      <c r="E526" s="3">
        <v>2</v>
      </c>
      <c r="F526" s="3">
        <v>163</v>
      </c>
      <c r="G526" s="6" t="s">
        <v>361</v>
      </c>
      <c r="H526" s="3" t="s">
        <v>820</v>
      </c>
      <c r="I526" s="6" t="s">
        <v>483</v>
      </c>
      <c r="J526" s="3">
        <v>2</v>
      </c>
      <c r="K526" s="3">
        <v>2</v>
      </c>
      <c r="L526" s="3">
        <v>24</v>
      </c>
      <c r="M526" s="3">
        <v>6</v>
      </c>
      <c r="N526" s="3">
        <v>10.5</v>
      </c>
      <c r="O526" s="3">
        <v>4.5</v>
      </c>
      <c r="P526" s="3">
        <v>34</v>
      </c>
      <c r="Q526" s="3">
        <v>175</v>
      </c>
      <c r="R526" s="3"/>
      <c r="S526" s="3"/>
      <c r="T526" s="3"/>
      <c r="U526" s="3"/>
      <c r="V526" s="3"/>
      <c r="W526" s="3"/>
      <c r="X526" s="3" t="s">
        <v>388</v>
      </c>
      <c r="Y526" s="3" t="s">
        <v>152</v>
      </c>
    </row>
    <row r="527" spans="1:25" ht="15" customHeight="1" x14ac:dyDescent="0.3">
      <c r="A527" s="27">
        <v>45875</v>
      </c>
      <c r="B527" s="25">
        <v>32</v>
      </c>
      <c r="C527" s="3" t="s">
        <v>38</v>
      </c>
      <c r="D527" s="3" t="s">
        <v>355</v>
      </c>
      <c r="E527" s="3">
        <v>2</v>
      </c>
      <c r="F527" s="3">
        <v>164</v>
      </c>
      <c r="G527" s="6" t="s">
        <v>467</v>
      </c>
      <c r="H527" s="3" t="s">
        <v>858</v>
      </c>
      <c r="I527" s="6" t="s">
        <v>483</v>
      </c>
      <c r="J527" s="3">
        <v>2</v>
      </c>
      <c r="K527" s="3">
        <v>2</v>
      </c>
      <c r="L527" s="3">
        <v>25.5</v>
      </c>
      <c r="M527" s="3">
        <v>7.5</v>
      </c>
      <c r="N527" s="3">
        <v>10</v>
      </c>
      <c r="O527" s="3">
        <v>4</v>
      </c>
      <c r="P527" s="3"/>
      <c r="Q527" s="3">
        <v>175</v>
      </c>
      <c r="R527" s="3"/>
      <c r="S527" s="3"/>
      <c r="T527" s="3"/>
      <c r="U527" s="3"/>
      <c r="V527" s="3"/>
      <c r="W527" s="3"/>
      <c r="X527" s="3" t="s">
        <v>84</v>
      </c>
      <c r="Y527" s="3" t="s">
        <v>152</v>
      </c>
    </row>
    <row r="528" spans="1:25" ht="15" customHeight="1" x14ac:dyDescent="0.3">
      <c r="A528" s="27">
        <v>45875</v>
      </c>
      <c r="B528" s="25">
        <v>32</v>
      </c>
      <c r="C528" s="3" t="s">
        <v>38</v>
      </c>
      <c r="D528" s="3" t="s">
        <v>355</v>
      </c>
      <c r="E528" s="3">
        <v>2</v>
      </c>
      <c r="F528" s="3">
        <v>182</v>
      </c>
      <c r="G528" s="6" t="s">
        <v>877</v>
      </c>
      <c r="H528" s="3" t="s">
        <v>878</v>
      </c>
      <c r="I528" s="6" t="s">
        <v>483</v>
      </c>
      <c r="J528" s="3">
        <v>4</v>
      </c>
      <c r="K528" s="3">
        <v>4</v>
      </c>
      <c r="L528" s="3">
        <v>14</v>
      </c>
      <c r="M528" s="3">
        <v>3.38</v>
      </c>
      <c r="N528" s="3">
        <v>6</v>
      </c>
      <c r="O528" s="3">
        <v>2.6</v>
      </c>
      <c r="P528" s="3"/>
      <c r="Q528" s="3">
        <v>170</v>
      </c>
      <c r="R528" s="3"/>
      <c r="S528" s="3"/>
      <c r="T528" s="3"/>
      <c r="U528" s="3"/>
      <c r="V528" s="3"/>
      <c r="W528" s="3"/>
      <c r="X528" s="3" t="s">
        <v>82</v>
      </c>
      <c r="Y528" s="3" t="s">
        <v>396</v>
      </c>
    </row>
    <row r="529" spans="1:25" ht="15" customHeight="1" x14ac:dyDescent="0.3">
      <c r="A529" s="27">
        <v>45875</v>
      </c>
      <c r="B529" s="25">
        <v>32</v>
      </c>
      <c r="C529" s="3" t="s">
        <v>38</v>
      </c>
      <c r="D529" s="3" t="s">
        <v>355</v>
      </c>
      <c r="E529" s="3">
        <v>2</v>
      </c>
      <c r="F529" s="3">
        <v>401</v>
      </c>
      <c r="G529" s="6" t="s">
        <v>844</v>
      </c>
      <c r="H529" s="3" t="s">
        <v>845</v>
      </c>
      <c r="I529" s="6" t="s">
        <v>483</v>
      </c>
      <c r="J529" s="3">
        <v>1</v>
      </c>
      <c r="K529" s="3">
        <v>1</v>
      </c>
      <c r="L529" s="3">
        <v>9.6999999999999993</v>
      </c>
      <c r="M529" s="3"/>
      <c r="N529" s="3"/>
      <c r="O529" s="3">
        <v>4</v>
      </c>
      <c r="P529" s="3"/>
      <c r="Q529" s="3"/>
      <c r="R529" s="3"/>
      <c r="S529" s="3"/>
      <c r="T529" s="3"/>
      <c r="U529" s="3"/>
      <c r="V529" s="3"/>
      <c r="W529" s="3"/>
      <c r="X529" s="3" t="s">
        <v>899</v>
      </c>
      <c r="Y529" s="3"/>
    </row>
    <row r="530" spans="1:25" ht="15" customHeight="1" x14ac:dyDescent="0.3">
      <c r="A530" s="27">
        <v>45875</v>
      </c>
      <c r="B530" s="25">
        <v>32</v>
      </c>
      <c r="C530" s="3" t="s">
        <v>38</v>
      </c>
      <c r="D530" s="3" t="s">
        <v>355</v>
      </c>
      <c r="E530" s="3">
        <v>2</v>
      </c>
      <c r="F530" s="3">
        <v>402</v>
      </c>
      <c r="G530" s="6" t="s">
        <v>12</v>
      </c>
      <c r="H530" s="3" t="s">
        <v>879</v>
      </c>
      <c r="I530" s="6" t="s">
        <v>483</v>
      </c>
      <c r="J530" s="3">
        <v>2</v>
      </c>
      <c r="K530" s="3">
        <v>2</v>
      </c>
      <c r="L530" s="3">
        <v>10.199999999999999</v>
      </c>
      <c r="M530" s="3"/>
      <c r="N530" s="3"/>
      <c r="O530" s="3">
        <v>4.5</v>
      </c>
      <c r="P530" s="3"/>
      <c r="Q530" s="3"/>
      <c r="R530" s="3"/>
      <c r="S530" s="3"/>
      <c r="T530" s="3"/>
      <c r="U530" s="3"/>
      <c r="V530" s="3"/>
      <c r="W530" s="3"/>
      <c r="X530" s="3" t="s">
        <v>900</v>
      </c>
      <c r="Y530" s="3"/>
    </row>
    <row r="531" spans="1:25" ht="15" customHeight="1" x14ac:dyDescent="0.3">
      <c r="A531" s="27">
        <v>45875</v>
      </c>
      <c r="B531" s="25">
        <v>32</v>
      </c>
      <c r="C531" s="3" t="s">
        <v>38</v>
      </c>
      <c r="D531" s="3" t="s">
        <v>355</v>
      </c>
      <c r="E531" s="3">
        <v>2</v>
      </c>
      <c r="F531" s="3">
        <v>404</v>
      </c>
      <c r="G531" s="6" t="s">
        <v>407</v>
      </c>
      <c r="H531" s="3" t="s">
        <v>880</v>
      </c>
      <c r="I531" s="6" t="s">
        <v>483</v>
      </c>
      <c r="J531" s="3">
        <v>2</v>
      </c>
      <c r="K531" s="3">
        <v>2</v>
      </c>
      <c r="L531" s="3">
        <v>7.3</v>
      </c>
      <c r="M531" s="3"/>
      <c r="N531" s="3"/>
      <c r="O531" s="3">
        <v>2.5</v>
      </c>
      <c r="P531" s="3"/>
      <c r="Q531" s="3"/>
      <c r="R531" s="3"/>
      <c r="S531" s="3"/>
      <c r="T531" s="3"/>
      <c r="U531" s="3"/>
      <c r="V531" s="3"/>
      <c r="W531" s="3"/>
      <c r="X531" s="3" t="s">
        <v>854</v>
      </c>
      <c r="Y531" s="3"/>
    </row>
    <row r="532" spans="1:25" ht="15" customHeight="1" x14ac:dyDescent="0.3">
      <c r="A532" s="27">
        <v>45875</v>
      </c>
      <c r="B532" s="25">
        <v>32</v>
      </c>
      <c r="C532" s="3" t="s">
        <v>38</v>
      </c>
      <c r="D532" s="3" t="s">
        <v>355</v>
      </c>
      <c r="E532" s="3">
        <v>2</v>
      </c>
      <c r="F532" s="3">
        <v>405</v>
      </c>
      <c r="G532" s="6" t="s">
        <v>14</v>
      </c>
      <c r="H532" s="3" t="s">
        <v>766</v>
      </c>
      <c r="I532" s="6" t="s">
        <v>483</v>
      </c>
      <c r="J532" s="3">
        <v>2</v>
      </c>
      <c r="K532" s="3">
        <v>2</v>
      </c>
      <c r="L532" s="3">
        <v>8.8000000000000007</v>
      </c>
      <c r="M532" s="3"/>
      <c r="N532" s="3"/>
      <c r="O532" s="3">
        <v>3.5</v>
      </c>
      <c r="P532" s="3"/>
      <c r="Q532" s="3"/>
      <c r="R532" s="3"/>
      <c r="S532" s="3"/>
      <c r="T532" s="3"/>
      <c r="U532" s="3"/>
      <c r="V532" s="3"/>
      <c r="W532" s="3"/>
      <c r="X532" s="3" t="s">
        <v>870</v>
      </c>
      <c r="Y532" s="3"/>
    </row>
    <row r="533" spans="1:25" ht="15" customHeight="1" x14ac:dyDescent="0.3">
      <c r="A533" s="27">
        <v>45875</v>
      </c>
      <c r="B533" s="25">
        <v>32</v>
      </c>
      <c r="C533" s="3" t="s">
        <v>38</v>
      </c>
      <c r="D533" s="3" t="s">
        <v>355</v>
      </c>
      <c r="E533" s="3">
        <v>2</v>
      </c>
      <c r="F533" s="3">
        <v>171</v>
      </c>
      <c r="G533" s="6" t="s">
        <v>881</v>
      </c>
      <c r="H533" s="3" t="s">
        <v>882</v>
      </c>
      <c r="I533" s="6" t="s">
        <v>483</v>
      </c>
      <c r="J533" s="3">
        <v>4</v>
      </c>
      <c r="K533" s="3">
        <v>4</v>
      </c>
      <c r="L533" s="3">
        <v>17.54</v>
      </c>
      <c r="M533" s="3">
        <v>3.3</v>
      </c>
      <c r="N533" s="3">
        <v>10.199999999999999</v>
      </c>
      <c r="O533" s="3">
        <v>6</v>
      </c>
      <c r="P533" s="3"/>
      <c r="Q533" s="3">
        <v>160</v>
      </c>
      <c r="R533" s="3"/>
      <c r="S533" s="3"/>
      <c r="T533" s="3"/>
      <c r="U533" s="3"/>
      <c r="V533" s="3"/>
      <c r="W533" s="3"/>
      <c r="X533" s="3" t="s">
        <v>901</v>
      </c>
      <c r="Y533" s="3" t="s">
        <v>906</v>
      </c>
    </row>
    <row r="534" spans="1:25" ht="15" customHeight="1" x14ac:dyDescent="0.3">
      <c r="A534" s="27">
        <v>45875</v>
      </c>
      <c r="B534" s="25">
        <v>32</v>
      </c>
      <c r="C534" s="3" t="s">
        <v>38</v>
      </c>
      <c r="D534" s="3" t="s">
        <v>355</v>
      </c>
      <c r="E534" s="3">
        <v>2</v>
      </c>
      <c r="F534" s="3">
        <v>172</v>
      </c>
      <c r="G534" s="6" t="s">
        <v>859</v>
      </c>
      <c r="H534" s="3" t="s">
        <v>860</v>
      </c>
      <c r="I534" s="6" t="s">
        <v>483</v>
      </c>
      <c r="J534" s="3">
        <v>4</v>
      </c>
      <c r="K534" s="3">
        <v>4</v>
      </c>
      <c r="L534" s="3">
        <v>17.75</v>
      </c>
      <c r="M534" s="3">
        <v>2.5</v>
      </c>
      <c r="N534" s="3">
        <v>11</v>
      </c>
      <c r="O534" s="3">
        <v>6.65</v>
      </c>
      <c r="P534" s="3" t="s">
        <v>864</v>
      </c>
      <c r="Q534" s="3">
        <v>170</v>
      </c>
      <c r="R534" s="3"/>
      <c r="S534" s="3"/>
      <c r="T534" s="3"/>
      <c r="U534" s="3"/>
      <c r="V534" s="3"/>
      <c r="W534" s="3"/>
      <c r="X534" s="3" t="s">
        <v>254</v>
      </c>
      <c r="Y534" s="3" t="s">
        <v>80</v>
      </c>
    </row>
    <row r="535" spans="1:25" ht="15" customHeight="1" x14ac:dyDescent="0.3">
      <c r="A535" s="27">
        <v>45875</v>
      </c>
      <c r="B535" s="25">
        <v>32</v>
      </c>
      <c r="C535" s="3" t="s">
        <v>38</v>
      </c>
      <c r="D535" s="3" t="s">
        <v>355</v>
      </c>
      <c r="E535" s="3">
        <v>2</v>
      </c>
      <c r="F535" s="3">
        <v>173</v>
      </c>
      <c r="G535" s="6" t="s">
        <v>883</v>
      </c>
      <c r="H535" s="3" t="s">
        <v>884</v>
      </c>
      <c r="I535" s="6" t="s">
        <v>483</v>
      </c>
      <c r="J535" s="3">
        <v>5</v>
      </c>
      <c r="K535" s="3">
        <v>5</v>
      </c>
      <c r="L535" s="3">
        <v>16.350000000000001</v>
      </c>
      <c r="M535" s="3">
        <v>1</v>
      </c>
      <c r="N535" s="3">
        <v>11</v>
      </c>
      <c r="O535" s="3">
        <v>7</v>
      </c>
      <c r="P535" s="3" t="s">
        <v>891</v>
      </c>
      <c r="Q535" s="3">
        <v>170</v>
      </c>
      <c r="R535" s="3"/>
      <c r="S535" s="3"/>
      <c r="T535" s="3"/>
      <c r="U535" s="3"/>
      <c r="V535" s="3"/>
      <c r="W535" s="3"/>
      <c r="X535" s="3" t="s">
        <v>288</v>
      </c>
      <c r="Y535" s="3" t="s">
        <v>84</v>
      </c>
    </row>
    <row r="536" spans="1:25" ht="15" customHeight="1" x14ac:dyDescent="0.3">
      <c r="A536" s="27">
        <v>45875</v>
      </c>
      <c r="B536" s="25">
        <v>32</v>
      </c>
      <c r="C536" s="3" t="s">
        <v>38</v>
      </c>
      <c r="D536" s="3" t="s">
        <v>355</v>
      </c>
      <c r="E536" s="3">
        <v>2</v>
      </c>
      <c r="F536" s="3">
        <v>174</v>
      </c>
      <c r="G536" s="6" t="s">
        <v>181</v>
      </c>
      <c r="H536" s="3" t="s">
        <v>822</v>
      </c>
      <c r="I536" s="6" t="s">
        <v>483</v>
      </c>
      <c r="J536" s="3">
        <v>5</v>
      </c>
      <c r="K536" s="3">
        <v>5</v>
      </c>
      <c r="L536" s="3">
        <v>13.78</v>
      </c>
      <c r="M536" s="3">
        <v>1</v>
      </c>
      <c r="N536" s="3">
        <v>8.15</v>
      </c>
      <c r="O536" s="3">
        <v>5</v>
      </c>
      <c r="P536" s="3" t="s">
        <v>795</v>
      </c>
      <c r="Q536" s="3">
        <v>170</v>
      </c>
      <c r="R536" s="3"/>
      <c r="S536" s="3"/>
      <c r="T536" s="3"/>
      <c r="U536" s="3"/>
      <c r="V536" s="3"/>
      <c r="W536" s="3"/>
      <c r="X536" s="3" t="s">
        <v>79</v>
      </c>
      <c r="Y536" s="3" t="s">
        <v>388</v>
      </c>
    </row>
    <row r="537" spans="1:25" ht="15" customHeight="1" x14ac:dyDescent="0.3">
      <c r="A537" s="27">
        <v>45875</v>
      </c>
      <c r="B537" s="25">
        <v>32</v>
      </c>
      <c r="C537" s="3" t="s">
        <v>38</v>
      </c>
      <c r="D537" s="3" t="s">
        <v>355</v>
      </c>
      <c r="E537" s="3">
        <v>2</v>
      </c>
      <c r="F537" s="3">
        <v>175</v>
      </c>
      <c r="G537" s="6" t="s">
        <v>885</v>
      </c>
      <c r="H537" s="3" t="s">
        <v>886</v>
      </c>
      <c r="I537" s="6" t="s">
        <v>483</v>
      </c>
      <c r="J537" s="3">
        <v>5</v>
      </c>
      <c r="K537" s="3">
        <v>5</v>
      </c>
      <c r="L537" s="3">
        <v>12.46</v>
      </c>
      <c r="M537" s="3">
        <v>0.5</v>
      </c>
      <c r="N537" s="3">
        <v>6.5</v>
      </c>
      <c r="O537" s="3">
        <v>5</v>
      </c>
      <c r="P537" s="3" t="s">
        <v>892</v>
      </c>
      <c r="Q537" s="3">
        <v>180</v>
      </c>
      <c r="R537" s="3"/>
      <c r="S537" s="3"/>
      <c r="T537" s="3"/>
      <c r="U537" s="3"/>
      <c r="V537" s="3"/>
      <c r="W537" s="3"/>
      <c r="X537" s="3" t="s">
        <v>902</v>
      </c>
      <c r="Y537" s="3" t="s">
        <v>138</v>
      </c>
    </row>
    <row r="538" spans="1:25" ht="15" customHeight="1" x14ac:dyDescent="0.3">
      <c r="A538" s="27">
        <v>45875</v>
      </c>
      <c r="B538" s="25">
        <v>32</v>
      </c>
      <c r="C538" s="3" t="s">
        <v>38</v>
      </c>
      <c r="D538" s="3" t="s">
        <v>355</v>
      </c>
      <c r="E538" s="3">
        <v>2</v>
      </c>
      <c r="F538" s="3">
        <v>132</v>
      </c>
      <c r="G538" s="6" t="s">
        <v>781</v>
      </c>
      <c r="H538" s="3" t="s">
        <v>782</v>
      </c>
      <c r="I538" s="6" t="s">
        <v>483</v>
      </c>
      <c r="J538" s="3">
        <v>3</v>
      </c>
      <c r="K538" s="3">
        <v>3</v>
      </c>
      <c r="L538" s="3">
        <v>21.2</v>
      </c>
      <c r="M538" s="3">
        <v>4.3</v>
      </c>
      <c r="N538" s="3">
        <v>11.3</v>
      </c>
      <c r="O538" s="3">
        <v>7.5</v>
      </c>
      <c r="P538" s="3"/>
      <c r="Q538" s="3">
        <v>170</v>
      </c>
      <c r="R538" s="3"/>
      <c r="S538" s="3"/>
      <c r="T538" s="3"/>
      <c r="U538" s="3"/>
      <c r="V538" s="3"/>
      <c r="W538" s="3"/>
      <c r="X538" s="3" t="s">
        <v>733</v>
      </c>
      <c r="Y538" s="3" t="s">
        <v>907</v>
      </c>
    </row>
    <row r="539" spans="1:25" ht="15" customHeight="1" x14ac:dyDescent="0.3">
      <c r="A539" s="27">
        <v>45875</v>
      </c>
      <c r="B539" s="25">
        <v>32</v>
      </c>
      <c r="C539" s="3" t="s">
        <v>38</v>
      </c>
      <c r="D539" s="3" t="s">
        <v>355</v>
      </c>
      <c r="E539" s="3">
        <v>2</v>
      </c>
      <c r="F539" s="3">
        <v>204</v>
      </c>
      <c r="G539" s="6" t="s">
        <v>791</v>
      </c>
      <c r="H539" s="3" t="s">
        <v>792</v>
      </c>
      <c r="I539" s="6" t="s">
        <v>111</v>
      </c>
      <c r="J539" s="3">
        <v>4</v>
      </c>
      <c r="K539" s="23">
        <v>3</v>
      </c>
      <c r="L539" s="3">
        <v>21.4</v>
      </c>
      <c r="M539" s="3">
        <v>8</v>
      </c>
      <c r="N539" s="3">
        <v>3</v>
      </c>
      <c r="O539" s="3"/>
      <c r="P539" s="3"/>
      <c r="Q539" s="3"/>
      <c r="R539" s="3" t="s">
        <v>893</v>
      </c>
      <c r="S539" s="3" t="s">
        <v>896</v>
      </c>
      <c r="T539" s="3">
        <v>2</v>
      </c>
      <c r="U539" s="3">
        <v>15</v>
      </c>
      <c r="V539" s="3">
        <v>20</v>
      </c>
      <c r="W539" s="3">
        <v>135</v>
      </c>
      <c r="X539" s="3" t="s">
        <v>809</v>
      </c>
      <c r="Y539" s="3" t="s">
        <v>908</v>
      </c>
    </row>
    <row r="540" spans="1:25" ht="15" customHeight="1" x14ac:dyDescent="0.3">
      <c r="A540" s="27">
        <v>45875</v>
      </c>
      <c r="B540" s="25">
        <v>32</v>
      </c>
      <c r="C540" s="3" t="s">
        <v>38</v>
      </c>
      <c r="D540" s="3" t="s">
        <v>355</v>
      </c>
      <c r="E540" s="3">
        <v>2</v>
      </c>
      <c r="F540" s="3">
        <v>206</v>
      </c>
      <c r="G540" s="6" t="s">
        <v>887</v>
      </c>
      <c r="H540" s="3" t="s">
        <v>888</v>
      </c>
      <c r="I540" s="6" t="s">
        <v>111</v>
      </c>
      <c r="J540" s="3">
        <v>12</v>
      </c>
      <c r="K540" s="23">
        <v>11</v>
      </c>
      <c r="L540" s="3">
        <v>28.2</v>
      </c>
      <c r="M540" s="3">
        <v>19</v>
      </c>
      <c r="N540" s="3">
        <v>1.2</v>
      </c>
      <c r="O540" s="3"/>
      <c r="P540" s="3"/>
      <c r="Q540" s="3"/>
      <c r="R540" s="3" t="s">
        <v>850</v>
      </c>
      <c r="S540" s="3" t="s">
        <v>897</v>
      </c>
      <c r="T540" s="3">
        <v>0.5</v>
      </c>
      <c r="U540" s="3">
        <v>31</v>
      </c>
      <c r="V540" s="3">
        <v>45</v>
      </c>
      <c r="W540" s="3">
        <v>120</v>
      </c>
      <c r="X540" s="3" t="s">
        <v>648</v>
      </c>
      <c r="Y540" s="3" t="s">
        <v>909</v>
      </c>
    </row>
    <row r="541" spans="1:25" ht="15" customHeight="1" x14ac:dyDescent="0.3">
      <c r="A541" s="27">
        <v>45875</v>
      </c>
      <c r="B541" s="25">
        <v>32</v>
      </c>
      <c r="C541" s="3" t="s">
        <v>38</v>
      </c>
      <c r="D541" s="3" t="s">
        <v>355</v>
      </c>
      <c r="E541" s="3">
        <v>2</v>
      </c>
      <c r="F541" s="3">
        <v>207</v>
      </c>
      <c r="G541" s="6" t="s">
        <v>476</v>
      </c>
      <c r="H541" s="3" t="s">
        <v>477</v>
      </c>
      <c r="I541" s="6" t="s">
        <v>111</v>
      </c>
      <c r="J541" s="3">
        <v>12</v>
      </c>
      <c r="K541" s="23">
        <v>8</v>
      </c>
      <c r="L541" s="3">
        <v>34.25</v>
      </c>
      <c r="M541" s="3">
        <v>15</v>
      </c>
      <c r="N541" s="3">
        <v>3.15</v>
      </c>
      <c r="O541" s="3"/>
      <c r="P541" s="3"/>
      <c r="Q541" s="3"/>
      <c r="R541" s="3" t="s">
        <v>133</v>
      </c>
      <c r="S541" s="3" t="s">
        <v>71</v>
      </c>
      <c r="T541" s="3">
        <v>2.5</v>
      </c>
      <c r="U541" s="3">
        <v>20</v>
      </c>
      <c r="V541" s="3">
        <v>30</v>
      </c>
      <c r="W541" s="3">
        <v>140</v>
      </c>
      <c r="X541" s="3" t="s">
        <v>613</v>
      </c>
      <c r="Y541" s="3" t="s">
        <v>910</v>
      </c>
    </row>
    <row r="542" spans="1:25" ht="15" customHeight="1" x14ac:dyDescent="0.3">
      <c r="A542" s="27">
        <v>45875</v>
      </c>
      <c r="B542" s="25">
        <v>32</v>
      </c>
      <c r="C542" s="3" t="s">
        <v>38</v>
      </c>
      <c r="D542" s="3" t="s">
        <v>355</v>
      </c>
      <c r="E542" s="3">
        <v>2</v>
      </c>
      <c r="F542" s="3">
        <v>208</v>
      </c>
      <c r="G542" s="6" t="s">
        <v>26</v>
      </c>
      <c r="H542" s="3" t="s">
        <v>843</v>
      </c>
      <c r="I542" s="6" t="s">
        <v>112</v>
      </c>
      <c r="J542" s="3">
        <v>2</v>
      </c>
      <c r="K542" s="3">
        <v>2</v>
      </c>
      <c r="L542" s="3">
        <v>36.78</v>
      </c>
      <c r="M542" s="3">
        <v>20</v>
      </c>
      <c r="N542" s="3">
        <v>3</v>
      </c>
      <c r="O542" s="3"/>
      <c r="P542" s="3"/>
      <c r="Q542" s="3"/>
      <c r="R542" s="3" t="s">
        <v>866</v>
      </c>
      <c r="S542" s="3" t="s">
        <v>853</v>
      </c>
      <c r="T542" s="3">
        <v>1</v>
      </c>
      <c r="U542" s="3">
        <v>25</v>
      </c>
      <c r="V542" s="3">
        <v>30</v>
      </c>
      <c r="W542" s="3">
        <v>118</v>
      </c>
      <c r="X542" s="3" t="s">
        <v>614</v>
      </c>
      <c r="Y542" s="3"/>
    </row>
    <row r="543" spans="1:25" ht="15" customHeight="1" x14ac:dyDescent="0.3">
      <c r="A543" s="27">
        <v>45875</v>
      </c>
      <c r="B543" s="25">
        <v>32</v>
      </c>
      <c r="C543" s="3" t="s">
        <v>38</v>
      </c>
      <c r="D543" s="3" t="s">
        <v>355</v>
      </c>
      <c r="E543" s="3">
        <v>2</v>
      </c>
      <c r="F543" s="3">
        <v>301</v>
      </c>
      <c r="G543" s="6" t="s">
        <v>30</v>
      </c>
      <c r="H543" s="3" t="s">
        <v>194</v>
      </c>
      <c r="I543" s="6" t="s">
        <v>483</v>
      </c>
      <c r="J543" s="3">
        <v>8</v>
      </c>
      <c r="K543" s="23">
        <v>5</v>
      </c>
      <c r="L543" s="3">
        <v>30.7</v>
      </c>
      <c r="M543" s="3">
        <v>13</v>
      </c>
      <c r="N543" s="3">
        <v>5.5</v>
      </c>
      <c r="O543" s="3"/>
      <c r="P543" s="3"/>
      <c r="Q543" s="3"/>
      <c r="R543" s="3" t="s">
        <v>894</v>
      </c>
      <c r="S543" s="3" t="s">
        <v>606</v>
      </c>
      <c r="T543" s="3">
        <v>1</v>
      </c>
      <c r="U543" s="3">
        <v>25</v>
      </c>
      <c r="V543" s="3">
        <v>35</v>
      </c>
      <c r="W543" s="3">
        <v>130</v>
      </c>
      <c r="X543" s="3" t="s">
        <v>147</v>
      </c>
      <c r="Y543" s="3" t="s">
        <v>160</v>
      </c>
    </row>
    <row r="544" spans="1:25" ht="15" customHeight="1" x14ac:dyDescent="0.3">
      <c r="A544" s="27">
        <v>45875</v>
      </c>
      <c r="B544" s="25">
        <v>32</v>
      </c>
      <c r="C544" s="3" t="s">
        <v>38</v>
      </c>
      <c r="D544" s="3" t="s">
        <v>355</v>
      </c>
      <c r="E544" s="3">
        <v>2</v>
      </c>
      <c r="F544" s="3">
        <v>302</v>
      </c>
      <c r="G544" s="6" t="s">
        <v>31</v>
      </c>
      <c r="H544" s="3" t="s">
        <v>195</v>
      </c>
      <c r="I544" s="6" t="s">
        <v>793</v>
      </c>
      <c r="J544" s="3">
        <v>12</v>
      </c>
      <c r="K544" s="3">
        <v>12</v>
      </c>
      <c r="L544" s="3">
        <v>41.45</v>
      </c>
      <c r="M544" s="3">
        <v>14</v>
      </c>
      <c r="N544" s="3">
        <v>11</v>
      </c>
      <c r="O544" s="3"/>
      <c r="P544" s="3"/>
      <c r="Q544" s="3"/>
      <c r="R544" s="3" t="s">
        <v>895</v>
      </c>
      <c r="S544" s="3" t="s">
        <v>898</v>
      </c>
      <c r="T544" s="3">
        <v>3</v>
      </c>
      <c r="U544" s="3">
        <v>40</v>
      </c>
      <c r="V544" s="3">
        <v>40</v>
      </c>
      <c r="W544" s="3">
        <v>150</v>
      </c>
      <c r="X544" s="3" t="s">
        <v>903</v>
      </c>
      <c r="Y544" s="6" t="s">
        <v>911</v>
      </c>
    </row>
    <row r="545" spans="1:25" ht="15" customHeight="1" x14ac:dyDescent="0.3">
      <c r="A545" s="27">
        <v>45875</v>
      </c>
      <c r="B545" s="25">
        <v>32</v>
      </c>
      <c r="C545" s="3" t="s">
        <v>38</v>
      </c>
      <c r="D545" s="3" t="s">
        <v>355</v>
      </c>
      <c r="E545" s="3">
        <v>2</v>
      </c>
      <c r="F545" s="3">
        <v>502</v>
      </c>
      <c r="G545" s="6" t="s">
        <v>889</v>
      </c>
      <c r="H545" s="3" t="s">
        <v>890</v>
      </c>
      <c r="I545" s="6" t="s">
        <v>110</v>
      </c>
      <c r="J545" s="3">
        <v>4</v>
      </c>
      <c r="K545" s="3">
        <v>4</v>
      </c>
      <c r="L545" s="3">
        <v>19.2</v>
      </c>
      <c r="M545" s="3"/>
      <c r="N545" s="3"/>
      <c r="O545" s="3">
        <v>12</v>
      </c>
      <c r="P545" s="3"/>
      <c r="Q545" s="3"/>
      <c r="R545" s="3"/>
      <c r="S545" s="3"/>
      <c r="T545" s="3"/>
      <c r="U545" s="3"/>
      <c r="V545" s="3"/>
      <c r="W545" s="3">
        <v>300</v>
      </c>
      <c r="X545" s="3" t="s">
        <v>904</v>
      </c>
      <c r="Y545" s="3"/>
    </row>
    <row r="546" spans="1:25" ht="15" customHeight="1" x14ac:dyDescent="0.3">
      <c r="A546" s="27">
        <v>45875</v>
      </c>
      <c r="B546" s="25">
        <v>32</v>
      </c>
      <c r="C546" s="3" t="s">
        <v>38</v>
      </c>
      <c r="D546" s="3" t="s">
        <v>355</v>
      </c>
      <c r="E546" s="3">
        <v>2</v>
      </c>
      <c r="F546" s="3">
        <v>503</v>
      </c>
      <c r="G546" s="6" t="s">
        <v>846</v>
      </c>
      <c r="H546" s="3" t="s">
        <v>847</v>
      </c>
      <c r="I546" s="6" t="s">
        <v>110</v>
      </c>
      <c r="J546" s="3">
        <v>2</v>
      </c>
      <c r="K546" s="3">
        <v>2</v>
      </c>
      <c r="L546" s="3">
        <v>13.5</v>
      </c>
      <c r="M546" s="3"/>
      <c r="N546" s="3"/>
      <c r="O546" s="3">
        <v>17</v>
      </c>
      <c r="P546" s="3"/>
      <c r="Q546" s="3"/>
      <c r="R546" s="3"/>
      <c r="S546" s="3"/>
      <c r="T546" s="3"/>
      <c r="U546" s="3"/>
      <c r="V546" s="3"/>
      <c r="W546" s="3"/>
      <c r="X546" s="3" t="s">
        <v>618</v>
      </c>
      <c r="Y546" s="3"/>
    </row>
    <row r="547" spans="1:25" ht="15" customHeight="1" x14ac:dyDescent="0.3">
      <c r="A547" s="5">
        <v>45876</v>
      </c>
      <c r="B547" s="25">
        <v>31</v>
      </c>
      <c r="C547" s="3" t="s">
        <v>38</v>
      </c>
      <c r="D547" s="3" t="s">
        <v>355</v>
      </c>
      <c r="E547" s="3">
        <v>2</v>
      </c>
      <c r="F547" s="3">
        <v>101</v>
      </c>
      <c r="G547" s="6" t="s">
        <v>783</v>
      </c>
      <c r="H547" s="3" t="s">
        <v>784</v>
      </c>
      <c r="I547" s="6" t="s">
        <v>793</v>
      </c>
      <c r="J547" s="3">
        <v>4</v>
      </c>
      <c r="K547" s="3">
        <v>4</v>
      </c>
      <c r="L547" s="3">
        <v>12.63</v>
      </c>
      <c r="M547" s="3">
        <v>3</v>
      </c>
      <c r="N547" s="3">
        <v>6</v>
      </c>
      <c r="O547" s="3">
        <v>4.3499999999999996</v>
      </c>
      <c r="P547" s="3">
        <v>65</v>
      </c>
      <c r="Q547" s="3">
        <v>170</v>
      </c>
      <c r="R547" s="3"/>
      <c r="S547" s="3"/>
      <c r="T547" s="3"/>
      <c r="U547" s="3"/>
      <c r="V547" s="3"/>
      <c r="W547" s="3"/>
      <c r="X547" s="3" t="s">
        <v>388</v>
      </c>
      <c r="Y547" s="3" t="s">
        <v>810</v>
      </c>
    </row>
    <row r="548" spans="1:25" ht="15" customHeight="1" x14ac:dyDescent="0.3">
      <c r="A548" s="5">
        <v>45876</v>
      </c>
      <c r="B548" s="25">
        <v>31</v>
      </c>
      <c r="C548" s="3" t="s">
        <v>38</v>
      </c>
      <c r="D548" s="3" t="s">
        <v>355</v>
      </c>
      <c r="E548" s="3">
        <v>2</v>
      </c>
      <c r="F548" s="3">
        <v>103</v>
      </c>
      <c r="G548" s="6" t="s">
        <v>912</v>
      </c>
      <c r="H548" s="3" t="s">
        <v>913</v>
      </c>
      <c r="I548" s="6" t="s">
        <v>483</v>
      </c>
      <c r="J548" s="3">
        <v>5</v>
      </c>
      <c r="K548" s="3">
        <v>5</v>
      </c>
      <c r="L548" s="3">
        <v>14.82</v>
      </c>
      <c r="M548" s="3">
        <v>3.6</v>
      </c>
      <c r="N548" s="3">
        <v>7</v>
      </c>
      <c r="O548" s="3">
        <v>6.5</v>
      </c>
      <c r="P548" s="3">
        <v>30</v>
      </c>
      <c r="Q548" s="3">
        <v>165</v>
      </c>
      <c r="R548" s="3"/>
      <c r="S548" s="3"/>
      <c r="T548" s="3"/>
      <c r="U548" s="3"/>
      <c r="V548" s="3"/>
      <c r="W548" s="3"/>
      <c r="X548" s="3" t="s">
        <v>254</v>
      </c>
      <c r="Y548" s="3" t="s">
        <v>921</v>
      </c>
    </row>
    <row r="549" spans="1:25" ht="15" customHeight="1" x14ac:dyDescent="0.3">
      <c r="A549" s="5">
        <v>45876</v>
      </c>
      <c r="B549" s="25">
        <v>31</v>
      </c>
      <c r="C549" s="3" t="s">
        <v>38</v>
      </c>
      <c r="D549" s="3" t="s">
        <v>355</v>
      </c>
      <c r="E549" s="3">
        <v>2</v>
      </c>
      <c r="F549" s="3">
        <v>104</v>
      </c>
      <c r="G549" s="6" t="s">
        <v>7</v>
      </c>
      <c r="H549" s="3" t="s">
        <v>914</v>
      </c>
      <c r="I549" s="6" t="s">
        <v>483</v>
      </c>
      <c r="J549" s="3">
        <v>6</v>
      </c>
      <c r="K549" s="3">
        <v>6</v>
      </c>
      <c r="L549" s="3">
        <v>13.21</v>
      </c>
      <c r="M549" s="3">
        <v>2.9</v>
      </c>
      <c r="N549" s="3">
        <v>5</v>
      </c>
      <c r="O549" s="3">
        <v>4</v>
      </c>
      <c r="P549" s="3">
        <v>50</v>
      </c>
      <c r="Q549" s="3">
        <v>170</v>
      </c>
      <c r="R549" s="3"/>
      <c r="S549" s="3"/>
      <c r="T549" s="3"/>
      <c r="U549" s="3"/>
      <c r="V549" s="3"/>
      <c r="W549" s="3"/>
      <c r="X549" s="3" t="s">
        <v>79</v>
      </c>
      <c r="Y549" s="3" t="s">
        <v>138</v>
      </c>
    </row>
    <row r="550" spans="1:25" ht="15" customHeight="1" x14ac:dyDescent="0.3">
      <c r="A550" s="5">
        <v>45876</v>
      </c>
      <c r="B550" s="25">
        <v>31</v>
      </c>
      <c r="C550" s="3" t="s">
        <v>38</v>
      </c>
      <c r="D550" s="3" t="s">
        <v>355</v>
      </c>
      <c r="E550" s="3">
        <v>2</v>
      </c>
      <c r="F550" s="3">
        <v>162</v>
      </c>
      <c r="G550" s="6" t="s">
        <v>549</v>
      </c>
      <c r="H550" s="3" t="s">
        <v>915</v>
      </c>
      <c r="I550" s="6" t="s">
        <v>483</v>
      </c>
      <c r="J550" s="3">
        <v>2</v>
      </c>
      <c r="K550" s="3">
        <v>2</v>
      </c>
      <c r="L550" s="3">
        <v>21.63</v>
      </c>
      <c r="M550" s="3">
        <v>3</v>
      </c>
      <c r="N550" s="3">
        <v>6</v>
      </c>
      <c r="O550" s="3">
        <v>3.4</v>
      </c>
      <c r="P550" s="3">
        <v>29</v>
      </c>
      <c r="Q550" s="3">
        <v>170</v>
      </c>
      <c r="R550" s="3"/>
      <c r="S550" s="3"/>
      <c r="T550" s="3"/>
      <c r="U550" s="3"/>
      <c r="V550" s="3"/>
      <c r="W550" s="3"/>
      <c r="X550" s="3" t="s">
        <v>79</v>
      </c>
      <c r="Y550" s="3" t="s">
        <v>152</v>
      </c>
    </row>
    <row r="551" spans="1:25" ht="15" customHeight="1" x14ac:dyDescent="0.3">
      <c r="A551" s="5">
        <v>45876</v>
      </c>
      <c r="B551" s="25">
        <v>31</v>
      </c>
      <c r="C551" s="3" t="s">
        <v>38</v>
      </c>
      <c r="D551" s="3" t="s">
        <v>355</v>
      </c>
      <c r="E551" s="3">
        <v>2</v>
      </c>
      <c r="F551" s="3">
        <v>163</v>
      </c>
      <c r="G551" s="6" t="s">
        <v>361</v>
      </c>
      <c r="H551" s="3" t="s">
        <v>820</v>
      </c>
      <c r="I551" s="6" t="s">
        <v>483</v>
      </c>
      <c r="J551" s="3">
        <v>2</v>
      </c>
      <c r="K551" s="3">
        <v>2</v>
      </c>
      <c r="L551" s="3">
        <v>24</v>
      </c>
      <c r="M551" s="3">
        <v>6</v>
      </c>
      <c r="N551" s="3">
        <v>10.5</v>
      </c>
      <c r="O551" s="3">
        <v>4.5</v>
      </c>
      <c r="P551" s="3">
        <v>34</v>
      </c>
      <c r="Q551" s="3">
        <v>175</v>
      </c>
      <c r="R551" s="3"/>
      <c r="S551" s="3"/>
      <c r="T551" s="3"/>
      <c r="U551" s="3"/>
      <c r="V551" s="3"/>
      <c r="W551" s="3"/>
      <c r="X551" s="3" t="s">
        <v>388</v>
      </c>
      <c r="Y551" s="3" t="s">
        <v>152</v>
      </c>
    </row>
    <row r="552" spans="1:25" ht="15" customHeight="1" x14ac:dyDescent="0.3">
      <c r="A552" s="5">
        <v>45876</v>
      </c>
      <c r="B552" s="25">
        <v>31</v>
      </c>
      <c r="C552" s="3" t="s">
        <v>38</v>
      </c>
      <c r="D552" s="3" t="s">
        <v>355</v>
      </c>
      <c r="E552" s="3">
        <v>2</v>
      </c>
      <c r="F552" s="3">
        <v>164</v>
      </c>
      <c r="G552" s="6" t="s">
        <v>467</v>
      </c>
      <c r="H552" s="3" t="s">
        <v>858</v>
      </c>
      <c r="I552" s="6" t="s">
        <v>483</v>
      </c>
      <c r="J552" s="3">
        <v>2</v>
      </c>
      <c r="K552" s="3">
        <v>2</v>
      </c>
      <c r="L552" s="3">
        <v>25.5</v>
      </c>
      <c r="M552" s="3">
        <v>7.5</v>
      </c>
      <c r="N552" s="3">
        <v>10</v>
      </c>
      <c r="O552" s="3">
        <v>4</v>
      </c>
      <c r="P552" s="3"/>
      <c r="Q552" s="3">
        <v>165</v>
      </c>
      <c r="R552" s="3"/>
      <c r="S552" s="3"/>
      <c r="T552" s="3"/>
      <c r="U552" s="3"/>
      <c r="V552" s="3"/>
      <c r="W552" s="3"/>
      <c r="X552" s="3" t="s">
        <v>84</v>
      </c>
      <c r="Y552" s="3" t="s">
        <v>152</v>
      </c>
    </row>
    <row r="553" spans="1:25" ht="15" customHeight="1" x14ac:dyDescent="0.3">
      <c r="A553" s="5">
        <v>45876</v>
      </c>
      <c r="B553" s="25">
        <v>31</v>
      </c>
      <c r="C553" s="3" t="s">
        <v>38</v>
      </c>
      <c r="D553" s="3" t="s">
        <v>355</v>
      </c>
      <c r="E553" s="3">
        <v>2</v>
      </c>
      <c r="F553" s="3">
        <v>182</v>
      </c>
      <c r="G553" s="6" t="s">
        <v>877</v>
      </c>
      <c r="H553" s="3" t="s">
        <v>878</v>
      </c>
      <c r="I553" s="6" t="s">
        <v>483</v>
      </c>
      <c r="J553" s="3">
        <v>4</v>
      </c>
      <c r="K553" s="3">
        <v>4</v>
      </c>
      <c r="L553" s="3">
        <v>14</v>
      </c>
      <c r="M553" s="3">
        <v>3.4</v>
      </c>
      <c r="N553" s="3">
        <v>6</v>
      </c>
      <c r="O553" s="3">
        <v>2.6</v>
      </c>
      <c r="P553" s="3"/>
      <c r="Q553" s="3">
        <v>165</v>
      </c>
      <c r="R553" s="3"/>
      <c r="S553" s="3"/>
      <c r="T553" s="3"/>
      <c r="U553" s="3"/>
      <c r="V553" s="3"/>
      <c r="W553" s="3"/>
      <c r="X553" s="3" t="s">
        <v>82</v>
      </c>
      <c r="Y553" s="3" t="s">
        <v>396</v>
      </c>
    </row>
    <row r="554" spans="1:25" ht="15" customHeight="1" x14ac:dyDescent="0.3">
      <c r="A554" s="5">
        <v>45876</v>
      </c>
      <c r="B554" s="25">
        <v>31</v>
      </c>
      <c r="C554" s="3" t="s">
        <v>38</v>
      </c>
      <c r="D554" s="3" t="s">
        <v>355</v>
      </c>
      <c r="E554" s="3">
        <v>2</v>
      </c>
      <c r="F554" s="3">
        <v>402</v>
      </c>
      <c r="G554" s="6" t="s">
        <v>12</v>
      </c>
      <c r="H554" s="3" t="s">
        <v>879</v>
      </c>
      <c r="I554" s="6" t="s">
        <v>483</v>
      </c>
      <c r="J554" s="3">
        <v>2</v>
      </c>
      <c r="K554" s="3">
        <v>2</v>
      </c>
      <c r="L554" s="3">
        <v>11.2</v>
      </c>
      <c r="M554" s="3"/>
      <c r="N554" s="3"/>
      <c r="O554" s="3">
        <v>4.5</v>
      </c>
      <c r="P554" s="3"/>
      <c r="Q554" s="3"/>
      <c r="R554" s="3"/>
      <c r="S554" s="3"/>
      <c r="T554" s="3"/>
      <c r="U554" s="3"/>
      <c r="V554" s="3"/>
      <c r="W554" s="3"/>
      <c r="X554" s="3" t="s">
        <v>920</v>
      </c>
      <c r="Y554" s="3"/>
    </row>
    <row r="555" spans="1:25" ht="15" customHeight="1" x14ac:dyDescent="0.3">
      <c r="A555" s="5">
        <v>45876</v>
      </c>
      <c r="B555" s="25">
        <v>31</v>
      </c>
      <c r="C555" s="3" t="s">
        <v>38</v>
      </c>
      <c r="D555" s="3" t="s">
        <v>355</v>
      </c>
      <c r="E555" s="3">
        <v>2</v>
      </c>
      <c r="F555" s="3">
        <v>171</v>
      </c>
      <c r="G555" s="6" t="s">
        <v>881</v>
      </c>
      <c r="H555" s="3" t="s">
        <v>882</v>
      </c>
      <c r="I555" s="6" t="s">
        <v>483</v>
      </c>
      <c r="J555" s="3">
        <v>4</v>
      </c>
      <c r="K555" s="3">
        <v>4</v>
      </c>
      <c r="L555" s="23">
        <v>18.86</v>
      </c>
      <c r="M555" s="3">
        <v>5.3</v>
      </c>
      <c r="N555" s="3">
        <v>9.6</v>
      </c>
      <c r="O555" s="3">
        <v>6</v>
      </c>
      <c r="P555" s="3"/>
      <c r="Q555" s="3">
        <v>160</v>
      </c>
      <c r="R555" s="3"/>
      <c r="S555" s="3"/>
      <c r="T555" s="3"/>
      <c r="U555" s="3"/>
      <c r="V555" s="3"/>
      <c r="W555" s="3"/>
      <c r="X555" s="3" t="s">
        <v>901</v>
      </c>
      <c r="Y555" s="3" t="s">
        <v>922</v>
      </c>
    </row>
    <row r="556" spans="1:25" ht="15" customHeight="1" x14ac:dyDescent="0.3">
      <c r="A556" s="5">
        <v>45876</v>
      </c>
      <c r="B556" s="25">
        <v>31</v>
      </c>
      <c r="C556" s="3" t="s">
        <v>38</v>
      </c>
      <c r="D556" s="3" t="s">
        <v>355</v>
      </c>
      <c r="E556" s="3">
        <v>2</v>
      </c>
      <c r="F556" s="3">
        <v>172</v>
      </c>
      <c r="G556" s="6" t="s">
        <v>859</v>
      </c>
      <c r="H556" s="3" t="s">
        <v>860</v>
      </c>
      <c r="I556" s="6" t="s">
        <v>483</v>
      </c>
      <c r="J556" s="3">
        <v>4</v>
      </c>
      <c r="K556" s="3">
        <v>4</v>
      </c>
      <c r="L556" s="3">
        <v>17.89</v>
      </c>
      <c r="M556" s="3">
        <v>2.5</v>
      </c>
      <c r="N556" s="3">
        <v>11</v>
      </c>
      <c r="O556" s="3">
        <v>6.65</v>
      </c>
      <c r="P556" s="3" t="s">
        <v>864</v>
      </c>
      <c r="Q556" s="3">
        <v>170</v>
      </c>
      <c r="R556" s="3"/>
      <c r="S556" s="3"/>
      <c r="T556" s="3"/>
      <c r="U556" s="3"/>
      <c r="V556" s="3"/>
      <c r="W556" s="3"/>
      <c r="X556" s="3" t="s">
        <v>254</v>
      </c>
      <c r="Y556" s="3" t="s">
        <v>80</v>
      </c>
    </row>
    <row r="557" spans="1:25" ht="15" customHeight="1" x14ac:dyDescent="0.3">
      <c r="A557" s="5">
        <v>45876</v>
      </c>
      <c r="B557" s="25">
        <v>31</v>
      </c>
      <c r="C557" s="3" t="s">
        <v>38</v>
      </c>
      <c r="D557" s="3" t="s">
        <v>355</v>
      </c>
      <c r="E557" s="3">
        <v>2</v>
      </c>
      <c r="F557" s="3">
        <v>173</v>
      </c>
      <c r="G557" s="6" t="s">
        <v>883</v>
      </c>
      <c r="H557" s="3" t="s">
        <v>884</v>
      </c>
      <c r="I557" s="6" t="s">
        <v>483</v>
      </c>
      <c r="J557" s="3">
        <v>5</v>
      </c>
      <c r="K557" s="3">
        <v>5</v>
      </c>
      <c r="L557" s="3">
        <v>16.649999999999999</v>
      </c>
      <c r="M557" s="3">
        <v>1</v>
      </c>
      <c r="N557" s="3">
        <v>11</v>
      </c>
      <c r="O557" s="3">
        <v>7</v>
      </c>
      <c r="P557" s="3" t="s">
        <v>891</v>
      </c>
      <c r="Q557" s="3">
        <v>170</v>
      </c>
      <c r="R557" s="3"/>
      <c r="S557" s="3"/>
      <c r="T557" s="3"/>
      <c r="U557" s="3"/>
      <c r="V557" s="3"/>
      <c r="W557" s="3"/>
      <c r="X557" s="3" t="s">
        <v>288</v>
      </c>
      <c r="Y557" s="3" t="s">
        <v>84</v>
      </c>
    </row>
    <row r="558" spans="1:25" ht="15" customHeight="1" x14ac:dyDescent="0.3">
      <c r="A558" s="5">
        <v>45876</v>
      </c>
      <c r="B558" s="25">
        <v>31</v>
      </c>
      <c r="C558" s="3" t="s">
        <v>38</v>
      </c>
      <c r="D558" s="3" t="s">
        <v>355</v>
      </c>
      <c r="E558" s="3">
        <v>2</v>
      </c>
      <c r="F558" s="3">
        <v>174</v>
      </c>
      <c r="G558" s="6" t="s">
        <v>181</v>
      </c>
      <c r="H558" s="3" t="s">
        <v>822</v>
      </c>
      <c r="I558" s="6" t="s">
        <v>483</v>
      </c>
      <c r="J558" s="3">
        <v>5</v>
      </c>
      <c r="K558" s="3">
        <v>5</v>
      </c>
      <c r="L558" s="3">
        <v>13.89</v>
      </c>
      <c r="M558" s="3">
        <v>1</v>
      </c>
      <c r="N558" s="3">
        <v>8.15</v>
      </c>
      <c r="O558" s="3">
        <v>5</v>
      </c>
      <c r="P558" s="3" t="s">
        <v>795</v>
      </c>
      <c r="Q558" s="3">
        <v>170</v>
      </c>
      <c r="R558" s="3"/>
      <c r="S558" s="3"/>
      <c r="T558" s="3"/>
      <c r="U558" s="3"/>
      <c r="V558" s="3"/>
      <c r="W558" s="3"/>
      <c r="X558" s="3" t="s">
        <v>79</v>
      </c>
      <c r="Y558" s="3" t="s">
        <v>388</v>
      </c>
    </row>
    <row r="559" spans="1:25" ht="15" customHeight="1" x14ac:dyDescent="0.3">
      <c r="A559" s="5">
        <v>45876</v>
      </c>
      <c r="B559" s="25">
        <v>31</v>
      </c>
      <c r="C559" s="3" t="s">
        <v>38</v>
      </c>
      <c r="D559" s="3" t="s">
        <v>355</v>
      </c>
      <c r="E559" s="3">
        <v>2</v>
      </c>
      <c r="F559" s="3">
        <v>175</v>
      </c>
      <c r="G559" s="6" t="s">
        <v>885</v>
      </c>
      <c r="H559" s="3" t="s">
        <v>886</v>
      </c>
      <c r="I559" s="6" t="s">
        <v>483</v>
      </c>
      <c r="J559" s="3">
        <v>5</v>
      </c>
      <c r="K559" s="3">
        <v>5</v>
      </c>
      <c r="L559" s="3">
        <v>12.45</v>
      </c>
      <c r="M559" s="3">
        <v>0.5</v>
      </c>
      <c r="N559" s="3">
        <v>6.5</v>
      </c>
      <c r="O559" s="3">
        <v>5</v>
      </c>
      <c r="P559" s="3" t="s">
        <v>916</v>
      </c>
      <c r="Q559" s="3">
        <v>180</v>
      </c>
      <c r="R559" s="3"/>
      <c r="S559" s="3"/>
      <c r="T559" s="3"/>
      <c r="U559" s="3"/>
      <c r="V559" s="3"/>
      <c r="W559" s="3"/>
      <c r="X559" s="3" t="s">
        <v>902</v>
      </c>
      <c r="Y559" s="3" t="s">
        <v>138</v>
      </c>
    </row>
    <row r="560" spans="1:25" ht="15" customHeight="1" x14ac:dyDescent="0.3">
      <c r="A560" s="5">
        <v>45876</v>
      </c>
      <c r="B560" s="25">
        <v>31</v>
      </c>
      <c r="C560" s="3" t="s">
        <v>38</v>
      </c>
      <c r="D560" s="3" t="s">
        <v>355</v>
      </c>
      <c r="E560" s="3">
        <v>2</v>
      </c>
      <c r="F560" s="3">
        <v>177</v>
      </c>
      <c r="G560" s="6" t="s">
        <v>18</v>
      </c>
      <c r="H560" s="3" t="s">
        <v>861</v>
      </c>
      <c r="I560" s="6" t="s">
        <v>483</v>
      </c>
      <c r="J560" s="3">
        <v>3</v>
      </c>
      <c r="K560" s="3">
        <v>3</v>
      </c>
      <c r="L560" s="3">
        <v>14.26</v>
      </c>
      <c r="M560" s="3">
        <v>4</v>
      </c>
      <c r="N560" s="3">
        <v>6.5</v>
      </c>
      <c r="O560" s="3">
        <v>5</v>
      </c>
      <c r="P560" s="3"/>
      <c r="Q560" s="3">
        <v>165</v>
      </c>
      <c r="R560" s="3"/>
      <c r="S560" s="3"/>
      <c r="T560" s="3"/>
      <c r="U560" s="3"/>
      <c r="V560" s="3"/>
      <c r="W560" s="3"/>
      <c r="X560" s="3" t="s">
        <v>253</v>
      </c>
      <c r="Y560" s="3" t="s">
        <v>89</v>
      </c>
    </row>
    <row r="561" spans="1:25" ht="15" customHeight="1" x14ac:dyDescent="0.3">
      <c r="A561" s="5">
        <v>45876</v>
      </c>
      <c r="B561" s="25">
        <v>31</v>
      </c>
      <c r="C561" s="3" t="s">
        <v>38</v>
      </c>
      <c r="D561" s="3" t="s">
        <v>355</v>
      </c>
      <c r="E561" s="3">
        <v>2</v>
      </c>
      <c r="F561" s="3">
        <v>131</v>
      </c>
      <c r="G561" s="6" t="s">
        <v>768</v>
      </c>
      <c r="H561" s="3" t="s">
        <v>769</v>
      </c>
      <c r="I561" s="6" t="s">
        <v>483</v>
      </c>
      <c r="J561" s="3">
        <v>3</v>
      </c>
      <c r="K561" s="23">
        <v>2</v>
      </c>
      <c r="L561" s="3">
        <v>17.87</v>
      </c>
      <c r="M561" s="3">
        <v>4.2</v>
      </c>
      <c r="N561" s="3">
        <v>9</v>
      </c>
      <c r="O561" s="3">
        <v>5.5</v>
      </c>
      <c r="P561" s="3"/>
      <c r="Q561" s="3">
        <v>170</v>
      </c>
      <c r="R561" s="3"/>
      <c r="S561" s="3"/>
      <c r="T561" s="3"/>
      <c r="U561" s="3"/>
      <c r="V561" s="3"/>
      <c r="W561" s="3"/>
      <c r="X561" s="3" t="s">
        <v>89</v>
      </c>
      <c r="Y561" s="3" t="s">
        <v>923</v>
      </c>
    </row>
    <row r="562" spans="1:25" ht="15" customHeight="1" x14ac:dyDescent="0.3">
      <c r="A562" s="5">
        <v>45876</v>
      </c>
      <c r="B562" s="25">
        <v>31</v>
      </c>
      <c r="C562" s="3" t="s">
        <v>38</v>
      </c>
      <c r="D562" s="3" t="s">
        <v>355</v>
      </c>
      <c r="E562" s="3">
        <v>2</v>
      </c>
      <c r="F562" s="3">
        <v>132</v>
      </c>
      <c r="G562" s="6" t="s">
        <v>781</v>
      </c>
      <c r="H562" s="3" t="s">
        <v>782</v>
      </c>
      <c r="I562" s="6" t="s">
        <v>483</v>
      </c>
      <c r="J562" s="3">
        <v>3</v>
      </c>
      <c r="K562" s="3">
        <v>3</v>
      </c>
      <c r="L562" s="3">
        <v>21.03</v>
      </c>
      <c r="M562" s="3">
        <v>4.2</v>
      </c>
      <c r="N562" s="3">
        <v>11.3</v>
      </c>
      <c r="O562" s="3">
        <v>7.5</v>
      </c>
      <c r="P562" s="3"/>
      <c r="Q562" s="3">
        <v>170</v>
      </c>
      <c r="R562" s="3"/>
      <c r="S562" s="3"/>
      <c r="T562" s="3"/>
      <c r="U562" s="3"/>
      <c r="V562" s="3"/>
      <c r="W562" s="3"/>
      <c r="X562" s="3" t="s">
        <v>733</v>
      </c>
      <c r="Y562" s="3" t="s">
        <v>924</v>
      </c>
    </row>
    <row r="563" spans="1:25" ht="15" customHeight="1" x14ac:dyDescent="0.3">
      <c r="A563" s="5">
        <v>45876</v>
      </c>
      <c r="B563" s="25">
        <v>31</v>
      </c>
      <c r="C563" s="3" t="s">
        <v>38</v>
      </c>
      <c r="D563" s="3" t="s">
        <v>355</v>
      </c>
      <c r="E563" s="3">
        <v>2</v>
      </c>
      <c r="F563" s="3">
        <v>206</v>
      </c>
      <c r="G563" s="6" t="s">
        <v>887</v>
      </c>
      <c r="H563" s="3" t="s">
        <v>888</v>
      </c>
      <c r="I563" s="6" t="s">
        <v>111</v>
      </c>
      <c r="J563" s="3">
        <v>12</v>
      </c>
      <c r="K563" s="23">
        <v>11</v>
      </c>
      <c r="L563" s="3">
        <v>28.2</v>
      </c>
      <c r="M563" s="3">
        <v>19</v>
      </c>
      <c r="N563" s="3">
        <v>1.2</v>
      </c>
      <c r="O563" s="3"/>
      <c r="P563" s="3"/>
      <c r="Q563" s="3"/>
      <c r="R563" s="3" t="s">
        <v>850</v>
      </c>
      <c r="S563" s="3" t="s">
        <v>897</v>
      </c>
      <c r="T563" s="3">
        <v>0.5</v>
      </c>
      <c r="U563" s="3">
        <v>31</v>
      </c>
      <c r="V563" s="3">
        <v>45</v>
      </c>
      <c r="W563" s="3">
        <v>120</v>
      </c>
      <c r="X563" s="3" t="s">
        <v>648</v>
      </c>
      <c r="Y563" s="3" t="s">
        <v>925</v>
      </c>
    </row>
    <row r="564" spans="1:25" ht="15" customHeight="1" x14ac:dyDescent="0.3">
      <c r="A564" s="5">
        <v>45876</v>
      </c>
      <c r="B564" s="25">
        <v>31</v>
      </c>
      <c r="C564" s="3" t="s">
        <v>38</v>
      </c>
      <c r="D564" s="3" t="s">
        <v>355</v>
      </c>
      <c r="E564" s="3">
        <v>2</v>
      </c>
      <c r="F564" s="3">
        <v>207</v>
      </c>
      <c r="G564" s="6" t="s">
        <v>476</v>
      </c>
      <c r="H564" s="3" t="s">
        <v>477</v>
      </c>
      <c r="I564" s="6" t="s">
        <v>111</v>
      </c>
      <c r="J564" s="3">
        <v>12</v>
      </c>
      <c r="K564" s="23">
        <v>8</v>
      </c>
      <c r="L564" s="3">
        <v>34.31</v>
      </c>
      <c r="M564" s="3">
        <v>15</v>
      </c>
      <c r="N564" s="3">
        <v>3.15</v>
      </c>
      <c r="O564" s="3"/>
      <c r="P564" s="3"/>
      <c r="Q564" s="3"/>
      <c r="R564" s="3" t="s">
        <v>133</v>
      </c>
      <c r="S564" s="3" t="s">
        <v>71</v>
      </c>
      <c r="T564" s="3">
        <v>2.5</v>
      </c>
      <c r="U564" s="3">
        <v>20</v>
      </c>
      <c r="V564" s="3">
        <v>30</v>
      </c>
      <c r="W564" s="3">
        <v>140</v>
      </c>
      <c r="X564" s="3" t="s">
        <v>613</v>
      </c>
      <c r="Y564" s="3" t="s">
        <v>856</v>
      </c>
    </row>
    <row r="565" spans="1:25" ht="15" customHeight="1" x14ac:dyDescent="0.3">
      <c r="A565" s="5">
        <v>45876</v>
      </c>
      <c r="B565" s="25">
        <v>31</v>
      </c>
      <c r="C565" s="3" t="s">
        <v>38</v>
      </c>
      <c r="D565" s="3" t="s">
        <v>355</v>
      </c>
      <c r="E565" s="3">
        <v>2</v>
      </c>
      <c r="F565" s="3">
        <v>208</v>
      </c>
      <c r="G565" s="6" t="s">
        <v>26</v>
      </c>
      <c r="H565" s="3" t="s">
        <v>843</v>
      </c>
      <c r="I565" s="6" t="s">
        <v>112</v>
      </c>
      <c r="J565" s="3">
        <v>2</v>
      </c>
      <c r="K565" s="3">
        <v>2</v>
      </c>
      <c r="L565" s="3">
        <v>36.78</v>
      </c>
      <c r="M565" s="3">
        <v>20</v>
      </c>
      <c r="N565" s="3">
        <v>3</v>
      </c>
      <c r="O565" s="3"/>
      <c r="P565" s="3"/>
      <c r="Q565" s="3"/>
      <c r="R565" s="3" t="s">
        <v>866</v>
      </c>
      <c r="S565" s="3" t="s">
        <v>853</v>
      </c>
      <c r="T565" s="3">
        <v>1</v>
      </c>
      <c r="U565" s="3">
        <v>25</v>
      </c>
      <c r="V565" s="3">
        <v>30</v>
      </c>
      <c r="W565" s="3">
        <v>118</v>
      </c>
      <c r="X565" s="3" t="s">
        <v>614</v>
      </c>
      <c r="Y565" s="3"/>
    </row>
    <row r="566" spans="1:25" ht="15" customHeight="1" x14ac:dyDescent="0.3">
      <c r="A566" s="5">
        <v>45876</v>
      </c>
      <c r="B566" s="25">
        <v>31</v>
      </c>
      <c r="C566" s="3" t="s">
        <v>38</v>
      </c>
      <c r="D566" s="3" t="s">
        <v>355</v>
      </c>
      <c r="E566" s="3">
        <v>2</v>
      </c>
      <c r="F566" s="3">
        <v>209</v>
      </c>
      <c r="G566" s="6" t="s">
        <v>377</v>
      </c>
      <c r="H566" s="3" t="s">
        <v>378</v>
      </c>
      <c r="I566" s="6" t="s">
        <v>111</v>
      </c>
      <c r="J566" s="3">
        <v>8</v>
      </c>
      <c r="K566" s="23">
        <v>7</v>
      </c>
      <c r="L566" s="3">
        <v>30.3</v>
      </c>
      <c r="M566" s="3">
        <v>15</v>
      </c>
      <c r="N566" s="3">
        <v>1.5</v>
      </c>
      <c r="O566" s="3"/>
      <c r="P566" s="3"/>
      <c r="Q566" s="3"/>
      <c r="R566" s="3" t="s">
        <v>917</v>
      </c>
      <c r="S566" s="3" t="s">
        <v>919</v>
      </c>
      <c r="T566" s="3">
        <v>1</v>
      </c>
      <c r="U566" s="3">
        <v>25</v>
      </c>
      <c r="V566" s="3">
        <v>30</v>
      </c>
      <c r="W566" s="3">
        <v>95</v>
      </c>
      <c r="X566" s="3" t="s">
        <v>705</v>
      </c>
      <c r="Y566" s="3"/>
    </row>
    <row r="567" spans="1:25" ht="15" customHeight="1" x14ac:dyDescent="0.3">
      <c r="A567" s="5">
        <v>45876</v>
      </c>
      <c r="B567" s="25">
        <v>31</v>
      </c>
      <c r="C567" s="3" t="s">
        <v>38</v>
      </c>
      <c r="D567" s="3" t="s">
        <v>355</v>
      </c>
      <c r="E567" s="3">
        <v>2</v>
      </c>
      <c r="F567" s="3">
        <v>210</v>
      </c>
      <c r="G567" s="6" t="s">
        <v>862</v>
      </c>
      <c r="H567" s="3" t="s">
        <v>863</v>
      </c>
      <c r="I567" s="6" t="s">
        <v>111</v>
      </c>
      <c r="J567" s="3">
        <v>4</v>
      </c>
      <c r="K567" s="3">
        <v>4</v>
      </c>
      <c r="L567" s="3">
        <v>19.7</v>
      </c>
      <c r="M567" s="3">
        <v>6</v>
      </c>
      <c r="N567" s="3">
        <v>4</v>
      </c>
      <c r="O567" s="3"/>
      <c r="P567" s="3"/>
      <c r="Q567" s="3"/>
      <c r="R567" s="3" t="s">
        <v>918</v>
      </c>
      <c r="S567" s="3" t="s">
        <v>77</v>
      </c>
      <c r="T567" s="3">
        <v>1</v>
      </c>
      <c r="U567" s="3">
        <v>20</v>
      </c>
      <c r="V567" s="3">
        <v>30</v>
      </c>
      <c r="W567" s="3">
        <v>100</v>
      </c>
      <c r="X567" s="3" t="s">
        <v>730</v>
      </c>
      <c r="Y567" s="3" t="s">
        <v>926</v>
      </c>
    </row>
    <row r="568" spans="1:25" ht="15" customHeight="1" x14ac:dyDescent="0.3">
      <c r="A568" s="5">
        <v>45876</v>
      </c>
      <c r="B568" s="25">
        <v>31</v>
      </c>
      <c r="C568" s="3" t="s">
        <v>38</v>
      </c>
      <c r="D568" s="3" t="s">
        <v>355</v>
      </c>
      <c r="E568" s="3">
        <v>2</v>
      </c>
      <c r="F568" s="3">
        <v>302</v>
      </c>
      <c r="G568" s="6" t="s">
        <v>31</v>
      </c>
      <c r="H568" s="3" t="s">
        <v>195</v>
      </c>
      <c r="I568" s="6" t="s">
        <v>793</v>
      </c>
      <c r="J568" s="3">
        <v>12</v>
      </c>
      <c r="K568" s="3">
        <v>12</v>
      </c>
      <c r="L568" s="3">
        <v>41.38</v>
      </c>
      <c r="M568" s="3">
        <v>14</v>
      </c>
      <c r="N568" s="3">
        <v>11</v>
      </c>
      <c r="O568" s="3"/>
      <c r="P568" s="3"/>
      <c r="Q568" s="3"/>
      <c r="R568" s="3" t="s">
        <v>895</v>
      </c>
      <c r="S568" s="3" t="s">
        <v>898</v>
      </c>
      <c r="T568" s="3">
        <v>3</v>
      </c>
      <c r="U568" s="3">
        <v>40</v>
      </c>
      <c r="V568" s="3">
        <v>40</v>
      </c>
      <c r="W568" s="3">
        <v>150</v>
      </c>
      <c r="X568" s="3" t="s">
        <v>903</v>
      </c>
      <c r="Y568" s="6" t="s">
        <v>927</v>
      </c>
    </row>
    <row r="569" spans="1:25" ht="15" customHeight="1" x14ac:dyDescent="0.3">
      <c r="A569" s="5">
        <v>45876</v>
      </c>
      <c r="B569" s="25">
        <v>31</v>
      </c>
      <c r="C569" s="3" t="s">
        <v>38</v>
      </c>
      <c r="D569" s="3" t="s">
        <v>355</v>
      </c>
      <c r="E569" s="3">
        <v>2</v>
      </c>
      <c r="F569" s="3">
        <v>502</v>
      </c>
      <c r="G569" s="6" t="s">
        <v>889</v>
      </c>
      <c r="H569" s="3" t="s">
        <v>890</v>
      </c>
      <c r="I569" s="6" t="s">
        <v>110</v>
      </c>
      <c r="J569" s="3">
        <v>4</v>
      </c>
      <c r="K569" s="3">
        <v>4</v>
      </c>
      <c r="L569" s="3">
        <v>19.02</v>
      </c>
      <c r="M569" s="3"/>
      <c r="N569" s="3"/>
      <c r="O569" s="3">
        <v>12</v>
      </c>
      <c r="P569" s="3"/>
      <c r="Q569" s="3"/>
      <c r="R569" s="3"/>
      <c r="S569" s="3"/>
      <c r="T569" s="3"/>
      <c r="U569" s="3"/>
      <c r="V569" s="3"/>
      <c r="W569" s="3"/>
      <c r="X569" s="3" t="s">
        <v>904</v>
      </c>
      <c r="Y569" s="3"/>
    </row>
    <row r="570" spans="1:25" ht="15" customHeight="1" x14ac:dyDescent="0.3">
      <c r="A570" s="5">
        <v>45876</v>
      </c>
      <c r="B570" s="25">
        <v>31</v>
      </c>
      <c r="C570" s="3" t="s">
        <v>38</v>
      </c>
      <c r="D570" s="3" t="s">
        <v>355</v>
      </c>
      <c r="E570" s="3">
        <v>2</v>
      </c>
      <c r="F570" s="3">
        <v>503</v>
      </c>
      <c r="G570" s="6" t="s">
        <v>846</v>
      </c>
      <c r="H570" s="3" t="s">
        <v>847</v>
      </c>
      <c r="I570" s="6" t="s">
        <v>110</v>
      </c>
      <c r="J570" s="3">
        <v>2</v>
      </c>
      <c r="K570" s="3">
        <v>2</v>
      </c>
      <c r="L570" s="3">
        <v>13.5</v>
      </c>
      <c r="M570" s="3"/>
      <c r="N570" s="3"/>
      <c r="O570" s="3">
        <v>17</v>
      </c>
      <c r="P570" s="3"/>
      <c r="Q570" s="3"/>
      <c r="R570" s="3"/>
      <c r="S570" s="3"/>
      <c r="T570" s="3"/>
      <c r="U570" s="3"/>
      <c r="V570" s="3"/>
      <c r="W570" s="3"/>
      <c r="X570" s="3" t="s">
        <v>618</v>
      </c>
      <c r="Y570" s="3"/>
    </row>
    <row r="571" spans="1:25" ht="15" customHeight="1" x14ac:dyDescent="0.3">
      <c r="A571" s="27">
        <v>45877</v>
      </c>
      <c r="B571" s="25">
        <v>31</v>
      </c>
      <c r="C571" s="3" t="s">
        <v>38</v>
      </c>
      <c r="D571" s="3" t="s">
        <v>355</v>
      </c>
      <c r="E571" s="3">
        <v>2</v>
      </c>
      <c r="F571" s="3">
        <v>103</v>
      </c>
      <c r="G571" s="6" t="s">
        <v>163</v>
      </c>
      <c r="H571" s="3" t="s">
        <v>928</v>
      </c>
      <c r="I571" s="6" t="s">
        <v>793</v>
      </c>
      <c r="J571" s="3">
        <v>5</v>
      </c>
      <c r="K571" s="3">
        <v>5</v>
      </c>
      <c r="L571" s="3">
        <v>14.65</v>
      </c>
      <c r="M571" s="3">
        <v>3.65</v>
      </c>
      <c r="N571" s="3">
        <v>6.8</v>
      </c>
      <c r="O571" s="3">
        <v>5.8</v>
      </c>
      <c r="P571" s="3">
        <v>30</v>
      </c>
      <c r="Q571" s="3">
        <v>165</v>
      </c>
      <c r="R571" s="3"/>
      <c r="S571" s="3"/>
      <c r="T571" s="3"/>
      <c r="U571" s="3"/>
      <c r="V571" s="3"/>
      <c r="W571" s="3"/>
      <c r="X571" s="3" t="s">
        <v>79</v>
      </c>
      <c r="Y571" s="3" t="s">
        <v>254</v>
      </c>
    </row>
    <row r="572" spans="1:25" ht="15" customHeight="1" x14ac:dyDescent="0.3">
      <c r="A572" s="27">
        <v>45877</v>
      </c>
      <c r="B572" s="25">
        <v>31</v>
      </c>
      <c r="C572" s="3" t="s">
        <v>38</v>
      </c>
      <c r="D572" s="3" t="s">
        <v>355</v>
      </c>
      <c r="E572" s="3">
        <v>2</v>
      </c>
      <c r="F572" s="3">
        <v>104</v>
      </c>
      <c r="G572" s="6" t="s">
        <v>7</v>
      </c>
      <c r="H572" s="3" t="s">
        <v>914</v>
      </c>
      <c r="I572" s="6" t="s">
        <v>793</v>
      </c>
      <c r="J572" s="3">
        <v>6</v>
      </c>
      <c r="K572" s="3">
        <v>6</v>
      </c>
      <c r="L572" s="3">
        <v>13.32</v>
      </c>
      <c r="M572" s="3">
        <v>3.2</v>
      </c>
      <c r="N572" s="3">
        <v>5</v>
      </c>
      <c r="O572" s="3">
        <v>4</v>
      </c>
      <c r="P572" s="3">
        <v>50</v>
      </c>
      <c r="Q572" s="3">
        <v>170</v>
      </c>
      <c r="R572" s="3"/>
      <c r="S572" s="3"/>
      <c r="T572" s="3"/>
      <c r="U572" s="3"/>
      <c r="V572" s="3"/>
      <c r="W572" s="3"/>
      <c r="X572" s="3" t="s">
        <v>79</v>
      </c>
      <c r="Y572" s="3" t="s">
        <v>138</v>
      </c>
    </row>
    <row r="573" spans="1:25" ht="15" customHeight="1" x14ac:dyDescent="0.3">
      <c r="A573" s="27">
        <v>45877</v>
      </c>
      <c r="B573" s="25">
        <v>31</v>
      </c>
      <c r="C573" s="3" t="s">
        <v>38</v>
      </c>
      <c r="D573" s="3" t="s">
        <v>355</v>
      </c>
      <c r="E573" s="3">
        <v>2</v>
      </c>
      <c r="F573" s="3">
        <v>171</v>
      </c>
      <c r="G573" s="6" t="s">
        <v>881</v>
      </c>
      <c r="H573" s="3" t="s">
        <v>882</v>
      </c>
      <c r="I573" s="6" t="s">
        <v>483</v>
      </c>
      <c r="J573" s="3">
        <v>4</v>
      </c>
      <c r="K573" s="3">
        <v>4</v>
      </c>
      <c r="L573" s="3">
        <v>18.940000000000001</v>
      </c>
      <c r="M573" s="3">
        <v>5.25</v>
      </c>
      <c r="N573" s="3">
        <v>9.6999999999999993</v>
      </c>
      <c r="O573" s="3">
        <v>6</v>
      </c>
      <c r="P573" s="3"/>
      <c r="Q573" s="3">
        <v>160</v>
      </c>
      <c r="R573" s="3"/>
      <c r="S573" s="3"/>
      <c r="T573" s="3"/>
      <c r="U573" s="3"/>
      <c r="V573" s="3"/>
      <c r="W573" s="3"/>
      <c r="X573" s="3" t="s">
        <v>252</v>
      </c>
      <c r="Y573" s="3" t="s">
        <v>922</v>
      </c>
    </row>
    <row r="574" spans="1:25" ht="15" customHeight="1" x14ac:dyDescent="0.3">
      <c r="A574" s="27">
        <v>45877</v>
      </c>
      <c r="B574" s="25">
        <v>31</v>
      </c>
      <c r="C574" s="3" t="s">
        <v>38</v>
      </c>
      <c r="D574" s="3" t="s">
        <v>355</v>
      </c>
      <c r="E574" s="3">
        <v>2</v>
      </c>
      <c r="F574" s="3">
        <v>161</v>
      </c>
      <c r="G574" s="6" t="s">
        <v>875</v>
      </c>
      <c r="H574" s="3" t="s">
        <v>876</v>
      </c>
      <c r="I574" s="6" t="s">
        <v>483</v>
      </c>
      <c r="J574" s="3">
        <v>2</v>
      </c>
      <c r="K574" s="3">
        <v>2</v>
      </c>
      <c r="L574" s="3">
        <v>23</v>
      </c>
      <c r="M574" s="3">
        <v>7.5</v>
      </c>
      <c r="N574" s="3">
        <v>10</v>
      </c>
      <c r="O574" s="3">
        <v>3.1</v>
      </c>
      <c r="P574" s="3"/>
      <c r="Q574" s="3">
        <v>180</v>
      </c>
      <c r="R574" s="3"/>
      <c r="S574" s="3"/>
      <c r="T574" s="3"/>
      <c r="U574" s="3"/>
      <c r="V574" s="3"/>
      <c r="W574" s="3"/>
      <c r="X574" s="3" t="s">
        <v>388</v>
      </c>
      <c r="Y574" s="3" t="s">
        <v>152</v>
      </c>
    </row>
    <row r="575" spans="1:25" ht="15" customHeight="1" x14ac:dyDescent="0.3">
      <c r="A575" s="27">
        <v>45877</v>
      </c>
      <c r="B575" s="25">
        <v>31</v>
      </c>
      <c r="C575" s="3" t="s">
        <v>38</v>
      </c>
      <c r="D575" s="3" t="s">
        <v>355</v>
      </c>
      <c r="E575" s="3">
        <v>2</v>
      </c>
      <c r="F575" s="3">
        <v>162</v>
      </c>
      <c r="G575" s="6" t="s">
        <v>549</v>
      </c>
      <c r="H575" s="3" t="s">
        <v>915</v>
      </c>
      <c r="I575" s="6" t="s">
        <v>483</v>
      </c>
      <c r="J575" s="3">
        <v>2</v>
      </c>
      <c r="K575" s="3">
        <v>2</v>
      </c>
      <c r="L575" s="3">
        <v>21.71</v>
      </c>
      <c r="M575" s="3">
        <v>3.5</v>
      </c>
      <c r="N575" s="3">
        <v>6</v>
      </c>
      <c r="O575" s="3">
        <v>3.4</v>
      </c>
      <c r="P575" s="3">
        <v>19</v>
      </c>
      <c r="Q575" s="3">
        <v>170</v>
      </c>
      <c r="R575" s="3"/>
      <c r="S575" s="3"/>
      <c r="T575" s="3"/>
      <c r="U575" s="3"/>
      <c r="V575" s="3"/>
      <c r="W575" s="3"/>
      <c r="X575" s="3" t="s">
        <v>79</v>
      </c>
      <c r="Y575" s="3" t="s">
        <v>152</v>
      </c>
    </row>
    <row r="576" spans="1:25" ht="15" customHeight="1" x14ac:dyDescent="0.3">
      <c r="A576" s="27">
        <v>45877</v>
      </c>
      <c r="B576" s="25">
        <v>31</v>
      </c>
      <c r="C576" s="3" t="s">
        <v>38</v>
      </c>
      <c r="D576" s="3" t="s">
        <v>355</v>
      </c>
      <c r="E576" s="3">
        <v>2</v>
      </c>
      <c r="F576" s="3">
        <v>163</v>
      </c>
      <c r="G576" s="6" t="s">
        <v>361</v>
      </c>
      <c r="H576" s="3" t="s">
        <v>820</v>
      </c>
      <c r="I576" s="6" t="s">
        <v>483</v>
      </c>
      <c r="J576" s="3">
        <v>2</v>
      </c>
      <c r="K576" s="3">
        <v>2</v>
      </c>
      <c r="L576" s="3">
        <v>24</v>
      </c>
      <c r="M576" s="3">
        <v>6</v>
      </c>
      <c r="N576" s="3">
        <v>10.5</v>
      </c>
      <c r="O576" s="3">
        <v>4.5</v>
      </c>
      <c r="P576" s="3">
        <v>26</v>
      </c>
      <c r="Q576" s="3">
        <v>175</v>
      </c>
      <c r="R576" s="3"/>
      <c r="S576" s="3"/>
      <c r="T576" s="3"/>
      <c r="U576" s="3"/>
      <c r="V576" s="3"/>
      <c r="W576" s="3"/>
      <c r="X576" s="3" t="s">
        <v>388</v>
      </c>
      <c r="Y576" s="3" t="s">
        <v>152</v>
      </c>
    </row>
    <row r="577" spans="1:25" ht="15" customHeight="1" x14ac:dyDescent="0.3">
      <c r="A577" s="27">
        <v>45877</v>
      </c>
      <c r="B577" s="25">
        <v>31</v>
      </c>
      <c r="C577" s="3" t="s">
        <v>38</v>
      </c>
      <c r="D577" s="3" t="s">
        <v>355</v>
      </c>
      <c r="E577" s="3">
        <v>2</v>
      </c>
      <c r="F577" s="3">
        <v>164</v>
      </c>
      <c r="G577" s="6" t="s">
        <v>467</v>
      </c>
      <c r="H577" s="3" t="s">
        <v>858</v>
      </c>
      <c r="I577" s="6" t="s">
        <v>483</v>
      </c>
      <c r="J577" s="3">
        <v>2</v>
      </c>
      <c r="K577" s="3">
        <v>2</v>
      </c>
      <c r="L577" s="3">
        <v>25.49</v>
      </c>
      <c r="M577" s="3">
        <v>7.5</v>
      </c>
      <c r="N577" s="3">
        <v>10</v>
      </c>
      <c r="O577" s="3">
        <v>4</v>
      </c>
      <c r="P577" s="3"/>
      <c r="Q577" s="3">
        <v>170</v>
      </c>
      <c r="R577" s="3"/>
      <c r="S577" s="3"/>
      <c r="T577" s="3"/>
      <c r="U577" s="3"/>
      <c r="V577" s="3"/>
      <c r="W577" s="3"/>
      <c r="X577" s="3" t="s">
        <v>84</v>
      </c>
      <c r="Y577" s="3" t="s">
        <v>152</v>
      </c>
    </row>
    <row r="578" spans="1:25" ht="15" customHeight="1" x14ac:dyDescent="0.3">
      <c r="A578" s="27">
        <v>45877</v>
      </c>
      <c r="B578" s="25">
        <v>31</v>
      </c>
      <c r="C578" s="3" t="s">
        <v>38</v>
      </c>
      <c r="D578" s="3" t="s">
        <v>355</v>
      </c>
      <c r="E578" s="3">
        <v>2</v>
      </c>
      <c r="F578" s="3">
        <v>181</v>
      </c>
      <c r="G578" s="6" t="s">
        <v>57</v>
      </c>
      <c r="H578" s="3" t="s">
        <v>929</v>
      </c>
      <c r="I578" s="6" t="s">
        <v>483</v>
      </c>
      <c r="J578" s="3">
        <v>4</v>
      </c>
      <c r="K578" s="3">
        <v>4</v>
      </c>
      <c r="L578" s="3">
        <v>14</v>
      </c>
      <c r="M578" s="3">
        <v>4</v>
      </c>
      <c r="N578" s="3">
        <v>6</v>
      </c>
      <c r="O578" s="3">
        <v>3</v>
      </c>
      <c r="P578" s="3">
        <v>39</v>
      </c>
      <c r="Q578" s="3">
        <v>175</v>
      </c>
      <c r="R578" s="3"/>
      <c r="S578" s="3"/>
      <c r="T578" s="3"/>
      <c r="U578" s="3"/>
      <c r="V578" s="3"/>
      <c r="W578" s="3"/>
      <c r="X578" s="3" t="s">
        <v>388</v>
      </c>
      <c r="Y578" s="3" t="s">
        <v>153</v>
      </c>
    </row>
    <row r="579" spans="1:25" ht="15" customHeight="1" x14ac:dyDescent="0.3">
      <c r="A579" s="27">
        <v>45877</v>
      </c>
      <c r="B579" s="25">
        <v>31</v>
      </c>
      <c r="C579" s="3" t="s">
        <v>38</v>
      </c>
      <c r="D579" s="3" t="s">
        <v>355</v>
      </c>
      <c r="E579" s="3">
        <v>2</v>
      </c>
      <c r="F579" s="3">
        <v>182</v>
      </c>
      <c r="G579" s="6" t="s">
        <v>877</v>
      </c>
      <c r="H579" s="3" t="s">
        <v>878</v>
      </c>
      <c r="I579" s="6" t="s">
        <v>483</v>
      </c>
      <c r="J579" s="3">
        <v>4</v>
      </c>
      <c r="K579" s="3">
        <v>4</v>
      </c>
      <c r="L579" s="3">
        <v>14</v>
      </c>
      <c r="M579" s="3">
        <v>3.4</v>
      </c>
      <c r="N579" s="3">
        <v>6</v>
      </c>
      <c r="O579" s="3">
        <v>2.6</v>
      </c>
      <c r="P579" s="3"/>
      <c r="Q579" s="3">
        <v>165</v>
      </c>
      <c r="R579" s="3"/>
      <c r="S579" s="3"/>
      <c r="T579" s="3"/>
      <c r="U579" s="3"/>
      <c r="V579" s="3"/>
      <c r="W579" s="3"/>
      <c r="X579" s="3" t="s">
        <v>82</v>
      </c>
      <c r="Y579" s="3" t="s">
        <v>396</v>
      </c>
    </row>
    <row r="580" spans="1:25" ht="15" customHeight="1" x14ac:dyDescent="0.3">
      <c r="A580" s="27">
        <v>45877</v>
      </c>
      <c r="B580" s="25">
        <v>31</v>
      </c>
      <c r="C580" s="3" t="s">
        <v>38</v>
      </c>
      <c r="D580" s="3" t="s">
        <v>355</v>
      </c>
      <c r="E580" s="3">
        <v>2</v>
      </c>
      <c r="F580" s="3">
        <v>401</v>
      </c>
      <c r="G580" s="6" t="s">
        <v>669</v>
      </c>
      <c r="H580" s="3" t="s">
        <v>930</v>
      </c>
      <c r="I580" s="6" t="s">
        <v>483</v>
      </c>
      <c r="J580" s="3">
        <v>1</v>
      </c>
      <c r="K580" s="3">
        <v>1</v>
      </c>
      <c r="L580" s="3">
        <v>11.91</v>
      </c>
      <c r="M580" s="3"/>
      <c r="N580" s="3"/>
      <c r="O580" s="3">
        <v>3.5</v>
      </c>
      <c r="P580" s="3"/>
      <c r="Q580" s="3"/>
      <c r="R580" s="3"/>
      <c r="S580" s="3"/>
      <c r="T580" s="3"/>
      <c r="U580" s="3"/>
      <c r="V580" s="3"/>
      <c r="W580" s="3"/>
      <c r="X580" s="3" t="s">
        <v>956</v>
      </c>
      <c r="Y580" s="3"/>
    </row>
    <row r="581" spans="1:25" ht="15" customHeight="1" x14ac:dyDescent="0.3">
      <c r="A581" s="27">
        <v>45877</v>
      </c>
      <c r="B581" s="25">
        <v>31</v>
      </c>
      <c r="C581" s="3" t="s">
        <v>38</v>
      </c>
      <c r="D581" s="3" t="s">
        <v>355</v>
      </c>
      <c r="E581" s="3">
        <v>2</v>
      </c>
      <c r="F581" s="3">
        <v>402</v>
      </c>
      <c r="G581" s="6" t="s">
        <v>12</v>
      </c>
      <c r="H581" s="3" t="s">
        <v>931</v>
      </c>
      <c r="I581" s="6" t="s">
        <v>483</v>
      </c>
      <c r="J581" s="3">
        <v>2</v>
      </c>
      <c r="K581" s="3">
        <v>2</v>
      </c>
      <c r="L581" s="3">
        <v>9.6999999999999993</v>
      </c>
      <c r="M581" s="3"/>
      <c r="N581" s="3"/>
      <c r="O581" s="3">
        <v>3.5</v>
      </c>
      <c r="P581" s="3"/>
      <c r="Q581" s="3"/>
      <c r="R581" s="3"/>
      <c r="S581" s="3"/>
      <c r="T581" s="3"/>
      <c r="U581" s="3"/>
      <c r="V581" s="3"/>
      <c r="W581" s="3"/>
      <c r="X581" s="3" t="s">
        <v>957</v>
      </c>
      <c r="Y581" s="3"/>
    </row>
    <row r="582" spans="1:25" ht="15" customHeight="1" x14ac:dyDescent="0.3">
      <c r="A582" s="27">
        <v>45877</v>
      </c>
      <c r="B582" s="25">
        <v>31</v>
      </c>
      <c r="C582" s="3" t="s">
        <v>38</v>
      </c>
      <c r="D582" s="3" t="s">
        <v>355</v>
      </c>
      <c r="E582" s="3">
        <v>2</v>
      </c>
      <c r="F582" s="3">
        <v>172</v>
      </c>
      <c r="G582" s="6" t="s">
        <v>932</v>
      </c>
      <c r="H582" s="3" t="s">
        <v>933</v>
      </c>
      <c r="I582" s="6" t="s">
        <v>483</v>
      </c>
      <c r="J582" s="3">
        <v>4</v>
      </c>
      <c r="K582" s="3">
        <v>4</v>
      </c>
      <c r="L582" s="3">
        <v>17.7</v>
      </c>
      <c r="M582" s="3">
        <v>2.5</v>
      </c>
      <c r="N582" s="3">
        <v>11</v>
      </c>
      <c r="O582" s="3">
        <v>6.65</v>
      </c>
      <c r="P582" s="3" t="s">
        <v>864</v>
      </c>
      <c r="Q582" s="3">
        <v>170</v>
      </c>
      <c r="R582" s="3"/>
      <c r="S582" s="3"/>
      <c r="T582" s="3"/>
      <c r="U582" s="3"/>
      <c r="V582" s="3"/>
      <c r="W582" s="3"/>
      <c r="X582" s="3" t="s">
        <v>254</v>
      </c>
      <c r="Y582" s="3" t="s">
        <v>80</v>
      </c>
    </row>
    <row r="583" spans="1:25" ht="15" customHeight="1" x14ac:dyDescent="0.3">
      <c r="A583" s="27">
        <v>45877</v>
      </c>
      <c r="B583" s="25">
        <v>31</v>
      </c>
      <c r="C583" s="3" t="s">
        <v>38</v>
      </c>
      <c r="D583" s="3" t="s">
        <v>355</v>
      </c>
      <c r="E583" s="3">
        <v>2</v>
      </c>
      <c r="F583" s="3">
        <v>173</v>
      </c>
      <c r="G583" s="6" t="s">
        <v>883</v>
      </c>
      <c r="H583" s="3" t="s">
        <v>884</v>
      </c>
      <c r="I583" s="6" t="s">
        <v>483</v>
      </c>
      <c r="J583" s="3">
        <v>5</v>
      </c>
      <c r="K583" s="3">
        <v>5</v>
      </c>
      <c r="L583" s="3">
        <v>16.29</v>
      </c>
      <c r="M583" s="3">
        <v>1.1000000000000001</v>
      </c>
      <c r="N583" s="3">
        <v>11</v>
      </c>
      <c r="O583" s="3">
        <v>7</v>
      </c>
      <c r="P583" s="3" t="s">
        <v>891</v>
      </c>
      <c r="Q583" s="3">
        <v>170</v>
      </c>
      <c r="R583" s="3"/>
      <c r="S583" s="3"/>
      <c r="T583" s="3"/>
      <c r="U583" s="3"/>
      <c r="V583" s="3"/>
      <c r="W583" s="3"/>
      <c r="X583" s="3" t="s">
        <v>288</v>
      </c>
      <c r="Y583" s="3" t="s">
        <v>84</v>
      </c>
    </row>
    <row r="584" spans="1:25" ht="15" customHeight="1" x14ac:dyDescent="0.3">
      <c r="A584" s="27">
        <v>45877</v>
      </c>
      <c r="B584" s="25">
        <v>31</v>
      </c>
      <c r="C584" s="3" t="s">
        <v>38</v>
      </c>
      <c r="D584" s="3" t="s">
        <v>355</v>
      </c>
      <c r="E584" s="3">
        <v>2</v>
      </c>
      <c r="F584" s="3">
        <v>174</v>
      </c>
      <c r="G584" s="6" t="s">
        <v>181</v>
      </c>
      <c r="H584" s="3" t="s">
        <v>822</v>
      </c>
      <c r="I584" s="6" t="s">
        <v>483</v>
      </c>
      <c r="J584" s="3">
        <v>5</v>
      </c>
      <c r="K584" s="3">
        <v>5</v>
      </c>
      <c r="L584" s="3">
        <v>13.73</v>
      </c>
      <c r="M584" s="3">
        <v>1</v>
      </c>
      <c r="N584" s="3">
        <v>8.15</v>
      </c>
      <c r="O584" s="3">
        <v>5</v>
      </c>
      <c r="P584" s="3" t="s">
        <v>795</v>
      </c>
      <c r="Q584" s="3">
        <v>170</v>
      </c>
      <c r="R584" s="3"/>
      <c r="S584" s="3"/>
      <c r="T584" s="3"/>
      <c r="U584" s="3"/>
      <c r="V584" s="3"/>
      <c r="W584" s="3"/>
      <c r="X584" s="3" t="s">
        <v>79</v>
      </c>
      <c r="Y584" s="3" t="s">
        <v>388</v>
      </c>
    </row>
    <row r="585" spans="1:25" ht="15" customHeight="1" x14ac:dyDescent="0.3">
      <c r="A585" s="27">
        <v>45877</v>
      </c>
      <c r="B585" s="25">
        <v>31</v>
      </c>
      <c r="C585" s="3" t="s">
        <v>38</v>
      </c>
      <c r="D585" s="3" t="s">
        <v>355</v>
      </c>
      <c r="E585" s="3">
        <v>2</v>
      </c>
      <c r="F585" s="3">
        <v>175</v>
      </c>
      <c r="G585" s="6" t="s">
        <v>885</v>
      </c>
      <c r="H585" s="3" t="s">
        <v>886</v>
      </c>
      <c r="I585" s="6" t="s">
        <v>483</v>
      </c>
      <c r="J585" s="3">
        <v>5</v>
      </c>
      <c r="K585" s="3">
        <v>5</v>
      </c>
      <c r="L585" s="3">
        <v>12.68</v>
      </c>
      <c r="M585" s="3">
        <v>0.5</v>
      </c>
      <c r="N585" s="3">
        <v>6.5</v>
      </c>
      <c r="O585" s="3">
        <v>5</v>
      </c>
      <c r="P585" s="3" t="s">
        <v>916</v>
      </c>
      <c r="Q585" s="3">
        <v>180</v>
      </c>
      <c r="R585" s="3"/>
      <c r="S585" s="3"/>
      <c r="T585" s="3"/>
      <c r="U585" s="3"/>
      <c r="V585" s="3"/>
      <c r="W585" s="3"/>
      <c r="X585" s="3" t="s">
        <v>902</v>
      </c>
      <c r="Y585" s="3" t="s">
        <v>138</v>
      </c>
    </row>
    <row r="586" spans="1:25" ht="15" customHeight="1" x14ac:dyDescent="0.3">
      <c r="A586" s="27">
        <v>45877</v>
      </c>
      <c r="B586" s="25">
        <v>31</v>
      </c>
      <c r="C586" s="3" t="s">
        <v>38</v>
      </c>
      <c r="D586" s="3" t="s">
        <v>355</v>
      </c>
      <c r="E586" s="3">
        <v>2</v>
      </c>
      <c r="F586" s="3">
        <v>177</v>
      </c>
      <c r="G586" s="6" t="s">
        <v>18</v>
      </c>
      <c r="H586" s="3" t="s">
        <v>861</v>
      </c>
      <c r="I586" s="6" t="s">
        <v>483</v>
      </c>
      <c r="J586" s="3">
        <v>3</v>
      </c>
      <c r="K586" s="3">
        <v>3</v>
      </c>
      <c r="L586" s="3">
        <v>13.97</v>
      </c>
      <c r="M586" s="3">
        <v>4.2</v>
      </c>
      <c r="N586" s="3">
        <v>6</v>
      </c>
      <c r="O586" s="3">
        <v>5</v>
      </c>
      <c r="P586" s="3"/>
      <c r="Q586" s="3">
        <v>165</v>
      </c>
      <c r="R586" s="3"/>
      <c r="S586" s="3"/>
      <c r="T586" s="3"/>
      <c r="U586" s="3"/>
      <c r="V586" s="3"/>
      <c r="W586" s="3"/>
      <c r="X586" s="3" t="s">
        <v>253</v>
      </c>
      <c r="Y586" s="3" t="s">
        <v>89</v>
      </c>
    </row>
    <row r="587" spans="1:25" ht="15" customHeight="1" x14ac:dyDescent="0.3">
      <c r="A587" s="27">
        <v>45877</v>
      </c>
      <c r="B587" s="25">
        <v>31</v>
      </c>
      <c r="C587" s="3" t="s">
        <v>38</v>
      </c>
      <c r="D587" s="3" t="s">
        <v>355</v>
      </c>
      <c r="E587" s="3">
        <v>2</v>
      </c>
      <c r="F587" s="3">
        <v>131</v>
      </c>
      <c r="G587" s="6" t="s">
        <v>934</v>
      </c>
      <c r="H587" s="3" t="s">
        <v>935</v>
      </c>
      <c r="I587" s="6" t="s">
        <v>483</v>
      </c>
      <c r="J587" s="3">
        <v>3</v>
      </c>
      <c r="K587" s="23">
        <v>2</v>
      </c>
      <c r="L587" s="3">
        <v>18.28</v>
      </c>
      <c r="M587" s="3">
        <v>4.0999999999999996</v>
      </c>
      <c r="N587" s="3">
        <v>9.5</v>
      </c>
      <c r="O587" s="3">
        <v>6</v>
      </c>
      <c r="P587" s="3"/>
      <c r="Q587" s="3">
        <v>170</v>
      </c>
      <c r="R587" s="3"/>
      <c r="S587" s="3"/>
      <c r="T587" s="3"/>
      <c r="U587" s="3"/>
      <c r="V587" s="3"/>
      <c r="W587" s="3"/>
      <c r="X587" s="3" t="s">
        <v>89</v>
      </c>
      <c r="Y587" s="3" t="s">
        <v>960</v>
      </c>
    </row>
    <row r="588" spans="1:25" ht="15" customHeight="1" x14ac:dyDescent="0.3">
      <c r="A588" s="27">
        <v>45877</v>
      </c>
      <c r="B588" s="25">
        <v>31</v>
      </c>
      <c r="C588" s="3" t="s">
        <v>38</v>
      </c>
      <c r="D588" s="3" t="s">
        <v>355</v>
      </c>
      <c r="E588" s="3">
        <v>2</v>
      </c>
      <c r="F588" s="3">
        <v>134</v>
      </c>
      <c r="G588" s="6" t="s">
        <v>936</v>
      </c>
      <c r="H588" s="3" t="s">
        <v>937</v>
      </c>
      <c r="I588" s="6" t="s">
        <v>483</v>
      </c>
      <c r="J588" s="3">
        <v>3</v>
      </c>
      <c r="K588" s="23">
        <v>2</v>
      </c>
      <c r="L588" s="3">
        <v>16.47</v>
      </c>
      <c r="M588" s="3">
        <v>3.4</v>
      </c>
      <c r="N588" s="3">
        <v>7.4</v>
      </c>
      <c r="O588" s="3">
        <v>3.7</v>
      </c>
      <c r="P588" s="3"/>
      <c r="Q588" s="3">
        <v>150</v>
      </c>
      <c r="R588" s="3"/>
      <c r="S588" s="3"/>
      <c r="T588" s="3"/>
      <c r="U588" s="3"/>
      <c r="V588" s="3"/>
      <c r="W588" s="3"/>
      <c r="X588" s="3" t="s">
        <v>751</v>
      </c>
      <c r="Y588" s="3" t="s">
        <v>961</v>
      </c>
    </row>
    <row r="589" spans="1:25" ht="15" customHeight="1" x14ac:dyDescent="0.3">
      <c r="A589" s="27">
        <v>45877</v>
      </c>
      <c r="B589" s="25">
        <v>31</v>
      </c>
      <c r="C589" s="3" t="s">
        <v>38</v>
      </c>
      <c r="D589" s="3" t="s">
        <v>355</v>
      </c>
      <c r="E589" s="3">
        <v>2</v>
      </c>
      <c r="F589" s="3">
        <v>202</v>
      </c>
      <c r="G589" s="6" t="s">
        <v>938</v>
      </c>
      <c r="H589" s="3" t="s">
        <v>939</v>
      </c>
      <c r="I589" s="6" t="s">
        <v>950</v>
      </c>
      <c r="J589" s="3">
        <v>8</v>
      </c>
      <c r="K589" s="23">
        <v>6</v>
      </c>
      <c r="L589" s="3">
        <v>22.3</v>
      </c>
      <c r="M589" s="3">
        <v>8</v>
      </c>
      <c r="N589" s="3">
        <v>3</v>
      </c>
      <c r="O589" s="3"/>
      <c r="P589" s="3"/>
      <c r="Q589" s="3"/>
      <c r="R589" s="3" t="s">
        <v>284</v>
      </c>
      <c r="S589" s="3" t="s">
        <v>952</v>
      </c>
      <c r="T589" s="3">
        <v>1</v>
      </c>
      <c r="U589" s="3">
        <v>20</v>
      </c>
      <c r="V589" s="3">
        <v>25</v>
      </c>
      <c r="W589" s="3">
        <v>140</v>
      </c>
      <c r="X589" s="3" t="s">
        <v>958</v>
      </c>
      <c r="Y589" s="3" t="s">
        <v>962</v>
      </c>
    </row>
    <row r="590" spans="1:25" ht="15" customHeight="1" x14ac:dyDescent="0.3">
      <c r="A590" s="27">
        <v>45877</v>
      </c>
      <c r="B590" s="25">
        <v>31</v>
      </c>
      <c r="C590" s="3" t="s">
        <v>38</v>
      </c>
      <c r="D590" s="3" t="s">
        <v>355</v>
      </c>
      <c r="E590" s="3">
        <v>2</v>
      </c>
      <c r="F590" s="3">
        <v>205</v>
      </c>
      <c r="G590" s="6" t="s">
        <v>940</v>
      </c>
      <c r="H590" s="3" t="s">
        <v>941</v>
      </c>
      <c r="I590" s="6" t="s">
        <v>950</v>
      </c>
      <c r="J590" s="3">
        <v>4</v>
      </c>
      <c r="K590" s="3">
        <v>4</v>
      </c>
      <c r="L590" s="3">
        <v>21.4</v>
      </c>
      <c r="M590" s="3">
        <v>8</v>
      </c>
      <c r="N590" s="3">
        <v>2.1</v>
      </c>
      <c r="O590" s="3"/>
      <c r="P590" s="3"/>
      <c r="Q590" s="3"/>
      <c r="R590" s="3" t="s">
        <v>951</v>
      </c>
      <c r="S590" s="3" t="s">
        <v>953</v>
      </c>
      <c r="T590" s="3">
        <v>1</v>
      </c>
      <c r="U590" s="3">
        <v>5</v>
      </c>
      <c r="V590" s="3">
        <v>10</v>
      </c>
      <c r="W590" s="3">
        <v>140</v>
      </c>
      <c r="X590" s="3" t="s">
        <v>391</v>
      </c>
      <c r="Y590" s="3"/>
    </row>
    <row r="591" spans="1:25" ht="15" customHeight="1" x14ac:dyDescent="0.3">
      <c r="A591" s="27">
        <v>45877</v>
      </c>
      <c r="B591" s="25">
        <v>31</v>
      </c>
      <c r="C591" s="3" t="s">
        <v>38</v>
      </c>
      <c r="D591" s="3" t="s">
        <v>355</v>
      </c>
      <c r="E591" s="3">
        <v>2</v>
      </c>
      <c r="F591" s="3">
        <v>207</v>
      </c>
      <c r="G591" s="6" t="s">
        <v>942</v>
      </c>
      <c r="H591" s="3" t="s">
        <v>943</v>
      </c>
      <c r="I591" s="6" t="s">
        <v>950</v>
      </c>
      <c r="J591" s="3">
        <v>12</v>
      </c>
      <c r="K591" s="23">
        <v>8</v>
      </c>
      <c r="L591" s="3">
        <v>34.31</v>
      </c>
      <c r="M591" s="3">
        <v>15</v>
      </c>
      <c r="N591" s="3">
        <v>3.15</v>
      </c>
      <c r="O591" s="3"/>
      <c r="P591" s="3"/>
      <c r="Q591" s="3"/>
      <c r="R591" s="3" t="s">
        <v>133</v>
      </c>
      <c r="S591" s="3" t="s">
        <v>71</v>
      </c>
      <c r="T591" s="3">
        <v>2.5</v>
      </c>
      <c r="U591" s="3">
        <v>20</v>
      </c>
      <c r="V591" s="3">
        <v>30</v>
      </c>
      <c r="W591" s="3">
        <v>140</v>
      </c>
      <c r="X591" s="3" t="s">
        <v>613</v>
      </c>
      <c r="Y591" s="3" t="s">
        <v>910</v>
      </c>
    </row>
    <row r="592" spans="1:25" ht="15" customHeight="1" x14ac:dyDescent="0.3">
      <c r="A592" s="27">
        <v>45877</v>
      </c>
      <c r="B592" s="25">
        <v>31</v>
      </c>
      <c r="C592" s="3" t="s">
        <v>38</v>
      </c>
      <c r="D592" s="3" t="s">
        <v>355</v>
      </c>
      <c r="E592" s="3">
        <v>2</v>
      </c>
      <c r="F592" s="3">
        <v>208</v>
      </c>
      <c r="G592" s="6" t="s">
        <v>26</v>
      </c>
      <c r="H592" s="3" t="s">
        <v>843</v>
      </c>
      <c r="I592" s="6" t="s">
        <v>112</v>
      </c>
      <c r="J592" s="3">
        <v>2</v>
      </c>
      <c r="K592" s="3">
        <v>2</v>
      </c>
      <c r="L592" s="3">
        <v>36.54</v>
      </c>
      <c r="M592" s="3">
        <v>20</v>
      </c>
      <c r="N592" s="3">
        <v>3</v>
      </c>
      <c r="O592" s="3"/>
      <c r="P592" s="3"/>
      <c r="Q592" s="3"/>
      <c r="R592" s="3" t="s">
        <v>866</v>
      </c>
      <c r="S592" s="3" t="s">
        <v>853</v>
      </c>
      <c r="T592" s="3">
        <v>1</v>
      </c>
      <c r="U592" s="3">
        <v>25</v>
      </c>
      <c r="V592" s="3">
        <v>30</v>
      </c>
      <c r="W592" s="3">
        <v>118</v>
      </c>
      <c r="X592" s="3" t="s">
        <v>614</v>
      </c>
      <c r="Y592" s="6"/>
    </row>
    <row r="593" spans="1:25" ht="15" customHeight="1" x14ac:dyDescent="0.3">
      <c r="A593" s="27">
        <v>45877</v>
      </c>
      <c r="B593" s="25">
        <v>31</v>
      </c>
      <c r="C593" s="3" t="s">
        <v>38</v>
      </c>
      <c r="D593" s="3" t="s">
        <v>355</v>
      </c>
      <c r="E593" s="3">
        <v>2</v>
      </c>
      <c r="F593" s="3">
        <v>209</v>
      </c>
      <c r="G593" s="6" t="s">
        <v>377</v>
      </c>
      <c r="H593" s="3" t="s">
        <v>378</v>
      </c>
      <c r="I593" s="6" t="s">
        <v>111</v>
      </c>
      <c r="J593" s="3">
        <v>8</v>
      </c>
      <c r="K593" s="23">
        <v>6</v>
      </c>
      <c r="L593" s="3">
        <v>28.2</v>
      </c>
      <c r="M593" s="3">
        <v>13</v>
      </c>
      <c r="N593" s="3">
        <v>1.5</v>
      </c>
      <c r="O593" s="3"/>
      <c r="P593" s="3"/>
      <c r="Q593" s="3"/>
      <c r="R593" s="3" t="s">
        <v>917</v>
      </c>
      <c r="S593" s="3" t="s">
        <v>919</v>
      </c>
      <c r="T593" s="3">
        <v>1</v>
      </c>
      <c r="U593" s="3">
        <v>25</v>
      </c>
      <c r="V593" s="3">
        <v>30</v>
      </c>
      <c r="W593" s="3">
        <v>95</v>
      </c>
      <c r="X593" s="3" t="s">
        <v>705</v>
      </c>
      <c r="Y593" s="3"/>
    </row>
    <row r="594" spans="1:25" ht="15" customHeight="1" x14ac:dyDescent="0.3">
      <c r="A594" s="27">
        <v>45877</v>
      </c>
      <c r="B594" s="25">
        <v>31</v>
      </c>
      <c r="C594" s="3" t="s">
        <v>38</v>
      </c>
      <c r="D594" s="3" t="s">
        <v>355</v>
      </c>
      <c r="E594" s="3">
        <v>2</v>
      </c>
      <c r="F594" s="3">
        <v>210</v>
      </c>
      <c r="G594" s="6" t="s">
        <v>944</v>
      </c>
      <c r="H594" s="3" t="s">
        <v>945</v>
      </c>
      <c r="I594" s="6" t="s">
        <v>950</v>
      </c>
      <c r="J594" s="3">
        <v>4</v>
      </c>
      <c r="K594" s="3">
        <v>4</v>
      </c>
      <c r="L594" s="3">
        <v>19.7</v>
      </c>
      <c r="M594" s="3">
        <v>6</v>
      </c>
      <c r="N594" s="3">
        <v>4</v>
      </c>
      <c r="O594" s="3"/>
      <c r="P594" s="3"/>
      <c r="Q594" s="3"/>
      <c r="R594" s="3" t="s">
        <v>70</v>
      </c>
      <c r="S594" s="3" t="s">
        <v>869</v>
      </c>
      <c r="T594" s="3">
        <v>1</v>
      </c>
      <c r="U594" s="3">
        <v>20</v>
      </c>
      <c r="V594" s="3">
        <v>30</v>
      </c>
      <c r="W594" s="3">
        <v>100</v>
      </c>
      <c r="X594" s="3" t="s">
        <v>730</v>
      </c>
      <c r="Y594" s="3" t="s">
        <v>963</v>
      </c>
    </row>
    <row r="595" spans="1:25" ht="15" customHeight="1" x14ac:dyDescent="0.3">
      <c r="A595" s="27">
        <v>45877</v>
      </c>
      <c r="B595" s="25">
        <v>31</v>
      </c>
      <c r="C595" s="3" t="s">
        <v>38</v>
      </c>
      <c r="D595" s="3" t="s">
        <v>355</v>
      </c>
      <c r="E595" s="3">
        <v>2</v>
      </c>
      <c r="F595" s="3">
        <v>302</v>
      </c>
      <c r="G595" s="6" t="s">
        <v>31</v>
      </c>
      <c r="H595" s="3" t="s">
        <v>195</v>
      </c>
      <c r="I595" s="6" t="s">
        <v>793</v>
      </c>
      <c r="J595" s="3">
        <v>12</v>
      </c>
      <c r="K595" s="3">
        <v>12</v>
      </c>
      <c r="L595" s="3">
        <v>41.38</v>
      </c>
      <c r="M595" s="3">
        <v>14</v>
      </c>
      <c r="N595" s="3">
        <v>11</v>
      </c>
      <c r="O595" s="3"/>
      <c r="P595" s="3"/>
      <c r="Q595" s="3"/>
      <c r="R595" s="3" t="s">
        <v>895</v>
      </c>
      <c r="S595" s="3" t="s">
        <v>898</v>
      </c>
      <c r="T595" s="3">
        <v>3</v>
      </c>
      <c r="U595" s="3">
        <v>40</v>
      </c>
      <c r="V595" s="3">
        <v>40</v>
      </c>
      <c r="W595" s="3">
        <v>150</v>
      </c>
      <c r="X595" s="3" t="s">
        <v>903</v>
      </c>
      <c r="Y595" s="6" t="s">
        <v>927</v>
      </c>
    </row>
    <row r="596" spans="1:25" ht="15" customHeight="1" x14ac:dyDescent="0.3">
      <c r="A596" s="27">
        <v>45877</v>
      </c>
      <c r="B596" s="25">
        <v>31</v>
      </c>
      <c r="C596" s="3" t="s">
        <v>38</v>
      </c>
      <c r="D596" s="3" t="s">
        <v>355</v>
      </c>
      <c r="E596" s="3">
        <v>2</v>
      </c>
      <c r="F596" s="3">
        <v>503</v>
      </c>
      <c r="G596" s="6" t="s">
        <v>946</v>
      </c>
      <c r="H596" s="3" t="s">
        <v>947</v>
      </c>
      <c r="I596" s="6" t="s">
        <v>110</v>
      </c>
      <c r="J596" s="3">
        <v>2</v>
      </c>
      <c r="K596" s="3">
        <v>2</v>
      </c>
      <c r="L596" s="3">
        <v>13.5</v>
      </c>
      <c r="M596" s="3"/>
      <c r="N596" s="3"/>
      <c r="O596" s="3">
        <v>17</v>
      </c>
      <c r="P596" s="3"/>
      <c r="Q596" s="3"/>
      <c r="R596" s="3"/>
      <c r="S596" s="3"/>
      <c r="T596" s="3"/>
      <c r="U596" s="3"/>
      <c r="V596" s="3"/>
      <c r="W596" s="3"/>
      <c r="X596" s="3" t="s">
        <v>618</v>
      </c>
      <c r="Y596" s="3"/>
    </row>
    <row r="597" spans="1:25" ht="15" customHeight="1" x14ac:dyDescent="0.3">
      <c r="A597" s="27">
        <v>45877</v>
      </c>
      <c r="B597" s="25">
        <v>31</v>
      </c>
      <c r="C597" s="3" t="s">
        <v>38</v>
      </c>
      <c r="D597" s="3" t="s">
        <v>355</v>
      </c>
      <c r="E597" s="3">
        <v>2</v>
      </c>
      <c r="F597" s="3">
        <v>505</v>
      </c>
      <c r="G597" s="6" t="s">
        <v>948</v>
      </c>
      <c r="H597" s="3" t="s">
        <v>949</v>
      </c>
      <c r="I597" s="6" t="s">
        <v>110</v>
      </c>
      <c r="J597" s="3">
        <v>14</v>
      </c>
      <c r="K597" s="23">
        <v>12</v>
      </c>
      <c r="L597" s="3">
        <v>88.8</v>
      </c>
      <c r="M597" s="3"/>
      <c r="N597" s="3"/>
      <c r="O597" s="3">
        <v>10</v>
      </c>
      <c r="P597" s="3"/>
      <c r="Q597" s="3"/>
      <c r="R597" s="3" t="s">
        <v>954</v>
      </c>
      <c r="S597" s="3" t="s">
        <v>955</v>
      </c>
      <c r="T597" s="3"/>
      <c r="U597" s="3"/>
      <c r="V597" s="3"/>
      <c r="W597" s="3"/>
      <c r="X597" s="3" t="s">
        <v>959</v>
      </c>
      <c r="Y597" s="3"/>
    </row>
    <row r="598" spans="1:25" ht="15" customHeight="1" x14ac:dyDescent="0.3">
      <c r="A598" s="5">
        <v>45880</v>
      </c>
      <c r="B598" s="25">
        <v>31</v>
      </c>
      <c r="C598" s="3" t="s">
        <v>38</v>
      </c>
      <c r="D598" s="3" t="s">
        <v>355</v>
      </c>
      <c r="E598" s="3">
        <v>2</v>
      </c>
      <c r="F598" s="3">
        <v>103</v>
      </c>
      <c r="G598" s="6" t="s">
        <v>163</v>
      </c>
      <c r="H598" s="3" t="s">
        <v>928</v>
      </c>
      <c r="I598" s="6" t="s">
        <v>1024</v>
      </c>
      <c r="J598" s="3">
        <v>5</v>
      </c>
      <c r="K598" s="3">
        <v>5</v>
      </c>
      <c r="L598" s="3">
        <v>15.07</v>
      </c>
      <c r="M598" s="3">
        <v>3.8</v>
      </c>
      <c r="N598" s="3">
        <v>7</v>
      </c>
      <c r="O598" s="3">
        <v>5.8</v>
      </c>
      <c r="P598" s="3">
        <v>30</v>
      </c>
      <c r="Q598" s="3">
        <v>170</v>
      </c>
      <c r="R598" s="3"/>
      <c r="S598" s="3"/>
      <c r="T598" s="3"/>
      <c r="U598" s="3"/>
      <c r="V598" s="3"/>
      <c r="W598" s="3"/>
      <c r="X598" s="3" t="s">
        <v>972</v>
      </c>
      <c r="Y598" s="3" t="s">
        <v>79</v>
      </c>
    </row>
    <row r="599" spans="1:25" ht="15" customHeight="1" x14ac:dyDescent="0.3">
      <c r="A599" s="5">
        <v>45880</v>
      </c>
      <c r="B599" s="25">
        <v>31</v>
      </c>
      <c r="C599" s="3" t="s">
        <v>38</v>
      </c>
      <c r="D599" s="3" t="s">
        <v>355</v>
      </c>
      <c r="E599" s="3">
        <v>2</v>
      </c>
      <c r="F599" s="3">
        <v>104</v>
      </c>
      <c r="G599" s="6" t="s">
        <v>7</v>
      </c>
      <c r="H599" s="3" t="s">
        <v>914</v>
      </c>
      <c r="I599" s="6" t="s">
        <v>1024</v>
      </c>
      <c r="J599" s="3">
        <v>6</v>
      </c>
      <c r="K599" s="23">
        <v>5</v>
      </c>
      <c r="L599" s="3">
        <v>13.3</v>
      </c>
      <c r="M599" s="3">
        <v>3.2</v>
      </c>
      <c r="N599" s="3">
        <v>4.8</v>
      </c>
      <c r="O599" s="3">
        <v>4</v>
      </c>
      <c r="P599" s="3">
        <v>29</v>
      </c>
      <c r="Q599" s="3">
        <v>170</v>
      </c>
      <c r="R599" s="3"/>
      <c r="S599" s="3"/>
      <c r="T599" s="3"/>
      <c r="U599" s="3"/>
      <c r="V599" s="3"/>
      <c r="W599" s="3"/>
      <c r="X599" s="3" t="s">
        <v>79</v>
      </c>
      <c r="Y599" s="3" t="s">
        <v>138</v>
      </c>
    </row>
    <row r="600" spans="1:25" ht="15" customHeight="1" x14ac:dyDescent="0.3">
      <c r="A600" s="5">
        <v>45880</v>
      </c>
      <c r="B600" s="25">
        <v>31</v>
      </c>
      <c r="C600" s="3" t="s">
        <v>38</v>
      </c>
      <c r="D600" s="3" t="s">
        <v>355</v>
      </c>
      <c r="E600" s="3">
        <v>2</v>
      </c>
      <c r="F600" s="3">
        <v>163</v>
      </c>
      <c r="G600" s="6" t="s">
        <v>361</v>
      </c>
      <c r="H600" s="3" t="s">
        <v>820</v>
      </c>
      <c r="I600" s="6" t="s">
        <v>1024</v>
      </c>
      <c r="J600" s="3">
        <v>2</v>
      </c>
      <c r="K600" s="3">
        <v>2</v>
      </c>
      <c r="L600" s="3">
        <v>24.32</v>
      </c>
      <c r="M600" s="3">
        <v>6.5</v>
      </c>
      <c r="N600" s="3">
        <v>10.5</v>
      </c>
      <c r="O600" s="3">
        <v>4.5</v>
      </c>
      <c r="P600" s="3"/>
      <c r="Q600" s="3">
        <v>175</v>
      </c>
      <c r="R600" s="3"/>
      <c r="S600" s="3"/>
      <c r="T600" s="3"/>
      <c r="U600" s="3"/>
      <c r="V600" s="3"/>
      <c r="W600" s="3"/>
      <c r="X600" s="3" t="s">
        <v>388</v>
      </c>
      <c r="Y600" s="3" t="s">
        <v>152</v>
      </c>
    </row>
    <row r="601" spans="1:25" ht="15" customHeight="1" x14ac:dyDescent="0.3">
      <c r="A601" s="5">
        <v>45880</v>
      </c>
      <c r="B601" s="25">
        <v>31</v>
      </c>
      <c r="C601" s="3" t="s">
        <v>38</v>
      </c>
      <c r="D601" s="3" t="s">
        <v>355</v>
      </c>
      <c r="E601" s="3">
        <v>2</v>
      </c>
      <c r="F601" s="3">
        <v>164</v>
      </c>
      <c r="G601" s="6" t="s">
        <v>467</v>
      </c>
      <c r="H601" s="3" t="s">
        <v>858</v>
      </c>
      <c r="I601" s="6" t="s">
        <v>1024</v>
      </c>
      <c r="J601" s="3">
        <v>2</v>
      </c>
      <c r="K601" s="3">
        <v>2</v>
      </c>
      <c r="L601" s="28">
        <v>24</v>
      </c>
      <c r="M601" s="3">
        <v>7</v>
      </c>
      <c r="N601" s="3">
        <v>10</v>
      </c>
      <c r="O601" s="3">
        <v>3.65</v>
      </c>
      <c r="P601" s="3"/>
      <c r="Q601" s="3">
        <v>175</v>
      </c>
      <c r="R601" s="3"/>
      <c r="S601" s="3"/>
      <c r="T601" s="3"/>
      <c r="U601" s="3"/>
      <c r="V601" s="3"/>
      <c r="W601" s="3"/>
      <c r="X601" s="3" t="s">
        <v>84</v>
      </c>
      <c r="Y601" s="3" t="s">
        <v>152</v>
      </c>
    </row>
    <row r="602" spans="1:25" ht="15" customHeight="1" x14ac:dyDescent="0.3">
      <c r="A602" s="5">
        <v>45880</v>
      </c>
      <c r="B602" s="25">
        <v>31</v>
      </c>
      <c r="C602" s="3" t="s">
        <v>38</v>
      </c>
      <c r="D602" s="3" t="s">
        <v>355</v>
      </c>
      <c r="E602" s="3">
        <v>2</v>
      </c>
      <c r="F602" s="3">
        <v>181</v>
      </c>
      <c r="G602" s="6" t="s">
        <v>276</v>
      </c>
      <c r="H602" s="3" t="s">
        <v>964</v>
      </c>
      <c r="I602" s="6" t="s">
        <v>1024</v>
      </c>
      <c r="J602" s="3">
        <v>4</v>
      </c>
      <c r="K602" s="3">
        <v>4</v>
      </c>
      <c r="L602" s="3">
        <v>14.03</v>
      </c>
      <c r="M602" s="3">
        <v>3.4</v>
      </c>
      <c r="N602" s="3">
        <v>6</v>
      </c>
      <c r="O602" s="3">
        <v>2.6</v>
      </c>
      <c r="P602" s="3"/>
      <c r="Q602" s="3">
        <v>170</v>
      </c>
      <c r="R602" s="3"/>
      <c r="S602" s="3"/>
      <c r="T602" s="3"/>
      <c r="U602" s="3"/>
      <c r="V602" s="3"/>
      <c r="W602" s="3"/>
      <c r="X602" s="3" t="s">
        <v>82</v>
      </c>
      <c r="Y602" s="3" t="s">
        <v>396</v>
      </c>
    </row>
    <row r="603" spans="1:25" ht="15" customHeight="1" x14ac:dyDescent="0.3">
      <c r="A603" s="5">
        <v>45880</v>
      </c>
      <c r="B603" s="25">
        <v>31</v>
      </c>
      <c r="C603" s="3" t="s">
        <v>38</v>
      </c>
      <c r="D603" s="3" t="s">
        <v>355</v>
      </c>
      <c r="E603" s="3">
        <v>2</v>
      </c>
      <c r="F603" s="3">
        <v>402</v>
      </c>
      <c r="G603" s="6" t="s">
        <v>12</v>
      </c>
      <c r="H603" s="3" t="s">
        <v>965</v>
      </c>
      <c r="I603" s="6" t="s">
        <v>1024</v>
      </c>
      <c r="J603" s="3">
        <v>2</v>
      </c>
      <c r="K603" s="3">
        <v>2</v>
      </c>
      <c r="L603" s="3">
        <v>10.199999999999999</v>
      </c>
      <c r="M603" s="3"/>
      <c r="N603" s="3"/>
      <c r="O603" s="3">
        <v>3.7</v>
      </c>
      <c r="P603" s="3"/>
      <c r="Q603" s="3"/>
      <c r="R603" s="3"/>
      <c r="S603" s="3"/>
      <c r="T603" s="3"/>
      <c r="U603" s="3"/>
      <c r="V603" s="3"/>
      <c r="W603" s="3"/>
      <c r="X603" s="3" t="s">
        <v>973</v>
      </c>
      <c r="Y603" s="3"/>
    </row>
    <row r="604" spans="1:25" ht="15" customHeight="1" x14ac:dyDescent="0.3">
      <c r="A604" s="5">
        <v>45880</v>
      </c>
      <c r="B604" s="25">
        <v>31</v>
      </c>
      <c r="C604" s="3" t="s">
        <v>38</v>
      </c>
      <c r="D604" s="3" t="s">
        <v>355</v>
      </c>
      <c r="E604" s="3">
        <v>2</v>
      </c>
      <c r="F604" s="3">
        <v>173</v>
      </c>
      <c r="G604" s="6" t="s">
        <v>883</v>
      </c>
      <c r="H604" s="3" t="s">
        <v>884</v>
      </c>
      <c r="I604" s="6" t="s">
        <v>1024</v>
      </c>
      <c r="J604" s="3">
        <v>5</v>
      </c>
      <c r="K604" s="3">
        <v>5</v>
      </c>
      <c r="L604" s="3">
        <v>16.63</v>
      </c>
      <c r="M604" s="3">
        <v>1.2</v>
      </c>
      <c r="N604" s="3">
        <v>11</v>
      </c>
      <c r="O604" s="3">
        <v>7</v>
      </c>
      <c r="P604" s="3" t="s">
        <v>891</v>
      </c>
      <c r="Q604" s="3">
        <v>170</v>
      </c>
      <c r="R604" s="3"/>
      <c r="S604" s="3"/>
      <c r="T604" s="3"/>
      <c r="U604" s="3"/>
      <c r="V604" s="3"/>
      <c r="W604" s="3"/>
      <c r="X604" s="3" t="s">
        <v>288</v>
      </c>
      <c r="Y604" s="3" t="s">
        <v>84</v>
      </c>
    </row>
    <row r="605" spans="1:25" ht="15" customHeight="1" x14ac:dyDescent="0.3">
      <c r="A605" s="5">
        <v>45880</v>
      </c>
      <c r="B605" s="25">
        <v>31</v>
      </c>
      <c r="C605" s="3" t="s">
        <v>38</v>
      </c>
      <c r="D605" s="3" t="s">
        <v>355</v>
      </c>
      <c r="E605" s="3">
        <v>2</v>
      </c>
      <c r="F605" s="3">
        <v>174</v>
      </c>
      <c r="G605" s="6" t="s">
        <v>181</v>
      </c>
      <c r="H605" s="3" t="s">
        <v>822</v>
      </c>
      <c r="I605" s="6" t="s">
        <v>1024</v>
      </c>
      <c r="J605" s="3">
        <v>5</v>
      </c>
      <c r="K605" s="3">
        <v>5</v>
      </c>
      <c r="L605" s="3">
        <v>13.79</v>
      </c>
      <c r="M605" s="3">
        <v>1</v>
      </c>
      <c r="N605" s="3">
        <v>8.15</v>
      </c>
      <c r="O605" s="3">
        <v>5</v>
      </c>
      <c r="P605" s="3" t="s">
        <v>971</v>
      </c>
      <c r="Q605" s="3">
        <v>165</v>
      </c>
      <c r="R605" s="3"/>
      <c r="S605" s="3"/>
      <c r="T605" s="3"/>
      <c r="U605" s="3"/>
      <c r="V605" s="3"/>
      <c r="W605" s="3"/>
      <c r="X605" s="3" t="s">
        <v>79</v>
      </c>
      <c r="Y605" s="3" t="s">
        <v>388</v>
      </c>
    </row>
    <row r="606" spans="1:25" ht="15" customHeight="1" x14ac:dyDescent="0.3">
      <c r="A606" s="5">
        <v>45880</v>
      </c>
      <c r="B606" s="25">
        <v>31</v>
      </c>
      <c r="C606" s="3" t="s">
        <v>38</v>
      </c>
      <c r="D606" s="3" t="s">
        <v>355</v>
      </c>
      <c r="E606" s="3">
        <v>2</v>
      </c>
      <c r="F606" s="3">
        <v>177</v>
      </c>
      <c r="G606" s="6" t="s">
        <v>18</v>
      </c>
      <c r="H606" s="3" t="s">
        <v>861</v>
      </c>
      <c r="I606" s="6" t="s">
        <v>1024</v>
      </c>
      <c r="J606" s="3">
        <v>3</v>
      </c>
      <c r="K606" s="3">
        <v>3</v>
      </c>
      <c r="L606" s="3">
        <v>13.77</v>
      </c>
      <c r="M606" s="3">
        <v>4</v>
      </c>
      <c r="N606" s="3">
        <v>6</v>
      </c>
      <c r="O606" s="3">
        <v>5</v>
      </c>
      <c r="P606" s="3"/>
      <c r="Q606" s="3">
        <v>165</v>
      </c>
      <c r="R606" s="3"/>
      <c r="S606" s="3"/>
      <c r="T606" s="3"/>
      <c r="U606" s="3"/>
      <c r="V606" s="3"/>
      <c r="W606" s="3"/>
      <c r="X606" s="3" t="s">
        <v>253</v>
      </c>
      <c r="Y606" s="3" t="s">
        <v>976</v>
      </c>
    </row>
    <row r="607" spans="1:25" ht="15" customHeight="1" x14ac:dyDescent="0.3">
      <c r="A607" s="5">
        <v>45880</v>
      </c>
      <c r="B607" s="25">
        <v>31</v>
      </c>
      <c r="C607" s="3" t="s">
        <v>38</v>
      </c>
      <c r="D607" s="3" t="s">
        <v>355</v>
      </c>
      <c r="E607" s="3">
        <v>2</v>
      </c>
      <c r="F607" s="3">
        <v>131</v>
      </c>
      <c r="G607" s="6" t="s">
        <v>934</v>
      </c>
      <c r="H607" s="3" t="s">
        <v>935</v>
      </c>
      <c r="I607" s="6" t="s">
        <v>1024</v>
      </c>
      <c r="J607" s="3">
        <v>3</v>
      </c>
      <c r="K607" s="23">
        <v>2</v>
      </c>
      <c r="L607" s="3">
        <v>18.3</v>
      </c>
      <c r="M607" s="3">
        <v>4.0999999999999996</v>
      </c>
      <c r="N607" s="3">
        <v>9.5</v>
      </c>
      <c r="O607" s="3">
        <v>6</v>
      </c>
      <c r="P607" s="3"/>
      <c r="Q607" s="3">
        <v>170</v>
      </c>
      <c r="R607" s="3"/>
      <c r="S607" s="3"/>
      <c r="T607" s="3"/>
      <c r="U607" s="3"/>
      <c r="V607" s="3"/>
      <c r="W607" s="3"/>
      <c r="X607" s="3" t="s">
        <v>89</v>
      </c>
      <c r="Y607" s="3" t="s">
        <v>977</v>
      </c>
    </row>
    <row r="608" spans="1:25" ht="15" customHeight="1" x14ac:dyDescent="0.3">
      <c r="A608" s="5">
        <v>45880</v>
      </c>
      <c r="B608" s="25">
        <v>31</v>
      </c>
      <c r="C608" s="3" t="s">
        <v>38</v>
      </c>
      <c r="D608" s="3" t="s">
        <v>355</v>
      </c>
      <c r="E608" s="3">
        <v>2</v>
      </c>
      <c r="F608" s="3">
        <v>133</v>
      </c>
      <c r="G608" s="6" t="s">
        <v>409</v>
      </c>
      <c r="H608" s="3" t="s">
        <v>966</v>
      </c>
      <c r="I608" s="6" t="s">
        <v>1024</v>
      </c>
      <c r="J608" s="3">
        <v>3</v>
      </c>
      <c r="K608" s="3">
        <v>3</v>
      </c>
      <c r="L608" s="3">
        <v>16.28</v>
      </c>
      <c r="M608" s="3">
        <v>2.9</v>
      </c>
      <c r="N608" s="3">
        <v>6.9</v>
      </c>
      <c r="O608" s="3">
        <v>4.8</v>
      </c>
      <c r="P608" s="3"/>
      <c r="Q608" s="3">
        <v>165</v>
      </c>
      <c r="R608" s="3"/>
      <c r="S608" s="3"/>
      <c r="T608" s="3"/>
      <c r="U608" s="3"/>
      <c r="V608" s="3"/>
      <c r="W608" s="3"/>
      <c r="X608" s="3" t="s">
        <v>84</v>
      </c>
      <c r="Y608" s="3" t="s">
        <v>978</v>
      </c>
    </row>
    <row r="609" spans="1:25" ht="15" customHeight="1" x14ac:dyDescent="0.3">
      <c r="A609" s="5">
        <v>45880</v>
      </c>
      <c r="B609" s="25">
        <v>31</v>
      </c>
      <c r="C609" s="3" t="s">
        <v>38</v>
      </c>
      <c r="D609" s="3" t="s">
        <v>355</v>
      </c>
      <c r="E609" s="3">
        <v>2</v>
      </c>
      <c r="F609" s="3">
        <v>134</v>
      </c>
      <c r="G609" s="6" t="s">
        <v>936</v>
      </c>
      <c r="H609" s="3" t="s">
        <v>937</v>
      </c>
      <c r="I609" s="6" t="s">
        <v>1024</v>
      </c>
      <c r="J609" s="3">
        <v>3</v>
      </c>
      <c r="K609" s="23">
        <v>2</v>
      </c>
      <c r="L609" s="3">
        <v>16.38</v>
      </c>
      <c r="M609" s="3">
        <v>3.4</v>
      </c>
      <c r="N609" s="3">
        <v>7.4</v>
      </c>
      <c r="O609" s="3">
        <v>3.7</v>
      </c>
      <c r="P609" s="3"/>
      <c r="Q609" s="3">
        <v>165</v>
      </c>
      <c r="R609" s="3"/>
      <c r="S609" s="3"/>
      <c r="T609" s="3"/>
      <c r="U609" s="3"/>
      <c r="V609" s="3"/>
      <c r="W609" s="3"/>
      <c r="X609" s="3" t="s">
        <v>974</v>
      </c>
      <c r="Y609" s="3" t="s">
        <v>979</v>
      </c>
    </row>
    <row r="610" spans="1:25" ht="15" customHeight="1" x14ac:dyDescent="0.3">
      <c r="A610" s="5">
        <v>45880</v>
      </c>
      <c r="B610" s="25">
        <v>31</v>
      </c>
      <c r="C610" s="3" t="s">
        <v>38</v>
      </c>
      <c r="D610" s="3" t="s">
        <v>355</v>
      </c>
      <c r="E610" s="3">
        <v>2</v>
      </c>
      <c r="F610" s="3">
        <v>207</v>
      </c>
      <c r="G610" s="6" t="s">
        <v>942</v>
      </c>
      <c r="H610" s="3" t="s">
        <v>943</v>
      </c>
      <c r="I610" s="6" t="s">
        <v>111</v>
      </c>
      <c r="J610" s="3">
        <v>12</v>
      </c>
      <c r="K610" s="23">
        <v>8</v>
      </c>
      <c r="L610" s="3">
        <v>34.299999999999997</v>
      </c>
      <c r="M610" s="3">
        <v>15</v>
      </c>
      <c r="N610" s="3">
        <v>3.15</v>
      </c>
      <c r="O610" s="3"/>
      <c r="P610" s="3"/>
      <c r="Q610" s="3"/>
      <c r="R610" s="3" t="s">
        <v>133</v>
      </c>
      <c r="S610" s="3" t="s">
        <v>71</v>
      </c>
      <c r="T610" s="3">
        <v>2.5</v>
      </c>
      <c r="U610" s="3">
        <v>20</v>
      </c>
      <c r="V610" s="3">
        <v>30</v>
      </c>
      <c r="W610" s="3">
        <v>140</v>
      </c>
      <c r="X610" s="3" t="s">
        <v>613</v>
      </c>
      <c r="Y610" s="3" t="s">
        <v>980</v>
      </c>
    </row>
    <row r="611" spans="1:25" ht="15" customHeight="1" x14ac:dyDescent="0.3">
      <c r="A611" s="5">
        <v>45880</v>
      </c>
      <c r="B611" s="25">
        <v>31</v>
      </c>
      <c r="C611" s="3" t="s">
        <v>38</v>
      </c>
      <c r="D611" s="3" t="s">
        <v>355</v>
      </c>
      <c r="E611" s="3">
        <v>2</v>
      </c>
      <c r="F611" s="3">
        <v>208</v>
      </c>
      <c r="G611" s="6" t="s">
        <v>26</v>
      </c>
      <c r="H611" s="3" t="s">
        <v>843</v>
      </c>
      <c r="I611" s="6" t="s">
        <v>112</v>
      </c>
      <c r="J611" s="3">
        <v>2</v>
      </c>
      <c r="K611" s="3">
        <v>2</v>
      </c>
      <c r="L611" s="3">
        <v>36.340000000000003</v>
      </c>
      <c r="M611" s="3">
        <v>20</v>
      </c>
      <c r="N611" s="3">
        <v>3</v>
      </c>
      <c r="O611" s="3"/>
      <c r="P611" s="3"/>
      <c r="Q611" s="3"/>
      <c r="R611" s="3" t="s">
        <v>130</v>
      </c>
      <c r="S611" s="3" t="s">
        <v>853</v>
      </c>
      <c r="T611" s="3">
        <v>1</v>
      </c>
      <c r="U611" s="3">
        <v>25</v>
      </c>
      <c r="V611" s="3">
        <v>30</v>
      </c>
      <c r="W611" s="3">
        <v>118</v>
      </c>
      <c r="X611" s="3" t="s">
        <v>975</v>
      </c>
      <c r="Y611" s="3"/>
    </row>
    <row r="612" spans="1:25" ht="15" customHeight="1" x14ac:dyDescent="0.3">
      <c r="A612" s="5">
        <v>45880</v>
      </c>
      <c r="B612" s="25">
        <v>31</v>
      </c>
      <c r="C612" s="3" t="s">
        <v>38</v>
      </c>
      <c r="D612" s="3" t="s">
        <v>355</v>
      </c>
      <c r="E612" s="3">
        <v>2</v>
      </c>
      <c r="F612" s="3">
        <v>210</v>
      </c>
      <c r="G612" s="6" t="s">
        <v>967</v>
      </c>
      <c r="H612" s="3" t="s">
        <v>968</v>
      </c>
      <c r="I612" s="6" t="s">
        <v>111</v>
      </c>
      <c r="J612" s="3">
        <v>4</v>
      </c>
      <c r="K612" s="3">
        <v>4</v>
      </c>
      <c r="L612" s="3">
        <v>19.7</v>
      </c>
      <c r="M612" s="3">
        <v>6</v>
      </c>
      <c r="N612" s="3">
        <v>4</v>
      </c>
      <c r="O612" s="3"/>
      <c r="P612" s="3"/>
      <c r="Q612" s="3"/>
      <c r="R612" s="3" t="s">
        <v>70</v>
      </c>
      <c r="S612" s="3" t="s">
        <v>869</v>
      </c>
      <c r="T612" s="3">
        <v>1</v>
      </c>
      <c r="U612" s="3">
        <v>20</v>
      </c>
      <c r="V612" s="3">
        <v>30</v>
      </c>
      <c r="W612" s="3">
        <v>100</v>
      </c>
      <c r="X612" s="3" t="s">
        <v>730</v>
      </c>
      <c r="Y612" s="3" t="s">
        <v>981</v>
      </c>
    </row>
    <row r="613" spans="1:25" ht="15" customHeight="1" x14ac:dyDescent="0.3">
      <c r="A613" s="5">
        <v>45880</v>
      </c>
      <c r="B613" s="25">
        <v>31</v>
      </c>
      <c r="C613" s="3" t="s">
        <v>38</v>
      </c>
      <c r="D613" s="3" t="s">
        <v>355</v>
      </c>
      <c r="E613" s="3">
        <v>2</v>
      </c>
      <c r="F613" s="3">
        <v>501</v>
      </c>
      <c r="G613" s="6" t="s">
        <v>969</v>
      </c>
      <c r="H613" s="3" t="s">
        <v>970</v>
      </c>
      <c r="I613" s="6" t="s">
        <v>110</v>
      </c>
      <c r="J613" s="3">
        <v>6</v>
      </c>
      <c r="K613" s="3">
        <v>6</v>
      </c>
      <c r="L613" s="3">
        <v>17.62</v>
      </c>
      <c r="M613" s="3"/>
      <c r="N613" s="3"/>
      <c r="O613" s="3">
        <v>12</v>
      </c>
      <c r="P613" s="3"/>
      <c r="Q613" s="3"/>
      <c r="R613" s="3"/>
      <c r="S613" s="3"/>
      <c r="T613" s="3"/>
      <c r="U613" s="3"/>
      <c r="V613" s="3"/>
      <c r="W613" s="3"/>
      <c r="X613" s="3" t="s">
        <v>151</v>
      </c>
      <c r="Y613" s="3"/>
    </row>
    <row r="614" spans="1:25" ht="15" customHeight="1" x14ac:dyDescent="0.3">
      <c r="A614" s="5">
        <v>45880</v>
      </c>
      <c r="B614" s="25">
        <v>31</v>
      </c>
      <c r="C614" s="3" t="s">
        <v>38</v>
      </c>
      <c r="D614" s="3" t="s">
        <v>355</v>
      </c>
      <c r="E614" s="3">
        <v>2</v>
      </c>
      <c r="F614" s="3">
        <v>503</v>
      </c>
      <c r="G614" s="6" t="s">
        <v>946</v>
      </c>
      <c r="H614" s="3" t="s">
        <v>947</v>
      </c>
      <c r="I614" s="6" t="s">
        <v>110</v>
      </c>
      <c r="J614" s="3">
        <v>2</v>
      </c>
      <c r="K614" s="3">
        <v>2</v>
      </c>
      <c r="L614" s="3">
        <v>17</v>
      </c>
      <c r="M614" s="3"/>
      <c r="N614" s="3"/>
      <c r="O614" s="3">
        <v>18</v>
      </c>
      <c r="P614" s="3"/>
      <c r="Q614" s="3"/>
      <c r="R614" s="3"/>
      <c r="S614" s="3"/>
      <c r="T614" s="3"/>
      <c r="U614" s="3"/>
      <c r="V614" s="3"/>
      <c r="W614" s="3"/>
      <c r="X614" s="3" t="s">
        <v>618</v>
      </c>
      <c r="Y614" s="3"/>
    </row>
    <row r="615" spans="1:25" ht="15" customHeight="1" x14ac:dyDescent="0.3">
      <c r="A615" s="27">
        <v>45883</v>
      </c>
      <c r="B615" s="25">
        <v>35</v>
      </c>
      <c r="C615" s="3" t="s">
        <v>38</v>
      </c>
      <c r="D615" s="3" t="s">
        <v>545</v>
      </c>
      <c r="E615" s="3">
        <v>2</v>
      </c>
      <c r="F615" s="3">
        <v>103</v>
      </c>
      <c r="G615" s="6" t="s">
        <v>163</v>
      </c>
      <c r="H615" s="3" t="s">
        <v>928</v>
      </c>
      <c r="I615" s="6" t="s">
        <v>793</v>
      </c>
      <c r="J615" s="3">
        <v>5</v>
      </c>
      <c r="K615" s="3">
        <v>5</v>
      </c>
      <c r="L615" s="3">
        <v>15.19</v>
      </c>
      <c r="M615" s="3">
        <v>3.9</v>
      </c>
      <c r="N615" s="3">
        <v>7</v>
      </c>
      <c r="O615" s="3">
        <v>5.8</v>
      </c>
      <c r="P615" s="3">
        <v>30</v>
      </c>
      <c r="Q615" s="3">
        <v>165</v>
      </c>
      <c r="R615" s="3"/>
      <c r="S615" s="3"/>
      <c r="T615" s="3"/>
      <c r="U615" s="3"/>
      <c r="V615" s="3"/>
      <c r="W615" s="3"/>
      <c r="X615" s="3" t="s">
        <v>972</v>
      </c>
      <c r="Y615" s="3" t="s">
        <v>79</v>
      </c>
    </row>
    <row r="616" spans="1:25" ht="15" customHeight="1" x14ac:dyDescent="0.3">
      <c r="A616" s="27">
        <v>45883</v>
      </c>
      <c r="B616" s="25">
        <v>35</v>
      </c>
      <c r="C616" s="3" t="s">
        <v>38</v>
      </c>
      <c r="D616" s="3" t="s">
        <v>545</v>
      </c>
      <c r="E616" s="3">
        <v>2</v>
      </c>
      <c r="F616" s="3">
        <v>162</v>
      </c>
      <c r="G616" s="6" t="s">
        <v>875</v>
      </c>
      <c r="H616" s="3" t="s">
        <v>982</v>
      </c>
      <c r="I616" s="6" t="s">
        <v>1024</v>
      </c>
      <c r="J616" s="3">
        <v>2</v>
      </c>
      <c r="K616" s="3">
        <v>2</v>
      </c>
      <c r="L616" s="3">
        <v>18</v>
      </c>
      <c r="M616" s="3">
        <v>5</v>
      </c>
      <c r="N616" s="3">
        <v>8</v>
      </c>
      <c r="O616" s="3">
        <v>2.5</v>
      </c>
      <c r="P616" s="3">
        <v>14</v>
      </c>
      <c r="Q616" s="3"/>
      <c r="R616" s="3"/>
      <c r="S616" s="3"/>
      <c r="T616" s="3"/>
      <c r="U616" s="3"/>
      <c r="V616" s="3"/>
      <c r="W616" s="3"/>
      <c r="X616" s="3" t="s">
        <v>288</v>
      </c>
      <c r="Y616" s="3" t="s">
        <v>1017</v>
      </c>
    </row>
    <row r="617" spans="1:25" ht="15" customHeight="1" x14ac:dyDescent="0.3">
      <c r="A617" s="27">
        <v>45883</v>
      </c>
      <c r="B617" s="25">
        <v>35</v>
      </c>
      <c r="C617" s="3" t="s">
        <v>38</v>
      </c>
      <c r="D617" s="3" t="s">
        <v>545</v>
      </c>
      <c r="E617" s="3">
        <v>2</v>
      </c>
      <c r="F617" s="3">
        <v>163</v>
      </c>
      <c r="G617" s="6" t="s">
        <v>361</v>
      </c>
      <c r="H617" s="3" t="s">
        <v>820</v>
      </c>
      <c r="I617" s="6" t="s">
        <v>1024</v>
      </c>
      <c r="J617" s="3">
        <v>2</v>
      </c>
      <c r="K617" s="3">
        <v>2</v>
      </c>
      <c r="L617" s="3">
        <v>24.3</v>
      </c>
      <c r="M617" s="3">
        <v>6.5</v>
      </c>
      <c r="N617" s="3">
        <v>10.5</v>
      </c>
      <c r="O617" s="3">
        <v>4</v>
      </c>
      <c r="P617" s="3">
        <v>31</v>
      </c>
      <c r="Q617" s="3">
        <v>170</v>
      </c>
      <c r="R617" s="3"/>
      <c r="S617" s="3"/>
      <c r="T617" s="3"/>
      <c r="U617" s="3"/>
      <c r="V617" s="3"/>
      <c r="W617" s="3"/>
      <c r="X617" s="3" t="s">
        <v>138</v>
      </c>
      <c r="Y617" s="3" t="s">
        <v>1018</v>
      </c>
    </row>
    <row r="618" spans="1:25" ht="15" customHeight="1" x14ac:dyDescent="0.3">
      <c r="A618" s="27">
        <v>45883</v>
      </c>
      <c r="B618" s="25">
        <v>35</v>
      </c>
      <c r="C618" s="3" t="s">
        <v>38</v>
      </c>
      <c r="D618" s="3" t="s">
        <v>545</v>
      </c>
      <c r="E618" s="3">
        <v>2</v>
      </c>
      <c r="F618" s="3">
        <v>181</v>
      </c>
      <c r="G618" s="6" t="s">
        <v>276</v>
      </c>
      <c r="H618" s="3" t="s">
        <v>964</v>
      </c>
      <c r="I618" s="6" t="s">
        <v>1024</v>
      </c>
      <c r="J618" s="3">
        <v>4</v>
      </c>
      <c r="K618" s="3">
        <v>4</v>
      </c>
      <c r="L618" s="3">
        <v>14</v>
      </c>
      <c r="M618" s="3">
        <v>4</v>
      </c>
      <c r="N618" s="3">
        <v>6</v>
      </c>
      <c r="O618" s="3">
        <v>3</v>
      </c>
      <c r="P618" s="3">
        <v>34</v>
      </c>
      <c r="Q618" s="3">
        <v>180</v>
      </c>
      <c r="R618" s="3"/>
      <c r="S618" s="3"/>
      <c r="T618" s="3"/>
      <c r="U618" s="3"/>
      <c r="V618" s="3"/>
      <c r="W618" s="3"/>
      <c r="X618" s="3" t="s">
        <v>686</v>
      </c>
      <c r="Y618" s="3" t="s">
        <v>153</v>
      </c>
    </row>
    <row r="619" spans="1:25" ht="15" customHeight="1" x14ac:dyDescent="0.3">
      <c r="A619" s="27">
        <v>45883</v>
      </c>
      <c r="B619" s="25">
        <v>35</v>
      </c>
      <c r="C619" s="3" t="s">
        <v>38</v>
      </c>
      <c r="D619" s="3" t="s">
        <v>545</v>
      </c>
      <c r="E619" s="3">
        <v>2</v>
      </c>
      <c r="F619" s="3">
        <v>404</v>
      </c>
      <c r="G619" s="6" t="s">
        <v>983</v>
      </c>
      <c r="H619" s="3" t="s">
        <v>984</v>
      </c>
      <c r="I619" s="6" t="s">
        <v>1024</v>
      </c>
      <c r="J619" s="3">
        <v>2</v>
      </c>
      <c r="K619" s="3">
        <v>2</v>
      </c>
      <c r="L619" s="3">
        <v>7.4</v>
      </c>
      <c r="M619" s="3"/>
      <c r="N619" s="3"/>
      <c r="O619" s="3">
        <v>2.5</v>
      </c>
      <c r="P619" s="3"/>
      <c r="Q619" s="3"/>
      <c r="R619" s="3"/>
      <c r="S619" s="3"/>
      <c r="T619" s="3"/>
      <c r="U619" s="3"/>
      <c r="V619" s="3"/>
      <c r="W619" s="3"/>
      <c r="X619" s="3" t="s">
        <v>1010</v>
      </c>
      <c r="Y619" s="3"/>
    </row>
    <row r="620" spans="1:25" ht="15" customHeight="1" x14ac:dyDescent="0.3">
      <c r="A620" s="27">
        <v>45883</v>
      </c>
      <c r="B620" s="25">
        <v>35</v>
      </c>
      <c r="C620" s="3" t="s">
        <v>38</v>
      </c>
      <c r="D620" s="3" t="s">
        <v>545</v>
      </c>
      <c r="E620" s="3">
        <v>2</v>
      </c>
      <c r="F620" s="3">
        <v>172</v>
      </c>
      <c r="G620" s="6" t="s">
        <v>985</v>
      </c>
      <c r="H620" s="3" t="s">
        <v>986</v>
      </c>
      <c r="I620" s="6" t="s">
        <v>1024</v>
      </c>
      <c r="J620" s="3">
        <v>4</v>
      </c>
      <c r="K620" s="3">
        <v>4</v>
      </c>
      <c r="L620" s="3">
        <v>15.89</v>
      </c>
      <c r="M620" s="3">
        <v>0.5</v>
      </c>
      <c r="N620" s="3">
        <v>10</v>
      </c>
      <c r="O620" s="3">
        <v>8</v>
      </c>
      <c r="P620" s="3" t="s">
        <v>1001</v>
      </c>
      <c r="Q620" s="3">
        <v>167</v>
      </c>
      <c r="R620" s="3"/>
      <c r="S620" s="3"/>
      <c r="T620" s="3"/>
      <c r="U620" s="3"/>
      <c r="V620" s="3"/>
      <c r="W620" s="3"/>
      <c r="X620" s="3" t="s">
        <v>1011</v>
      </c>
      <c r="Y620" s="3" t="s">
        <v>80</v>
      </c>
    </row>
    <row r="621" spans="1:25" ht="15" customHeight="1" x14ac:dyDescent="0.3">
      <c r="A621" s="27">
        <v>45883</v>
      </c>
      <c r="B621" s="25">
        <v>35</v>
      </c>
      <c r="C621" s="3" t="s">
        <v>38</v>
      </c>
      <c r="D621" s="3" t="s">
        <v>545</v>
      </c>
      <c r="E621" s="3">
        <v>2</v>
      </c>
      <c r="F621" s="3">
        <v>173</v>
      </c>
      <c r="G621" s="6" t="s">
        <v>883</v>
      </c>
      <c r="H621" s="3" t="s">
        <v>884</v>
      </c>
      <c r="I621" s="6" t="s">
        <v>1024</v>
      </c>
      <c r="J621" s="3">
        <v>5</v>
      </c>
      <c r="K621" s="3">
        <v>5</v>
      </c>
      <c r="L621" s="3">
        <v>16.38</v>
      </c>
      <c r="M621" s="3">
        <v>1.2</v>
      </c>
      <c r="N621" s="3">
        <v>11</v>
      </c>
      <c r="O621" s="3">
        <v>7</v>
      </c>
      <c r="P621" s="3" t="s">
        <v>1002</v>
      </c>
      <c r="Q621" s="3">
        <v>170</v>
      </c>
      <c r="R621" s="3"/>
      <c r="S621" s="3"/>
      <c r="T621" s="3"/>
      <c r="U621" s="3"/>
      <c r="V621" s="3"/>
      <c r="W621" s="3"/>
      <c r="X621" s="3" t="s">
        <v>288</v>
      </c>
      <c r="Y621" s="3" t="s">
        <v>84</v>
      </c>
    </row>
    <row r="622" spans="1:25" ht="15" customHeight="1" x14ac:dyDescent="0.3">
      <c r="A622" s="27">
        <v>45883</v>
      </c>
      <c r="B622" s="25">
        <v>35</v>
      </c>
      <c r="C622" s="3" t="s">
        <v>38</v>
      </c>
      <c r="D622" s="3" t="s">
        <v>545</v>
      </c>
      <c r="E622" s="3">
        <v>2</v>
      </c>
      <c r="F622" s="3">
        <v>175</v>
      </c>
      <c r="G622" s="6" t="s">
        <v>987</v>
      </c>
      <c r="H622" s="3" t="s">
        <v>988</v>
      </c>
      <c r="I622" s="6" t="s">
        <v>1024</v>
      </c>
      <c r="J622" s="3">
        <v>5</v>
      </c>
      <c r="K622" s="3">
        <v>5</v>
      </c>
      <c r="L622" s="3">
        <v>12.5</v>
      </c>
      <c r="M622" s="3">
        <v>0.7</v>
      </c>
      <c r="N622" s="3">
        <v>6.5</v>
      </c>
      <c r="O622" s="3">
        <v>5</v>
      </c>
      <c r="P622" s="3" t="s">
        <v>1003</v>
      </c>
      <c r="Q622" s="3">
        <v>165</v>
      </c>
      <c r="R622" s="3"/>
      <c r="S622" s="3"/>
      <c r="T622" s="3"/>
      <c r="U622" s="3"/>
      <c r="V622" s="3"/>
      <c r="W622" s="3"/>
      <c r="X622" s="3" t="s">
        <v>902</v>
      </c>
      <c r="Y622" s="3" t="s">
        <v>87</v>
      </c>
    </row>
    <row r="623" spans="1:25" ht="15" customHeight="1" x14ac:dyDescent="0.3">
      <c r="A623" s="27">
        <v>45883</v>
      </c>
      <c r="B623" s="25">
        <v>35</v>
      </c>
      <c r="C623" s="3" t="s">
        <v>38</v>
      </c>
      <c r="D623" s="3" t="s">
        <v>545</v>
      </c>
      <c r="E623" s="3">
        <v>2</v>
      </c>
      <c r="F623" s="3">
        <v>176</v>
      </c>
      <c r="G623" s="6" t="s">
        <v>989</v>
      </c>
      <c r="H623" s="3" t="s">
        <v>990</v>
      </c>
      <c r="I623" s="6" t="s">
        <v>1024</v>
      </c>
      <c r="J623" s="3">
        <v>5</v>
      </c>
      <c r="K623" s="3">
        <v>5</v>
      </c>
      <c r="L623" s="3">
        <v>19.09</v>
      </c>
      <c r="M623" s="3">
        <v>2.5</v>
      </c>
      <c r="N623" s="3">
        <v>13</v>
      </c>
      <c r="O623" s="3">
        <v>8</v>
      </c>
      <c r="P623" s="3" t="s">
        <v>1004</v>
      </c>
      <c r="Q623" s="3">
        <v>165</v>
      </c>
      <c r="R623" s="3"/>
      <c r="S623" s="3"/>
      <c r="T623" s="3"/>
      <c r="U623" s="3"/>
      <c r="V623" s="3"/>
      <c r="W623" s="3"/>
      <c r="X623" s="3" t="s">
        <v>79</v>
      </c>
      <c r="Y623" s="3" t="s">
        <v>80</v>
      </c>
    </row>
    <row r="624" spans="1:25" ht="15" customHeight="1" x14ac:dyDescent="0.3">
      <c r="A624" s="27">
        <v>45883</v>
      </c>
      <c r="B624" s="25">
        <v>35</v>
      </c>
      <c r="C624" s="3" t="s">
        <v>38</v>
      </c>
      <c r="D624" s="3" t="s">
        <v>545</v>
      </c>
      <c r="E624" s="3">
        <v>2</v>
      </c>
      <c r="F624" s="3">
        <v>135</v>
      </c>
      <c r="G624" s="6" t="s">
        <v>21</v>
      </c>
      <c r="H624" s="3" t="s">
        <v>991</v>
      </c>
      <c r="I624" s="6" t="s">
        <v>1024</v>
      </c>
      <c r="J624" s="3">
        <v>2</v>
      </c>
      <c r="K624" s="3">
        <v>2</v>
      </c>
      <c r="L624" s="3">
        <v>21.38</v>
      </c>
      <c r="M624" s="3">
        <v>5.4</v>
      </c>
      <c r="N624" s="3">
        <v>10.199999999999999</v>
      </c>
      <c r="O624" s="3">
        <v>5</v>
      </c>
      <c r="P624" s="3"/>
      <c r="Q624" s="3"/>
      <c r="R624" s="3"/>
      <c r="S624" s="3"/>
      <c r="T624" s="3"/>
      <c r="U624" s="3"/>
      <c r="V624" s="3"/>
      <c r="W624" s="3"/>
      <c r="X624" s="3" t="s">
        <v>1012</v>
      </c>
      <c r="Y624" s="3" t="s">
        <v>1019</v>
      </c>
    </row>
    <row r="625" spans="1:25" ht="15" customHeight="1" x14ac:dyDescent="0.3">
      <c r="A625" s="27">
        <v>45883</v>
      </c>
      <c r="B625" s="25">
        <v>35</v>
      </c>
      <c r="C625" s="3" t="s">
        <v>38</v>
      </c>
      <c r="D625" s="3" t="s">
        <v>545</v>
      </c>
      <c r="E625" s="3">
        <v>2</v>
      </c>
      <c r="F625" s="3">
        <v>138</v>
      </c>
      <c r="G625" s="6" t="s">
        <v>992</v>
      </c>
      <c r="H625" s="3" t="s">
        <v>993</v>
      </c>
      <c r="I625" s="6" t="s">
        <v>1024</v>
      </c>
      <c r="J625" s="3">
        <v>3</v>
      </c>
      <c r="K625" s="3">
        <v>3</v>
      </c>
      <c r="L625" s="3">
        <v>11.57</v>
      </c>
      <c r="M625" s="3">
        <v>2.5</v>
      </c>
      <c r="N625" s="3">
        <v>5.2</v>
      </c>
      <c r="O625" s="3">
        <v>3</v>
      </c>
      <c r="P625" s="3"/>
      <c r="Q625" s="3">
        <v>187</v>
      </c>
      <c r="R625" s="3"/>
      <c r="S625" s="3"/>
      <c r="T625" s="3"/>
      <c r="U625" s="3"/>
      <c r="V625" s="3"/>
      <c r="W625" s="3"/>
      <c r="X625" s="3" t="s">
        <v>1013</v>
      </c>
      <c r="Y625" s="3" t="s">
        <v>1020</v>
      </c>
    </row>
    <row r="626" spans="1:25" ht="15" customHeight="1" x14ac:dyDescent="0.3">
      <c r="A626" s="27">
        <v>45883</v>
      </c>
      <c r="B626" s="25">
        <v>35</v>
      </c>
      <c r="C626" s="3" t="s">
        <v>38</v>
      </c>
      <c r="D626" s="3" t="s">
        <v>545</v>
      </c>
      <c r="E626" s="3">
        <v>2</v>
      </c>
      <c r="F626" s="3">
        <v>201</v>
      </c>
      <c r="G626" s="6" t="s">
        <v>994</v>
      </c>
      <c r="H626" s="3" t="s">
        <v>995</v>
      </c>
      <c r="I626" s="6" t="s">
        <v>110</v>
      </c>
      <c r="J626" s="3">
        <v>32</v>
      </c>
      <c r="K626" s="23">
        <v>29</v>
      </c>
      <c r="L626" s="3">
        <v>24.8</v>
      </c>
      <c r="M626" s="3">
        <v>13</v>
      </c>
      <c r="N626" s="3">
        <v>3</v>
      </c>
      <c r="O626" s="3"/>
      <c r="P626" s="3"/>
      <c r="Q626" s="3"/>
      <c r="R626" s="3" t="s">
        <v>315</v>
      </c>
      <c r="S626" s="3" t="s">
        <v>63</v>
      </c>
      <c r="T626" s="3">
        <v>0.8</v>
      </c>
      <c r="U626" s="3">
        <v>20</v>
      </c>
      <c r="V626" s="3">
        <v>25</v>
      </c>
      <c r="W626" s="3">
        <v>130</v>
      </c>
      <c r="X626" s="3" t="s">
        <v>1014</v>
      </c>
      <c r="Y626" s="3"/>
    </row>
    <row r="627" spans="1:25" ht="15" customHeight="1" x14ac:dyDescent="0.3">
      <c r="A627" s="27">
        <v>45883</v>
      </c>
      <c r="B627" s="25">
        <v>35</v>
      </c>
      <c r="C627" s="3" t="s">
        <v>38</v>
      </c>
      <c r="D627" s="3" t="s">
        <v>545</v>
      </c>
      <c r="E627" s="3">
        <v>2</v>
      </c>
      <c r="F627" s="3">
        <v>204</v>
      </c>
      <c r="G627" s="6" t="s">
        <v>996</v>
      </c>
      <c r="H627" s="3" t="s">
        <v>997</v>
      </c>
      <c r="I627" s="6" t="s">
        <v>111</v>
      </c>
      <c r="J627" s="3">
        <v>4</v>
      </c>
      <c r="K627" s="23">
        <v>3</v>
      </c>
      <c r="L627" s="3">
        <v>21.2</v>
      </c>
      <c r="M627" s="3">
        <v>8</v>
      </c>
      <c r="N627" s="3">
        <v>3</v>
      </c>
      <c r="O627" s="3"/>
      <c r="P627" s="3"/>
      <c r="Q627" s="3"/>
      <c r="R627" s="3" t="s">
        <v>1005</v>
      </c>
      <c r="S627" s="3" t="s">
        <v>1008</v>
      </c>
      <c r="T627" s="3">
        <v>2</v>
      </c>
      <c r="U627" s="3">
        <v>15</v>
      </c>
      <c r="V627" s="3">
        <v>20</v>
      </c>
      <c r="W627" s="3">
        <v>140</v>
      </c>
      <c r="X627" s="3" t="s">
        <v>1015</v>
      </c>
      <c r="Y627" s="3" t="s">
        <v>1021</v>
      </c>
    </row>
    <row r="628" spans="1:25" ht="15" customHeight="1" x14ac:dyDescent="0.3">
      <c r="A628" s="27">
        <v>45883</v>
      </c>
      <c r="B628" s="25">
        <v>35</v>
      </c>
      <c r="C628" s="3" t="s">
        <v>38</v>
      </c>
      <c r="D628" s="3" t="s">
        <v>545</v>
      </c>
      <c r="E628" s="3">
        <v>2</v>
      </c>
      <c r="F628" s="3">
        <v>207</v>
      </c>
      <c r="G628" s="6" t="s">
        <v>476</v>
      </c>
      <c r="H628" s="3" t="s">
        <v>998</v>
      </c>
      <c r="I628" s="6" t="s">
        <v>111</v>
      </c>
      <c r="J628" s="3">
        <v>12</v>
      </c>
      <c r="K628" s="23">
        <v>7</v>
      </c>
      <c r="L628" s="3">
        <v>34.299999999999997</v>
      </c>
      <c r="M628" s="3">
        <v>15</v>
      </c>
      <c r="N628" s="3">
        <v>3.15</v>
      </c>
      <c r="O628" s="3"/>
      <c r="P628" s="3"/>
      <c r="Q628" s="3"/>
      <c r="R628" s="3" t="s">
        <v>133</v>
      </c>
      <c r="S628" s="3" t="s">
        <v>71</v>
      </c>
      <c r="T628" s="3">
        <v>2.5</v>
      </c>
      <c r="U628" s="3">
        <v>20</v>
      </c>
      <c r="V628" s="3">
        <v>30</v>
      </c>
      <c r="W628" s="3">
        <v>140</v>
      </c>
      <c r="X628" s="3" t="s">
        <v>613</v>
      </c>
      <c r="Y628" s="3" t="s">
        <v>1022</v>
      </c>
    </row>
    <row r="629" spans="1:25" ht="15" customHeight="1" x14ac:dyDescent="0.3">
      <c r="A629" s="27">
        <v>45883</v>
      </c>
      <c r="B629" s="25">
        <v>35</v>
      </c>
      <c r="C629" s="3" t="s">
        <v>38</v>
      </c>
      <c r="D629" s="3" t="s">
        <v>545</v>
      </c>
      <c r="E629" s="3">
        <v>2</v>
      </c>
      <c r="F629" s="3">
        <v>210</v>
      </c>
      <c r="G629" s="6" t="s">
        <v>999</v>
      </c>
      <c r="H629" s="3" t="s">
        <v>1000</v>
      </c>
      <c r="I629" s="6" t="s">
        <v>111</v>
      </c>
      <c r="J629" s="3">
        <v>4</v>
      </c>
      <c r="K629" s="3">
        <v>4</v>
      </c>
      <c r="L629" s="3">
        <v>19.7</v>
      </c>
      <c r="M629" s="3">
        <v>6</v>
      </c>
      <c r="N629" s="3">
        <v>4</v>
      </c>
      <c r="O629" s="3"/>
      <c r="P629" s="3"/>
      <c r="Q629" s="3"/>
      <c r="R629" s="3" t="s">
        <v>1006</v>
      </c>
      <c r="S629" s="3" t="s">
        <v>1009</v>
      </c>
      <c r="T629" s="3">
        <v>1</v>
      </c>
      <c r="U629" s="3">
        <v>20</v>
      </c>
      <c r="V629" s="3">
        <v>30</v>
      </c>
      <c r="W629" s="3">
        <v>100</v>
      </c>
      <c r="X629" s="3" t="s">
        <v>730</v>
      </c>
      <c r="Y629" s="3" t="s">
        <v>1023</v>
      </c>
    </row>
    <row r="630" spans="1:25" ht="15" customHeight="1" x14ac:dyDescent="0.3">
      <c r="A630" s="27">
        <v>45883</v>
      </c>
      <c r="B630" s="25">
        <v>35</v>
      </c>
      <c r="C630" s="3" t="s">
        <v>38</v>
      </c>
      <c r="D630" s="3" t="s">
        <v>545</v>
      </c>
      <c r="E630" s="3">
        <v>2</v>
      </c>
      <c r="F630" s="3">
        <v>501</v>
      </c>
      <c r="G630" s="6" t="s">
        <v>969</v>
      </c>
      <c r="H630" s="3" t="s">
        <v>970</v>
      </c>
      <c r="I630" s="6" t="s">
        <v>110</v>
      </c>
      <c r="J630" s="3">
        <v>6</v>
      </c>
      <c r="K630" s="3">
        <v>6</v>
      </c>
      <c r="L630" s="3">
        <v>17.62</v>
      </c>
      <c r="M630" s="3"/>
      <c r="N630" s="3"/>
      <c r="O630" s="3">
        <v>12</v>
      </c>
      <c r="P630" s="3"/>
      <c r="Q630" s="3"/>
      <c r="R630" s="3"/>
      <c r="S630" s="3"/>
      <c r="T630" s="3"/>
      <c r="U630" s="3"/>
      <c r="V630" s="3"/>
      <c r="W630" s="3"/>
      <c r="X630" s="3" t="s">
        <v>151</v>
      </c>
      <c r="Y630" s="3"/>
    </row>
    <row r="631" spans="1:25" ht="15" customHeight="1" x14ac:dyDescent="0.3">
      <c r="A631" s="27">
        <v>45883</v>
      </c>
      <c r="B631" s="25">
        <v>35</v>
      </c>
      <c r="C631" s="3" t="s">
        <v>38</v>
      </c>
      <c r="D631" s="3" t="s">
        <v>545</v>
      </c>
      <c r="E631" s="3">
        <v>2</v>
      </c>
      <c r="F631" s="3">
        <v>505</v>
      </c>
      <c r="G631" s="6" t="s">
        <v>948</v>
      </c>
      <c r="H631" s="3" t="s">
        <v>949</v>
      </c>
      <c r="I631" s="6" t="s">
        <v>110</v>
      </c>
      <c r="J631" s="3">
        <v>12</v>
      </c>
      <c r="K631" s="3">
        <v>12</v>
      </c>
      <c r="L631" s="3">
        <v>88.8</v>
      </c>
      <c r="M631" s="3"/>
      <c r="N631" s="3"/>
      <c r="O631" s="3">
        <v>10</v>
      </c>
      <c r="P631" s="3"/>
      <c r="Q631" s="3"/>
      <c r="R631" s="3" t="s">
        <v>1007</v>
      </c>
      <c r="S631" s="3" t="s">
        <v>1007</v>
      </c>
      <c r="T631" s="3"/>
      <c r="U631" s="3"/>
      <c r="V631" s="3"/>
      <c r="W631" s="3"/>
      <c r="X631" s="3" t="s">
        <v>1016</v>
      </c>
      <c r="Y631" s="3"/>
    </row>
    <row r="632" spans="1:25" ht="15" customHeight="1" x14ac:dyDescent="0.3">
      <c r="A632" s="5">
        <v>45884</v>
      </c>
      <c r="B632" s="25">
        <v>32</v>
      </c>
      <c r="C632" s="3" t="s">
        <v>38</v>
      </c>
      <c r="D632" s="3" t="s">
        <v>545</v>
      </c>
      <c r="E632" s="3">
        <v>2</v>
      </c>
      <c r="F632" s="3">
        <v>103</v>
      </c>
      <c r="G632" s="6" t="s">
        <v>163</v>
      </c>
      <c r="H632" s="3" t="s">
        <v>928</v>
      </c>
      <c r="I632" s="6" t="s">
        <v>793</v>
      </c>
      <c r="J632" s="3">
        <v>5</v>
      </c>
      <c r="K632" s="3">
        <v>5</v>
      </c>
      <c r="L632" s="3">
        <v>14.88</v>
      </c>
      <c r="M632" s="3">
        <v>3.9</v>
      </c>
      <c r="N632" s="3">
        <v>7</v>
      </c>
      <c r="O632" s="3">
        <v>5.8</v>
      </c>
      <c r="P632" s="3">
        <v>30</v>
      </c>
      <c r="Q632" s="3">
        <v>170</v>
      </c>
      <c r="R632" s="3"/>
      <c r="S632" s="3"/>
      <c r="T632" s="3"/>
      <c r="U632" s="3"/>
      <c r="V632" s="3"/>
      <c r="W632" s="3"/>
      <c r="X632" s="3" t="s">
        <v>972</v>
      </c>
      <c r="Y632" s="3" t="s">
        <v>79</v>
      </c>
    </row>
    <row r="633" spans="1:25" ht="15" customHeight="1" x14ac:dyDescent="0.3">
      <c r="A633" s="5">
        <v>45884</v>
      </c>
      <c r="B633" s="25">
        <v>32</v>
      </c>
      <c r="C633" s="3" t="s">
        <v>38</v>
      </c>
      <c r="D633" s="3" t="s">
        <v>545</v>
      </c>
      <c r="E633" s="3">
        <v>2</v>
      </c>
      <c r="F633" s="3">
        <v>104</v>
      </c>
      <c r="G633" s="6" t="s">
        <v>834</v>
      </c>
      <c r="H633" s="3" t="s">
        <v>1025</v>
      </c>
      <c r="I633" s="6" t="s">
        <v>793</v>
      </c>
      <c r="J633" s="3">
        <v>6</v>
      </c>
      <c r="K633" s="3">
        <v>6</v>
      </c>
      <c r="L633" s="3">
        <v>15.39</v>
      </c>
      <c r="M633" s="3">
        <v>5</v>
      </c>
      <c r="N633" s="3">
        <v>5.5</v>
      </c>
      <c r="O633" s="3">
        <v>4.8</v>
      </c>
      <c r="P633" s="3"/>
      <c r="Q633" s="3">
        <v>170</v>
      </c>
      <c r="R633" s="3"/>
      <c r="S633" s="3"/>
      <c r="T633" s="3"/>
      <c r="U633" s="3"/>
      <c r="V633" s="3"/>
      <c r="W633" s="3"/>
      <c r="X633" s="3" t="s">
        <v>1037</v>
      </c>
      <c r="Y633" s="3" t="s">
        <v>84</v>
      </c>
    </row>
    <row r="634" spans="1:25" ht="15" customHeight="1" x14ac:dyDescent="0.3">
      <c r="A634" s="5">
        <v>45884</v>
      </c>
      <c r="B634" s="25">
        <v>32</v>
      </c>
      <c r="C634" s="3" t="s">
        <v>38</v>
      </c>
      <c r="D634" s="3" t="s">
        <v>545</v>
      </c>
      <c r="E634" s="3">
        <v>2</v>
      </c>
      <c r="F634" s="3">
        <v>162</v>
      </c>
      <c r="G634" s="6" t="s">
        <v>875</v>
      </c>
      <c r="H634" s="3" t="s">
        <v>982</v>
      </c>
      <c r="I634" s="6" t="s">
        <v>1024</v>
      </c>
      <c r="J634" s="3">
        <v>2</v>
      </c>
      <c r="K634" s="3">
        <v>2</v>
      </c>
      <c r="L634" s="3">
        <v>18</v>
      </c>
      <c r="M634" s="3">
        <v>5</v>
      </c>
      <c r="N634" s="3">
        <v>8</v>
      </c>
      <c r="O634" s="3">
        <v>2.5</v>
      </c>
      <c r="P634" s="3">
        <v>15</v>
      </c>
      <c r="Q634" s="3"/>
      <c r="R634" s="3"/>
      <c r="S634" s="3"/>
      <c r="T634" s="3"/>
      <c r="U634" s="3"/>
      <c r="V634" s="3"/>
      <c r="W634" s="3"/>
      <c r="X634" s="3" t="s">
        <v>288</v>
      </c>
      <c r="Y634" s="3" t="s">
        <v>1017</v>
      </c>
    </row>
    <row r="635" spans="1:25" ht="15" customHeight="1" x14ac:dyDescent="0.3">
      <c r="A635" s="5">
        <v>45884</v>
      </c>
      <c r="B635" s="25">
        <v>32</v>
      </c>
      <c r="C635" s="3" t="s">
        <v>38</v>
      </c>
      <c r="D635" s="3" t="s">
        <v>545</v>
      </c>
      <c r="E635" s="3">
        <v>2</v>
      </c>
      <c r="F635" s="3">
        <v>164</v>
      </c>
      <c r="G635" s="6" t="s">
        <v>1026</v>
      </c>
      <c r="H635" s="3" t="s">
        <v>1027</v>
      </c>
      <c r="I635" s="6" t="s">
        <v>1024</v>
      </c>
      <c r="J635" s="3">
        <v>2</v>
      </c>
      <c r="K635" s="3">
        <v>2</v>
      </c>
      <c r="L635" s="3">
        <v>24</v>
      </c>
      <c r="M635" s="3">
        <v>7</v>
      </c>
      <c r="N635" s="3">
        <v>11</v>
      </c>
      <c r="O635" s="3">
        <v>4</v>
      </c>
      <c r="P635" s="3">
        <v>25</v>
      </c>
      <c r="Q635" s="3">
        <v>180</v>
      </c>
      <c r="R635" s="3"/>
      <c r="S635" s="3"/>
      <c r="T635" s="3"/>
      <c r="U635" s="3"/>
      <c r="V635" s="3"/>
      <c r="W635" s="3"/>
      <c r="X635" s="3" t="s">
        <v>138</v>
      </c>
      <c r="Y635" s="3" t="s">
        <v>1018</v>
      </c>
    </row>
    <row r="636" spans="1:25" ht="15" customHeight="1" x14ac:dyDescent="0.3">
      <c r="A636" s="5">
        <v>45884</v>
      </c>
      <c r="B636" s="25">
        <v>32</v>
      </c>
      <c r="C636" s="3" t="s">
        <v>38</v>
      </c>
      <c r="D636" s="3" t="s">
        <v>545</v>
      </c>
      <c r="E636" s="3">
        <v>2</v>
      </c>
      <c r="F636" s="3">
        <v>404</v>
      </c>
      <c r="G636" s="6" t="s">
        <v>983</v>
      </c>
      <c r="H636" s="3" t="s">
        <v>984</v>
      </c>
      <c r="I636" s="6" t="s">
        <v>1024</v>
      </c>
      <c r="J636" s="3">
        <v>2</v>
      </c>
      <c r="K636" s="3">
        <v>2</v>
      </c>
      <c r="L636" s="3">
        <v>7.4</v>
      </c>
      <c r="M636" s="3"/>
      <c r="N636" s="3"/>
      <c r="O636" s="3">
        <v>2.5</v>
      </c>
      <c r="P636" s="3"/>
      <c r="Q636" s="3"/>
      <c r="R636" s="3"/>
      <c r="S636" s="3"/>
      <c r="T636" s="3"/>
      <c r="U636" s="3"/>
      <c r="V636" s="3"/>
      <c r="W636" s="3"/>
      <c r="X636" s="3" t="s">
        <v>1010</v>
      </c>
      <c r="Y636" s="3"/>
    </row>
    <row r="637" spans="1:25" ht="15" customHeight="1" x14ac:dyDescent="0.3">
      <c r="A637" s="5">
        <v>45884</v>
      </c>
      <c r="B637" s="25">
        <v>32</v>
      </c>
      <c r="C637" s="3" t="s">
        <v>38</v>
      </c>
      <c r="D637" s="3" t="s">
        <v>545</v>
      </c>
      <c r="E637" s="3">
        <v>2</v>
      </c>
      <c r="F637" s="3">
        <v>173</v>
      </c>
      <c r="G637" s="6" t="s">
        <v>883</v>
      </c>
      <c r="H637" s="3" t="s">
        <v>884</v>
      </c>
      <c r="I637" s="6" t="s">
        <v>1024</v>
      </c>
      <c r="J637" s="3">
        <v>5</v>
      </c>
      <c r="K637" s="3">
        <v>5</v>
      </c>
      <c r="L637" s="3">
        <v>16.309999999999999</v>
      </c>
      <c r="M637" s="3">
        <v>1.2</v>
      </c>
      <c r="N637" s="3">
        <v>11</v>
      </c>
      <c r="O637" s="3">
        <v>7</v>
      </c>
      <c r="P637" s="3" t="s">
        <v>1002</v>
      </c>
      <c r="Q637" s="3">
        <v>170</v>
      </c>
      <c r="R637" s="3"/>
      <c r="S637" s="3"/>
      <c r="T637" s="3"/>
      <c r="U637" s="3"/>
      <c r="V637" s="3"/>
      <c r="W637" s="3"/>
      <c r="X637" s="3" t="s">
        <v>288</v>
      </c>
      <c r="Y637" s="3" t="s">
        <v>84</v>
      </c>
    </row>
    <row r="638" spans="1:25" ht="15" customHeight="1" x14ac:dyDescent="0.3">
      <c r="A638" s="5">
        <v>45884</v>
      </c>
      <c r="B638" s="25">
        <v>32</v>
      </c>
      <c r="C638" s="3" t="s">
        <v>38</v>
      </c>
      <c r="D638" s="3" t="s">
        <v>545</v>
      </c>
      <c r="E638" s="3">
        <v>2</v>
      </c>
      <c r="F638" s="3">
        <v>175</v>
      </c>
      <c r="G638" s="6" t="s">
        <v>987</v>
      </c>
      <c r="H638" s="3" t="s">
        <v>988</v>
      </c>
      <c r="I638" s="6" t="s">
        <v>1024</v>
      </c>
      <c r="J638" s="3">
        <v>5</v>
      </c>
      <c r="K638" s="3">
        <v>5</v>
      </c>
      <c r="L638" s="3">
        <v>12.55</v>
      </c>
      <c r="M638" s="3">
        <v>0.7</v>
      </c>
      <c r="N638" s="3">
        <v>6.5</v>
      </c>
      <c r="O638" s="3">
        <v>5</v>
      </c>
      <c r="P638" s="3" t="s">
        <v>1003</v>
      </c>
      <c r="Q638" s="3">
        <v>165</v>
      </c>
      <c r="R638" s="3"/>
      <c r="S638" s="3"/>
      <c r="T638" s="3"/>
      <c r="U638" s="3"/>
      <c r="V638" s="3"/>
      <c r="W638" s="3"/>
      <c r="X638" s="3" t="s">
        <v>902</v>
      </c>
      <c r="Y638" s="3" t="s">
        <v>87</v>
      </c>
    </row>
    <row r="639" spans="1:25" ht="15" customHeight="1" x14ac:dyDescent="0.3">
      <c r="A639" s="5">
        <v>45884</v>
      </c>
      <c r="B639" s="25">
        <v>32</v>
      </c>
      <c r="C639" s="3" t="s">
        <v>38</v>
      </c>
      <c r="D639" s="3" t="s">
        <v>545</v>
      </c>
      <c r="E639" s="3">
        <v>2</v>
      </c>
      <c r="F639" s="3">
        <v>176</v>
      </c>
      <c r="G639" s="6" t="s">
        <v>989</v>
      </c>
      <c r="H639" s="3" t="s">
        <v>990</v>
      </c>
      <c r="I639" s="6" t="s">
        <v>1024</v>
      </c>
      <c r="J639" s="3">
        <v>5</v>
      </c>
      <c r="K639" s="3">
        <v>5</v>
      </c>
      <c r="L639" s="3">
        <v>18.2</v>
      </c>
      <c r="M639" s="3">
        <v>2.2000000000000002</v>
      </c>
      <c r="N639" s="3">
        <v>12.4</v>
      </c>
      <c r="O639" s="3">
        <v>7.8</v>
      </c>
      <c r="P639" s="3" t="s">
        <v>1004</v>
      </c>
      <c r="Q639" s="3">
        <v>165</v>
      </c>
      <c r="R639" s="3"/>
      <c r="S639" s="3"/>
      <c r="T639" s="3"/>
      <c r="U639" s="3"/>
      <c r="V639" s="3"/>
      <c r="W639" s="3"/>
      <c r="X639" s="3" t="s">
        <v>79</v>
      </c>
      <c r="Y639" s="3" t="s">
        <v>80</v>
      </c>
    </row>
    <row r="640" spans="1:25" ht="15" customHeight="1" x14ac:dyDescent="0.3">
      <c r="A640" s="5">
        <v>45884</v>
      </c>
      <c r="B640" s="25">
        <v>32</v>
      </c>
      <c r="C640" s="3" t="s">
        <v>38</v>
      </c>
      <c r="D640" s="3" t="s">
        <v>545</v>
      </c>
      <c r="E640" s="3">
        <v>2</v>
      </c>
      <c r="F640" s="3">
        <v>131</v>
      </c>
      <c r="G640" s="6" t="s">
        <v>1028</v>
      </c>
      <c r="H640" s="3" t="s">
        <v>1029</v>
      </c>
      <c r="I640" s="6" t="s">
        <v>1024</v>
      </c>
      <c r="J640" s="3">
        <v>3</v>
      </c>
      <c r="K640" s="23">
        <v>2</v>
      </c>
      <c r="L640" s="3">
        <v>18.09</v>
      </c>
      <c r="M640" s="3">
        <v>3.8</v>
      </c>
      <c r="N640" s="3">
        <v>9.5</v>
      </c>
      <c r="O640" s="3">
        <v>5</v>
      </c>
      <c r="P640" s="3"/>
      <c r="Q640" s="3">
        <v>170</v>
      </c>
      <c r="R640" s="3"/>
      <c r="S640" s="3"/>
      <c r="T640" s="3"/>
      <c r="U640" s="3"/>
      <c r="V640" s="3"/>
      <c r="W640" s="3"/>
      <c r="X640" s="3" t="s">
        <v>88</v>
      </c>
      <c r="Y640" s="3" t="s">
        <v>1039</v>
      </c>
    </row>
    <row r="641" spans="1:25" ht="15" customHeight="1" x14ac:dyDescent="0.3">
      <c r="A641" s="5">
        <v>45884</v>
      </c>
      <c r="B641" s="25">
        <v>32</v>
      </c>
      <c r="C641" s="3" t="s">
        <v>38</v>
      </c>
      <c r="D641" s="3" t="s">
        <v>545</v>
      </c>
      <c r="E641" s="3">
        <v>2</v>
      </c>
      <c r="F641" s="3">
        <v>135</v>
      </c>
      <c r="G641" s="6" t="s">
        <v>21</v>
      </c>
      <c r="H641" s="3" t="s">
        <v>991</v>
      </c>
      <c r="I641" s="6" t="s">
        <v>1024</v>
      </c>
      <c r="J641" s="3">
        <v>2</v>
      </c>
      <c r="K641" s="3">
        <v>2</v>
      </c>
      <c r="L641" s="3">
        <v>21.37</v>
      </c>
      <c r="M641" s="3">
        <v>5.4</v>
      </c>
      <c r="N641" s="3">
        <v>10.199999999999999</v>
      </c>
      <c r="O641" s="3">
        <v>5</v>
      </c>
      <c r="P641" s="3"/>
      <c r="Q641" s="3"/>
      <c r="R641" s="3"/>
      <c r="S641" s="3"/>
      <c r="T641" s="3"/>
      <c r="U641" s="3"/>
      <c r="V641" s="3"/>
      <c r="W641" s="3"/>
      <c r="X641" s="3" t="s">
        <v>1012</v>
      </c>
      <c r="Y641" s="3" t="s">
        <v>1040</v>
      </c>
    </row>
    <row r="642" spans="1:25" ht="15" customHeight="1" x14ac:dyDescent="0.3">
      <c r="A642" s="5">
        <v>45884</v>
      </c>
      <c r="B642" s="25">
        <v>32</v>
      </c>
      <c r="C642" s="3" t="s">
        <v>38</v>
      </c>
      <c r="D642" s="3" t="s">
        <v>545</v>
      </c>
      <c r="E642" s="3">
        <v>2</v>
      </c>
      <c r="F642" s="3">
        <v>138</v>
      </c>
      <c r="G642" s="6" t="s">
        <v>992</v>
      </c>
      <c r="H642" s="3" t="s">
        <v>993</v>
      </c>
      <c r="I642" s="6" t="s">
        <v>1024</v>
      </c>
      <c r="J642" s="3">
        <v>3</v>
      </c>
      <c r="K642" s="3">
        <v>3</v>
      </c>
      <c r="L642" s="3">
        <v>11.61</v>
      </c>
      <c r="M642" s="3">
        <v>2.7</v>
      </c>
      <c r="N642" s="3">
        <v>5</v>
      </c>
      <c r="O642" s="3">
        <v>3.2</v>
      </c>
      <c r="P642" s="3"/>
      <c r="Q642" s="3">
        <v>165</v>
      </c>
      <c r="R642" s="3"/>
      <c r="S642" s="3"/>
      <c r="T642" s="3"/>
      <c r="U642" s="3"/>
      <c r="V642" s="3"/>
      <c r="W642" s="3"/>
      <c r="X642" s="3" t="s">
        <v>84</v>
      </c>
      <c r="Y642" s="3" t="s">
        <v>396</v>
      </c>
    </row>
    <row r="643" spans="1:25" ht="15" customHeight="1" x14ac:dyDescent="0.3">
      <c r="A643" s="5">
        <v>45884</v>
      </c>
      <c r="B643" s="25">
        <v>32</v>
      </c>
      <c r="C643" s="3" t="s">
        <v>38</v>
      </c>
      <c r="D643" s="3" t="s">
        <v>545</v>
      </c>
      <c r="E643" s="3">
        <v>2</v>
      </c>
      <c r="F643" s="3">
        <v>204</v>
      </c>
      <c r="G643" s="6" t="s">
        <v>996</v>
      </c>
      <c r="H643" s="3" t="s">
        <v>997</v>
      </c>
      <c r="I643" s="6" t="s">
        <v>111</v>
      </c>
      <c r="J643" s="3">
        <v>4</v>
      </c>
      <c r="K643" s="23">
        <v>3</v>
      </c>
      <c r="L643" s="3">
        <v>21.2</v>
      </c>
      <c r="M643" s="3">
        <v>8</v>
      </c>
      <c r="N643" s="3">
        <v>3</v>
      </c>
      <c r="O643" s="3"/>
      <c r="P643" s="3"/>
      <c r="Q643" s="3"/>
      <c r="R643" s="3" t="s">
        <v>1005</v>
      </c>
      <c r="S643" s="3" t="s">
        <v>1008</v>
      </c>
      <c r="T643" s="3">
        <v>2</v>
      </c>
      <c r="U643" s="3">
        <v>15</v>
      </c>
      <c r="V643" s="3">
        <v>20</v>
      </c>
      <c r="W643" s="3">
        <v>140</v>
      </c>
      <c r="X643" s="3" t="s">
        <v>1015</v>
      </c>
      <c r="Y643" s="3" t="s">
        <v>1041</v>
      </c>
    </row>
    <row r="644" spans="1:25" ht="15" customHeight="1" x14ac:dyDescent="0.3">
      <c r="A644" s="5">
        <v>45884</v>
      </c>
      <c r="B644" s="25">
        <v>32</v>
      </c>
      <c r="C644" s="3" t="s">
        <v>38</v>
      </c>
      <c r="D644" s="3" t="s">
        <v>545</v>
      </c>
      <c r="E644" s="3">
        <v>2</v>
      </c>
      <c r="F644" s="3">
        <v>205</v>
      </c>
      <c r="G644" s="6" t="s">
        <v>940</v>
      </c>
      <c r="H644" s="3" t="s">
        <v>941</v>
      </c>
      <c r="I644" s="6" t="s">
        <v>111</v>
      </c>
      <c r="J644" s="3">
        <v>4</v>
      </c>
      <c r="K644" s="23">
        <v>3</v>
      </c>
      <c r="L644" s="3">
        <v>21.4</v>
      </c>
      <c r="M644" s="3">
        <v>8</v>
      </c>
      <c r="N644" s="3">
        <v>2</v>
      </c>
      <c r="O644" s="3"/>
      <c r="P644" s="3"/>
      <c r="Q644" s="3"/>
      <c r="R644" s="3" t="s">
        <v>243</v>
      </c>
      <c r="S644" s="3" t="s">
        <v>1034</v>
      </c>
      <c r="T644" s="3">
        <v>1</v>
      </c>
      <c r="U644" s="3">
        <v>5</v>
      </c>
      <c r="V644" s="3">
        <v>10</v>
      </c>
      <c r="W644" s="3">
        <v>140</v>
      </c>
      <c r="X644" s="3" t="s">
        <v>391</v>
      </c>
      <c r="Y644" s="3"/>
    </row>
    <row r="645" spans="1:25" ht="15" customHeight="1" x14ac:dyDescent="0.3">
      <c r="A645" s="5">
        <v>45884</v>
      </c>
      <c r="B645" s="25">
        <v>32</v>
      </c>
      <c r="C645" s="3" t="s">
        <v>38</v>
      </c>
      <c r="D645" s="3" t="s">
        <v>545</v>
      </c>
      <c r="E645" s="3">
        <v>2</v>
      </c>
      <c r="F645" s="3">
        <v>207</v>
      </c>
      <c r="G645" s="6" t="s">
        <v>942</v>
      </c>
      <c r="H645" s="3" t="s">
        <v>1030</v>
      </c>
      <c r="I645" s="6" t="s">
        <v>111</v>
      </c>
      <c r="J645" s="3">
        <v>12</v>
      </c>
      <c r="K645" s="23">
        <v>8</v>
      </c>
      <c r="L645" s="3">
        <v>34.369999999999997</v>
      </c>
      <c r="M645" s="3">
        <v>15</v>
      </c>
      <c r="N645" s="3">
        <v>3.15</v>
      </c>
      <c r="O645" s="3"/>
      <c r="P645" s="3"/>
      <c r="Q645" s="3"/>
      <c r="R645" s="3" t="s">
        <v>133</v>
      </c>
      <c r="S645" s="3" t="s">
        <v>71</v>
      </c>
      <c r="T645" s="3">
        <v>2.5</v>
      </c>
      <c r="U645" s="3">
        <v>20</v>
      </c>
      <c r="V645" s="3">
        <v>30</v>
      </c>
      <c r="W645" s="3">
        <v>140</v>
      </c>
      <c r="X645" s="3" t="s">
        <v>613</v>
      </c>
      <c r="Y645" s="3" t="s">
        <v>1042</v>
      </c>
    </row>
    <row r="646" spans="1:25" ht="15" customHeight="1" x14ac:dyDescent="0.3">
      <c r="A646" s="5">
        <v>45884</v>
      </c>
      <c r="B646" s="25">
        <v>32</v>
      </c>
      <c r="C646" s="3" t="s">
        <v>38</v>
      </c>
      <c r="D646" s="3" t="s">
        <v>545</v>
      </c>
      <c r="E646" s="3">
        <v>2</v>
      </c>
      <c r="F646" s="3">
        <v>210</v>
      </c>
      <c r="G646" s="6" t="s">
        <v>999</v>
      </c>
      <c r="H646" s="3" t="s">
        <v>1000</v>
      </c>
      <c r="I646" s="6" t="s">
        <v>111</v>
      </c>
      <c r="J646" s="3">
        <v>4</v>
      </c>
      <c r="K646" s="3">
        <v>4</v>
      </c>
      <c r="L646" s="3">
        <v>19.7</v>
      </c>
      <c r="M646" s="3">
        <v>6</v>
      </c>
      <c r="N646" s="3">
        <v>4</v>
      </c>
      <c r="O646" s="3"/>
      <c r="P646" s="3"/>
      <c r="Q646" s="3"/>
      <c r="R646" s="3" t="s">
        <v>1033</v>
      </c>
      <c r="S646" s="3" t="s">
        <v>1035</v>
      </c>
      <c r="T646" s="3">
        <v>1</v>
      </c>
      <c r="U646" s="3">
        <v>20</v>
      </c>
      <c r="V646" s="3">
        <v>30</v>
      </c>
      <c r="W646" s="3">
        <v>100</v>
      </c>
      <c r="X646" s="3" t="s">
        <v>730</v>
      </c>
      <c r="Y646" s="3" t="s">
        <v>1043</v>
      </c>
    </row>
    <row r="647" spans="1:25" ht="15" customHeight="1" x14ac:dyDescent="0.3">
      <c r="A647" s="5">
        <v>45884</v>
      </c>
      <c r="B647" s="25">
        <v>32</v>
      </c>
      <c r="C647" s="3" t="s">
        <v>38</v>
      </c>
      <c r="D647" s="3" t="s">
        <v>545</v>
      </c>
      <c r="E647" s="3">
        <v>2</v>
      </c>
      <c r="F647" s="3">
        <v>301</v>
      </c>
      <c r="G647" s="6" t="s">
        <v>30</v>
      </c>
      <c r="H647" s="3" t="s">
        <v>194</v>
      </c>
      <c r="I647" s="6" t="s">
        <v>793</v>
      </c>
      <c r="J647" s="3">
        <v>8</v>
      </c>
      <c r="K647" s="23">
        <v>5</v>
      </c>
      <c r="L647" s="3">
        <v>29.9</v>
      </c>
      <c r="M647" s="3">
        <v>13</v>
      </c>
      <c r="N647" s="3">
        <v>5.5</v>
      </c>
      <c r="O647" s="3"/>
      <c r="P647" s="3"/>
      <c r="Q647" s="3"/>
      <c r="R647" s="3" t="s">
        <v>894</v>
      </c>
      <c r="S647" s="3" t="s">
        <v>1036</v>
      </c>
      <c r="T647" s="3">
        <v>1</v>
      </c>
      <c r="U647" s="3">
        <v>25</v>
      </c>
      <c r="V647" s="3">
        <v>35</v>
      </c>
      <c r="W647" s="3">
        <v>130</v>
      </c>
      <c r="X647" s="3" t="s">
        <v>147</v>
      </c>
      <c r="Y647" s="3" t="s">
        <v>1044</v>
      </c>
    </row>
    <row r="648" spans="1:25" ht="15" customHeight="1" x14ac:dyDescent="0.3">
      <c r="A648" s="5">
        <v>45884</v>
      </c>
      <c r="B648" s="25">
        <v>32</v>
      </c>
      <c r="C648" s="3" t="s">
        <v>38</v>
      </c>
      <c r="D648" s="3" t="s">
        <v>545</v>
      </c>
      <c r="E648" s="3">
        <v>2</v>
      </c>
      <c r="F648" s="3">
        <v>303</v>
      </c>
      <c r="G648" s="6" t="s">
        <v>1031</v>
      </c>
      <c r="H648" s="3" t="s">
        <v>1032</v>
      </c>
      <c r="I648" s="6" t="s">
        <v>793</v>
      </c>
      <c r="J648" s="3">
        <v>12</v>
      </c>
      <c r="K648" s="23">
        <v>7</v>
      </c>
      <c r="L648" s="3">
        <v>48</v>
      </c>
      <c r="M648" s="3">
        <v>23</v>
      </c>
      <c r="N648" s="3">
        <v>7.6</v>
      </c>
      <c r="O648" s="3"/>
      <c r="P648" s="3"/>
      <c r="Q648" s="3">
        <v>170</v>
      </c>
      <c r="R648" s="3" t="s">
        <v>853</v>
      </c>
      <c r="S648" s="3" t="s">
        <v>523</v>
      </c>
      <c r="T648" s="3">
        <v>2.5</v>
      </c>
      <c r="U648" s="3">
        <v>25</v>
      </c>
      <c r="V648" s="3">
        <v>40</v>
      </c>
      <c r="W648" s="3">
        <v>140</v>
      </c>
      <c r="X648" s="3" t="s">
        <v>1038</v>
      </c>
      <c r="Y648" s="3" t="s">
        <v>1045</v>
      </c>
    </row>
    <row r="649" spans="1:25" ht="15" customHeight="1" x14ac:dyDescent="0.3">
      <c r="A649" s="5">
        <v>45884</v>
      </c>
      <c r="B649" s="25">
        <v>32</v>
      </c>
      <c r="C649" s="3" t="s">
        <v>38</v>
      </c>
      <c r="D649" s="3" t="s">
        <v>545</v>
      </c>
      <c r="E649" s="3">
        <v>2</v>
      </c>
      <c r="F649" s="3">
        <v>501</v>
      </c>
      <c r="G649" s="6" t="s">
        <v>969</v>
      </c>
      <c r="H649" s="3" t="s">
        <v>970</v>
      </c>
      <c r="I649" s="6" t="s">
        <v>110</v>
      </c>
      <c r="J649" s="3">
        <v>6</v>
      </c>
      <c r="K649" s="3">
        <v>6</v>
      </c>
      <c r="L649" s="3">
        <v>17.600000000000001</v>
      </c>
      <c r="M649" s="3"/>
      <c r="N649" s="3"/>
      <c r="O649" s="3">
        <v>12</v>
      </c>
      <c r="P649" s="3"/>
      <c r="Q649" s="3"/>
      <c r="R649" s="3"/>
      <c r="S649" s="3"/>
      <c r="T649" s="3"/>
      <c r="U649" s="3"/>
      <c r="V649" s="3"/>
      <c r="W649" s="3">
        <v>300</v>
      </c>
      <c r="X649" s="3" t="s">
        <v>151</v>
      </c>
      <c r="Y649" s="3"/>
    </row>
    <row r="650" spans="1:25" ht="15" customHeight="1" x14ac:dyDescent="0.3">
      <c r="A650" s="27">
        <v>45887</v>
      </c>
      <c r="B650" s="25">
        <v>32</v>
      </c>
      <c r="C650" s="3" t="s">
        <v>38</v>
      </c>
      <c r="D650" s="3" t="s">
        <v>164</v>
      </c>
      <c r="E650" s="3">
        <v>2</v>
      </c>
      <c r="F650" s="3">
        <v>103</v>
      </c>
      <c r="G650" s="6" t="s">
        <v>163</v>
      </c>
      <c r="H650" s="3" t="s">
        <v>928</v>
      </c>
      <c r="I650" s="6" t="s">
        <v>793</v>
      </c>
      <c r="J650" s="3">
        <v>5</v>
      </c>
      <c r="K650" s="3">
        <v>5</v>
      </c>
      <c r="L650" s="3">
        <v>14.68</v>
      </c>
      <c r="M650" s="3">
        <v>3.65</v>
      </c>
      <c r="N650" s="3">
        <v>6.8</v>
      </c>
      <c r="O650" s="3">
        <v>6</v>
      </c>
      <c r="P650" s="3">
        <v>29</v>
      </c>
      <c r="Q650" s="3">
        <v>165</v>
      </c>
      <c r="R650" s="3"/>
      <c r="S650" s="3"/>
      <c r="T650" s="3"/>
      <c r="U650" s="3"/>
      <c r="V650" s="3"/>
      <c r="W650" s="3"/>
      <c r="X650" s="3" t="s">
        <v>972</v>
      </c>
      <c r="Y650" s="3" t="s">
        <v>79</v>
      </c>
    </row>
    <row r="651" spans="1:25" ht="15" customHeight="1" x14ac:dyDescent="0.3">
      <c r="A651" s="27">
        <v>45887</v>
      </c>
      <c r="B651" s="25">
        <v>32</v>
      </c>
      <c r="C651" s="3" t="s">
        <v>38</v>
      </c>
      <c r="D651" s="3" t="s">
        <v>164</v>
      </c>
      <c r="E651" s="3">
        <v>2</v>
      </c>
      <c r="F651" s="3">
        <v>104</v>
      </c>
      <c r="G651" s="6" t="s">
        <v>834</v>
      </c>
      <c r="H651" s="3" t="s">
        <v>1025</v>
      </c>
      <c r="I651" s="6" t="s">
        <v>793</v>
      </c>
      <c r="J651" s="3">
        <v>7</v>
      </c>
      <c r="K651" s="3">
        <v>7</v>
      </c>
      <c r="L651" s="3">
        <v>15.17</v>
      </c>
      <c r="M651" s="3">
        <v>4.8</v>
      </c>
      <c r="N651" s="3">
        <v>5.5</v>
      </c>
      <c r="O651" s="3">
        <v>4.8</v>
      </c>
      <c r="P651" s="3"/>
      <c r="Q651" s="3">
        <v>170</v>
      </c>
      <c r="R651" s="3"/>
      <c r="S651" s="3"/>
      <c r="T651" s="3"/>
      <c r="U651" s="3"/>
      <c r="V651" s="3"/>
      <c r="W651" s="3"/>
      <c r="X651" s="3" t="s">
        <v>1037</v>
      </c>
      <c r="Y651" s="3" t="s">
        <v>84</v>
      </c>
    </row>
    <row r="652" spans="1:25" ht="15" customHeight="1" x14ac:dyDescent="0.3">
      <c r="A652" s="27">
        <v>45887</v>
      </c>
      <c r="B652" s="25">
        <v>32</v>
      </c>
      <c r="C652" s="3" t="s">
        <v>38</v>
      </c>
      <c r="D652" s="3" t="s">
        <v>164</v>
      </c>
      <c r="E652" s="3">
        <v>2</v>
      </c>
      <c r="F652" s="3">
        <v>164</v>
      </c>
      <c r="G652" s="6" t="s">
        <v>1026</v>
      </c>
      <c r="H652" s="3" t="s">
        <v>1027</v>
      </c>
      <c r="I652" s="6" t="s">
        <v>1024</v>
      </c>
      <c r="J652" s="3">
        <v>2</v>
      </c>
      <c r="K652" s="3">
        <v>2</v>
      </c>
      <c r="L652" s="3">
        <v>21</v>
      </c>
      <c r="M652" s="3">
        <v>7</v>
      </c>
      <c r="N652" s="3">
        <v>11</v>
      </c>
      <c r="O652" s="3">
        <v>4</v>
      </c>
      <c r="P652" s="3">
        <v>40</v>
      </c>
      <c r="Q652" s="3">
        <v>180</v>
      </c>
      <c r="R652" s="3"/>
      <c r="S652" s="3"/>
      <c r="T652" s="3"/>
      <c r="U652" s="3"/>
      <c r="V652" s="3"/>
      <c r="W652" s="3"/>
      <c r="X652" s="3" t="s">
        <v>138</v>
      </c>
      <c r="Y652" s="3" t="s">
        <v>1018</v>
      </c>
    </row>
    <row r="653" spans="1:25" ht="15" customHeight="1" x14ac:dyDescent="0.3">
      <c r="A653" s="27">
        <v>45887</v>
      </c>
      <c r="B653" s="25">
        <v>32</v>
      </c>
      <c r="C653" s="3" t="s">
        <v>38</v>
      </c>
      <c r="D653" s="3" t="s">
        <v>164</v>
      </c>
      <c r="E653" s="3">
        <v>2</v>
      </c>
      <c r="F653" s="3">
        <v>181</v>
      </c>
      <c r="G653" s="6" t="s">
        <v>276</v>
      </c>
      <c r="H653" s="3" t="s">
        <v>964</v>
      </c>
      <c r="I653" s="6" t="s">
        <v>1024</v>
      </c>
      <c r="J653" s="3">
        <v>4</v>
      </c>
      <c r="K653" s="3">
        <v>4</v>
      </c>
      <c r="L653" s="3">
        <v>14</v>
      </c>
      <c r="M653" s="3">
        <v>4</v>
      </c>
      <c r="N653" s="3">
        <v>6</v>
      </c>
      <c r="O653" s="3">
        <v>3</v>
      </c>
      <c r="P653" s="3">
        <v>35</v>
      </c>
      <c r="Q653" s="3">
        <v>160</v>
      </c>
      <c r="R653" s="3"/>
      <c r="S653" s="3"/>
      <c r="T653" s="3"/>
      <c r="U653" s="3"/>
      <c r="V653" s="3"/>
      <c r="W653" s="3"/>
      <c r="X653" s="3" t="s">
        <v>686</v>
      </c>
      <c r="Y653" s="3" t="s">
        <v>153</v>
      </c>
    </row>
    <row r="654" spans="1:25" ht="15" customHeight="1" x14ac:dyDescent="0.3">
      <c r="A654" s="27">
        <v>45887</v>
      </c>
      <c r="B654" s="25">
        <v>32</v>
      </c>
      <c r="C654" s="3" t="s">
        <v>38</v>
      </c>
      <c r="D654" s="3" t="s">
        <v>164</v>
      </c>
      <c r="E654" s="3">
        <v>2</v>
      </c>
      <c r="F654" s="3">
        <v>401</v>
      </c>
      <c r="G654" s="6" t="s">
        <v>669</v>
      </c>
      <c r="H654" s="3" t="s">
        <v>930</v>
      </c>
      <c r="I654" s="6" t="s">
        <v>1024</v>
      </c>
      <c r="J654" s="3">
        <v>1</v>
      </c>
      <c r="K654" s="3">
        <v>1</v>
      </c>
      <c r="L654" s="3">
        <v>12.63</v>
      </c>
      <c r="M654" s="3"/>
      <c r="N654" s="3"/>
      <c r="O654" s="3">
        <v>3.6</v>
      </c>
      <c r="P654" s="3"/>
      <c r="Q654" s="3"/>
      <c r="R654" s="3"/>
      <c r="S654" s="3"/>
      <c r="T654" s="3"/>
      <c r="U654" s="3"/>
      <c r="V654" s="3"/>
      <c r="W654" s="3"/>
      <c r="X654" s="3" t="s">
        <v>1054</v>
      </c>
      <c r="Y654" s="3"/>
    </row>
    <row r="655" spans="1:25" ht="15" customHeight="1" x14ac:dyDescent="0.3">
      <c r="A655" s="27">
        <v>45887</v>
      </c>
      <c r="B655" s="25">
        <v>32</v>
      </c>
      <c r="C655" s="3" t="s">
        <v>38</v>
      </c>
      <c r="D655" s="3" t="s">
        <v>164</v>
      </c>
      <c r="E655" s="3">
        <v>2</v>
      </c>
      <c r="F655" s="3">
        <v>171</v>
      </c>
      <c r="G655" s="6" t="s">
        <v>1068</v>
      </c>
      <c r="H655" s="3" t="s">
        <v>1069</v>
      </c>
      <c r="I655" s="6" t="s">
        <v>1024</v>
      </c>
      <c r="J655" s="3">
        <v>5</v>
      </c>
      <c r="K655" s="3">
        <v>5</v>
      </c>
      <c r="L655" s="3">
        <v>19.899999999999999</v>
      </c>
      <c r="M655" s="3">
        <v>6.3</v>
      </c>
      <c r="N655" s="3">
        <v>9.5</v>
      </c>
      <c r="O655" s="3">
        <v>6</v>
      </c>
      <c r="P655" s="3"/>
      <c r="Q655" s="3">
        <v>160</v>
      </c>
      <c r="R655" s="3"/>
      <c r="S655" s="3"/>
      <c r="T655" s="3"/>
      <c r="U655" s="3"/>
      <c r="V655" s="3"/>
      <c r="W655" s="3"/>
      <c r="X655" s="3" t="s">
        <v>1055</v>
      </c>
      <c r="Y655" s="3" t="s">
        <v>1061</v>
      </c>
    </row>
    <row r="656" spans="1:25" ht="15" customHeight="1" x14ac:dyDescent="0.3">
      <c r="A656" s="27">
        <v>45887</v>
      </c>
      <c r="B656" s="25">
        <v>32</v>
      </c>
      <c r="C656" s="3" t="s">
        <v>38</v>
      </c>
      <c r="D656" s="3" t="s">
        <v>164</v>
      </c>
      <c r="E656" s="3">
        <v>2</v>
      </c>
      <c r="F656" s="3">
        <v>172</v>
      </c>
      <c r="G656" s="6" t="s">
        <v>472</v>
      </c>
      <c r="H656" s="3" t="s">
        <v>1070</v>
      </c>
      <c r="I656" s="6" t="s">
        <v>1024</v>
      </c>
      <c r="J656" s="3">
        <v>4</v>
      </c>
      <c r="K656" s="3">
        <v>4</v>
      </c>
      <c r="L656" s="3">
        <v>19.57</v>
      </c>
      <c r="M656" s="3">
        <v>3</v>
      </c>
      <c r="N656" s="3">
        <v>12</v>
      </c>
      <c r="O656" s="3">
        <v>8</v>
      </c>
      <c r="P656" s="3" t="s">
        <v>1046</v>
      </c>
      <c r="Q656" s="3">
        <v>160</v>
      </c>
      <c r="R656" s="3"/>
      <c r="S656" s="3"/>
      <c r="T656" s="3"/>
      <c r="U656" s="3"/>
      <c r="V656" s="3"/>
      <c r="W656" s="3"/>
      <c r="X656" s="3" t="s">
        <v>496</v>
      </c>
      <c r="Y656" s="3" t="s">
        <v>80</v>
      </c>
    </row>
    <row r="657" spans="1:25" ht="15" customHeight="1" x14ac:dyDescent="0.3">
      <c r="A657" s="27">
        <v>45887</v>
      </c>
      <c r="B657" s="25">
        <v>32</v>
      </c>
      <c r="C657" s="3" t="s">
        <v>38</v>
      </c>
      <c r="D657" s="3" t="s">
        <v>164</v>
      </c>
      <c r="E657" s="3">
        <v>2</v>
      </c>
      <c r="F657" s="3">
        <v>173</v>
      </c>
      <c r="G657" s="6" t="s">
        <v>1071</v>
      </c>
      <c r="H657" s="3" t="s">
        <v>1072</v>
      </c>
      <c r="I657" s="6" t="s">
        <v>1024</v>
      </c>
      <c r="J657" s="3">
        <v>5</v>
      </c>
      <c r="K657" s="3">
        <v>5</v>
      </c>
      <c r="L657" s="3">
        <v>17.21</v>
      </c>
      <c r="M657" s="3">
        <v>2</v>
      </c>
      <c r="N657" s="3">
        <v>11</v>
      </c>
      <c r="O657" s="3">
        <v>7</v>
      </c>
      <c r="P657" s="3" t="s">
        <v>1047</v>
      </c>
      <c r="Q657" s="3">
        <v>170</v>
      </c>
      <c r="R657" s="3"/>
      <c r="S657" s="3"/>
      <c r="T657" s="3"/>
      <c r="U657" s="3"/>
      <c r="V657" s="3"/>
      <c r="W657" s="3"/>
      <c r="X657" s="3" t="s">
        <v>288</v>
      </c>
      <c r="Y657" s="3" t="s">
        <v>84</v>
      </c>
    </row>
    <row r="658" spans="1:25" ht="15" customHeight="1" x14ac:dyDescent="0.3">
      <c r="A658" s="27">
        <v>45887</v>
      </c>
      <c r="B658" s="25">
        <v>32</v>
      </c>
      <c r="C658" s="3" t="s">
        <v>38</v>
      </c>
      <c r="D658" s="3" t="s">
        <v>164</v>
      </c>
      <c r="E658" s="3">
        <v>2</v>
      </c>
      <c r="F658" s="3">
        <v>174</v>
      </c>
      <c r="G658" s="6" t="s">
        <v>590</v>
      </c>
      <c r="H658" s="3" t="s">
        <v>1073</v>
      </c>
      <c r="I658" s="6" t="s">
        <v>1024</v>
      </c>
      <c r="J658" s="3">
        <v>5</v>
      </c>
      <c r="K658" s="3">
        <v>5</v>
      </c>
      <c r="L658" s="3">
        <v>15.27</v>
      </c>
      <c r="M658" s="3">
        <v>0.3</v>
      </c>
      <c r="N658" s="3">
        <v>8.5</v>
      </c>
      <c r="O658" s="3">
        <v>8</v>
      </c>
      <c r="P658" s="3" t="s">
        <v>1048</v>
      </c>
      <c r="Q658" s="3">
        <v>175</v>
      </c>
      <c r="R658" s="3"/>
      <c r="S658" s="3"/>
      <c r="T658" s="3"/>
      <c r="U658" s="3"/>
      <c r="V658" s="3"/>
      <c r="W658" s="3"/>
      <c r="X658" s="3" t="s">
        <v>902</v>
      </c>
      <c r="Y658" s="3" t="s">
        <v>84</v>
      </c>
    </row>
    <row r="659" spans="1:25" ht="15" customHeight="1" x14ac:dyDescent="0.3">
      <c r="A659" s="27">
        <v>45887</v>
      </c>
      <c r="B659" s="25">
        <v>32</v>
      </c>
      <c r="C659" s="3" t="s">
        <v>38</v>
      </c>
      <c r="D659" s="3" t="s">
        <v>164</v>
      </c>
      <c r="E659" s="3">
        <v>2</v>
      </c>
      <c r="F659" s="3">
        <v>176</v>
      </c>
      <c r="G659" s="6" t="s">
        <v>1074</v>
      </c>
      <c r="H659" s="3" t="s">
        <v>1075</v>
      </c>
      <c r="I659" s="6" t="s">
        <v>1024</v>
      </c>
      <c r="J659" s="3">
        <v>5</v>
      </c>
      <c r="K659" s="3">
        <v>5</v>
      </c>
      <c r="L659" s="3">
        <v>18.170000000000002</v>
      </c>
      <c r="M659" s="3">
        <v>2.2000000000000002</v>
      </c>
      <c r="N659" s="3">
        <v>12.4</v>
      </c>
      <c r="O659" s="3">
        <v>7.8</v>
      </c>
      <c r="P659" s="3" t="s">
        <v>1004</v>
      </c>
      <c r="Q659" s="3">
        <v>165</v>
      </c>
      <c r="R659" s="3"/>
      <c r="S659" s="3"/>
      <c r="T659" s="3"/>
      <c r="U659" s="3"/>
      <c r="V659" s="3"/>
      <c r="W659" s="3"/>
      <c r="X659" s="3" t="s">
        <v>79</v>
      </c>
      <c r="Y659" s="3" t="s">
        <v>80</v>
      </c>
    </row>
    <row r="660" spans="1:25" ht="15" customHeight="1" x14ac:dyDescent="0.3">
      <c r="A660" s="27">
        <v>45887</v>
      </c>
      <c r="B660" s="25">
        <v>32</v>
      </c>
      <c r="C660" s="3" t="s">
        <v>38</v>
      </c>
      <c r="D660" s="3" t="s">
        <v>164</v>
      </c>
      <c r="E660" s="3">
        <v>2</v>
      </c>
      <c r="F660" s="3">
        <v>131</v>
      </c>
      <c r="G660" s="6" t="s">
        <v>1028</v>
      </c>
      <c r="H660" s="3" t="s">
        <v>1029</v>
      </c>
      <c r="I660" s="6" t="s">
        <v>1024</v>
      </c>
      <c r="J660" s="3">
        <v>3</v>
      </c>
      <c r="K660" s="23">
        <v>2</v>
      </c>
      <c r="L660" s="3">
        <v>19.23</v>
      </c>
      <c r="M660" s="3">
        <v>6</v>
      </c>
      <c r="N660" s="3">
        <v>8.3000000000000007</v>
      </c>
      <c r="O660" s="3">
        <v>5</v>
      </c>
      <c r="P660" s="3"/>
      <c r="Q660" s="3">
        <v>170</v>
      </c>
      <c r="R660" s="3"/>
      <c r="S660" s="3"/>
      <c r="T660" s="3"/>
      <c r="U660" s="3"/>
      <c r="V660" s="3"/>
      <c r="W660" s="3"/>
      <c r="X660" s="3" t="s">
        <v>88</v>
      </c>
      <c r="Y660" s="3" t="s">
        <v>1062</v>
      </c>
    </row>
    <row r="661" spans="1:25" ht="15" customHeight="1" x14ac:dyDescent="0.3">
      <c r="A661" s="27">
        <v>45887</v>
      </c>
      <c r="B661" s="25">
        <v>32</v>
      </c>
      <c r="C661" s="3" t="s">
        <v>38</v>
      </c>
      <c r="D661" s="3" t="s">
        <v>164</v>
      </c>
      <c r="E661" s="3">
        <v>2</v>
      </c>
      <c r="F661" s="3">
        <v>132</v>
      </c>
      <c r="G661" s="6" t="s">
        <v>1076</v>
      </c>
      <c r="H661" s="3" t="s">
        <v>1077</v>
      </c>
      <c r="I661" s="6" t="s">
        <v>1024</v>
      </c>
      <c r="J661" s="3">
        <v>3</v>
      </c>
      <c r="K661" s="3">
        <v>3</v>
      </c>
      <c r="L661" s="3">
        <v>18.22</v>
      </c>
      <c r="M661" s="3">
        <v>3.8</v>
      </c>
      <c r="N661" s="3">
        <v>9</v>
      </c>
      <c r="O661" s="3">
        <v>8</v>
      </c>
      <c r="P661" s="3"/>
      <c r="Q661" s="3">
        <v>170</v>
      </c>
      <c r="R661" s="3"/>
      <c r="S661" s="3"/>
      <c r="T661" s="3"/>
      <c r="U661" s="3"/>
      <c r="V661" s="3"/>
      <c r="W661" s="3"/>
      <c r="X661" s="3" t="s">
        <v>1056</v>
      </c>
      <c r="Y661" s="3" t="s">
        <v>1063</v>
      </c>
    </row>
    <row r="662" spans="1:25" ht="15" customHeight="1" x14ac:dyDescent="0.3">
      <c r="A662" s="27">
        <v>45887</v>
      </c>
      <c r="B662" s="25">
        <v>32</v>
      </c>
      <c r="C662" s="3" t="s">
        <v>38</v>
      </c>
      <c r="D662" s="3" t="s">
        <v>164</v>
      </c>
      <c r="E662" s="3">
        <v>2</v>
      </c>
      <c r="F662" s="3">
        <v>135</v>
      </c>
      <c r="G662" s="6" t="s">
        <v>21</v>
      </c>
      <c r="H662" s="3" t="s">
        <v>991</v>
      </c>
      <c r="I662" s="6" t="s">
        <v>1024</v>
      </c>
      <c r="J662" s="3">
        <v>2</v>
      </c>
      <c r="K662" s="3">
        <v>2</v>
      </c>
      <c r="L662" s="3">
        <v>21.87</v>
      </c>
      <c r="M662" s="3">
        <v>5.85</v>
      </c>
      <c r="N662" s="3">
        <v>10.199999999999999</v>
      </c>
      <c r="O662" s="3">
        <v>5</v>
      </c>
      <c r="P662" s="3"/>
      <c r="Q662" s="3">
        <v>170</v>
      </c>
      <c r="R662" s="3"/>
      <c r="S662" s="3"/>
      <c r="T662" s="3"/>
      <c r="U662" s="3"/>
      <c r="V662" s="3"/>
      <c r="W662" s="3"/>
      <c r="X662" s="3" t="s">
        <v>1012</v>
      </c>
      <c r="Y662" s="3" t="s">
        <v>924</v>
      </c>
    </row>
    <row r="663" spans="1:25" ht="15" customHeight="1" x14ac:dyDescent="0.3">
      <c r="A663" s="27">
        <v>45887</v>
      </c>
      <c r="B663" s="25">
        <v>32</v>
      </c>
      <c r="C663" s="3" t="s">
        <v>38</v>
      </c>
      <c r="D663" s="3" t="s">
        <v>164</v>
      </c>
      <c r="E663" s="3">
        <v>2</v>
      </c>
      <c r="F663" s="3">
        <v>138</v>
      </c>
      <c r="G663" s="6" t="s">
        <v>992</v>
      </c>
      <c r="H663" s="3" t="s">
        <v>993</v>
      </c>
      <c r="I663" s="6" t="s">
        <v>1024</v>
      </c>
      <c r="J663" s="3">
        <v>3</v>
      </c>
      <c r="K663" s="3">
        <v>3</v>
      </c>
      <c r="L663" s="3">
        <v>11.58</v>
      </c>
      <c r="M663" s="3">
        <v>2.5</v>
      </c>
      <c r="N663" s="3">
        <v>5.2</v>
      </c>
      <c r="O663" s="3">
        <v>3.2</v>
      </c>
      <c r="P663" s="3"/>
      <c r="Q663" s="3">
        <v>192</v>
      </c>
      <c r="R663" s="3"/>
      <c r="S663" s="3"/>
      <c r="T663" s="3"/>
      <c r="U663" s="3"/>
      <c r="V663" s="3"/>
      <c r="W663" s="3"/>
      <c r="X663" s="3" t="s">
        <v>84</v>
      </c>
      <c r="Y663" s="3" t="s">
        <v>396</v>
      </c>
    </row>
    <row r="664" spans="1:25" ht="15" customHeight="1" x14ac:dyDescent="0.3">
      <c r="A664" s="27">
        <v>45887</v>
      </c>
      <c r="B664" s="25">
        <v>32</v>
      </c>
      <c r="C664" s="3" t="s">
        <v>38</v>
      </c>
      <c r="D664" s="3" t="s">
        <v>164</v>
      </c>
      <c r="E664" s="3">
        <v>2</v>
      </c>
      <c r="F664" s="3">
        <v>203</v>
      </c>
      <c r="G664" s="6" t="s">
        <v>1078</v>
      </c>
      <c r="H664" s="3" t="s">
        <v>1079</v>
      </c>
      <c r="I664" s="6" t="s">
        <v>111</v>
      </c>
      <c r="J664" s="3">
        <v>4</v>
      </c>
      <c r="K664" s="3">
        <v>4</v>
      </c>
      <c r="L664" s="3">
        <v>24.9</v>
      </c>
      <c r="M664" s="3">
        <v>13</v>
      </c>
      <c r="N664" s="3">
        <v>3</v>
      </c>
      <c r="O664" s="3"/>
      <c r="P664" s="3"/>
      <c r="Q664" s="3"/>
      <c r="R664" s="3" t="s">
        <v>203</v>
      </c>
      <c r="S664" s="3" t="s">
        <v>1049</v>
      </c>
      <c r="T664" s="3">
        <v>1</v>
      </c>
      <c r="U664" s="3">
        <v>20</v>
      </c>
      <c r="V664" s="3">
        <v>25</v>
      </c>
      <c r="W664" s="3">
        <v>115</v>
      </c>
      <c r="X664" s="3" t="s">
        <v>1057</v>
      </c>
      <c r="Y664" s="3"/>
    </row>
    <row r="665" spans="1:25" ht="15" customHeight="1" x14ac:dyDescent="0.3">
      <c r="A665" s="27">
        <v>45887</v>
      </c>
      <c r="B665" s="25">
        <v>32</v>
      </c>
      <c r="C665" s="3" t="s">
        <v>38</v>
      </c>
      <c r="D665" s="3" t="s">
        <v>164</v>
      </c>
      <c r="E665" s="3">
        <v>2</v>
      </c>
      <c r="F665" s="3">
        <v>204</v>
      </c>
      <c r="G665" s="6" t="s">
        <v>996</v>
      </c>
      <c r="H665" s="3" t="s">
        <v>997</v>
      </c>
      <c r="I665" s="6" t="s">
        <v>111</v>
      </c>
      <c r="J665" s="3">
        <v>4</v>
      </c>
      <c r="K665" s="23">
        <v>3</v>
      </c>
      <c r="L665" s="3">
        <v>21.2</v>
      </c>
      <c r="M665" s="3">
        <v>8</v>
      </c>
      <c r="N665" s="3">
        <v>3</v>
      </c>
      <c r="O665" s="3"/>
      <c r="P665" s="3"/>
      <c r="Q665" s="3"/>
      <c r="R665" s="3" t="s">
        <v>1005</v>
      </c>
      <c r="S665" s="3" t="s">
        <v>1008</v>
      </c>
      <c r="T665" s="3">
        <v>2</v>
      </c>
      <c r="U665" s="3">
        <v>15</v>
      </c>
      <c r="V665" s="3">
        <v>20</v>
      </c>
      <c r="W665" s="3">
        <v>140</v>
      </c>
      <c r="X665" s="3" t="s">
        <v>1015</v>
      </c>
      <c r="Y665" s="3" t="s">
        <v>1041</v>
      </c>
    </row>
    <row r="666" spans="1:25" ht="15" customHeight="1" x14ac:dyDescent="0.3">
      <c r="A666" s="27">
        <v>45887</v>
      </c>
      <c r="B666" s="25">
        <v>32</v>
      </c>
      <c r="C666" s="3" t="s">
        <v>38</v>
      </c>
      <c r="D666" s="3" t="s">
        <v>164</v>
      </c>
      <c r="E666" s="3">
        <v>2</v>
      </c>
      <c r="F666" s="3">
        <v>205</v>
      </c>
      <c r="G666" s="6" t="s">
        <v>940</v>
      </c>
      <c r="H666" s="3" t="s">
        <v>941</v>
      </c>
      <c r="I666" s="6" t="s">
        <v>111</v>
      </c>
      <c r="J666" s="3">
        <v>4</v>
      </c>
      <c r="K666" s="23">
        <v>3</v>
      </c>
      <c r="L666" s="3">
        <v>22.6</v>
      </c>
      <c r="M666" s="3">
        <v>8</v>
      </c>
      <c r="N666" s="3">
        <v>2</v>
      </c>
      <c r="O666" s="3"/>
      <c r="P666" s="3"/>
      <c r="Q666" s="3"/>
      <c r="R666" s="3" t="s">
        <v>287</v>
      </c>
      <c r="S666" s="3" t="s">
        <v>1034</v>
      </c>
      <c r="T666" s="3">
        <v>1</v>
      </c>
      <c r="U666" s="3">
        <v>5</v>
      </c>
      <c r="V666" s="3">
        <v>10</v>
      </c>
      <c r="W666" s="3">
        <v>140</v>
      </c>
      <c r="X666" s="3" t="s">
        <v>391</v>
      </c>
      <c r="Y666" s="3"/>
    </row>
    <row r="667" spans="1:25" ht="15" customHeight="1" x14ac:dyDescent="0.3">
      <c r="A667" s="27">
        <v>45887</v>
      </c>
      <c r="B667" s="25">
        <v>32</v>
      </c>
      <c r="C667" s="3" t="s">
        <v>38</v>
      </c>
      <c r="D667" s="3" t="s">
        <v>164</v>
      </c>
      <c r="E667" s="3">
        <v>2</v>
      </c>
      <c r="F667" s="3">
        <v>207</v>
      </c>
      <c r="G667" s="6" t="s">
        <v>1080</v>
      </c>
      <c r="H667" s="3" t="s">
        <v>1081</v>
      </c>
      <c r="I667" s="6" t="s">
        <v>111</v>
      </c>
      <c r="J667" s="3">
        <v>12</v>
      </c>
      <c r="K667" s="23">
        <v>8</v>
      </c>
      <c r="L667" s="3">
        <v>34.200000000000003</v>
      </c>
      <c r="M667" s="3">
        <v>15</v>
      </c>
      <c r="N667" s="3">
        <v>3.25</v>
      </c>
      <c r="O667" s="3"/>
      <c r="P667" s="3"/>
      <c r="Q667" s="3"/>
      <c r="R667" s="3" t="s">
        <v>1049</v>
      </c>
      <c r="S667" s="3" t="s">
        <v>726</v>
      </c>
      <c r="T667" s="3">
        <v>2.5</v>
      </c>
      <c r="U667" s="3">
        <v>20</v>
      </c>
      <c r="V667" s="3">
        <v>30</v>
      </c>
      <c r="W667" s="3">
        <v>140</v>
      </c>
      <c r="X667" s="3" t="s">
        <v>1058</v>
      </c>
      <c r="Y667" s="3" t="s">
        <v>1064</v>
      </c>
    </row>
    <row r="668" spans="1:25" ht="15" customHeight="1" x14ac:dyDescent="0.3">
      <c r="A668" s="27">
        <v>45887</v>
      </c>
      <c r="B668" s="25">
        <v>32</v>
      </c>
      <c r="C668" s="3" t="s">
        <v>38</v>
      </c>
      <c r="D668" s="3" t="s">
        <v>164</v>
      </c>
      <c r="E668" s="3">
        <v>2</v>
      </c>
      <c r="F668" s="3">
        <v>208</v>
      </c>
      <c r="G668" s="6" t="s">
        <v>1082</v>
      </c>
      <c r="H668" s="3" t="s">
        <v>1083</v>
      </c>
      <c r="I668" s="6" t="s">
        <v>111</v>
      </c>
      <c r="J668" s="3">
        <v>16</v>
      </c>
      <c r="K668" s="23">
        <v>9</v>
      </c>
      <c r="L668" s="3">
        <v>28.9</v>
      </c>
      <c r="M668" s="3">
        <v>15</v>
      </c>
      <c r="N668" s="3">
        <v>2</v>
      </c>
      <c r="O668" s="3"/>
      <c r="P668" s="3"/>
      <c r="Q668" s="3"/>
      <c r="R668" s="3" t="s">
        <v>1049</v>
      </c>
      <c r="S668" s="3" t="s">
        <v>284</v>
      </c>
      <c r="T668" s="3">
        <v>0.7</v>
      </c>
      <c r="U668" s="3">
        <v>25</v>
      </c>
      <c r="V668" s="3">
        <v>30</v>
      </c>
      <c r="W668" s="3">
        <v>130</v>
      </c>
      <c r="X668" s="3" t="s">
        <v>1059</v>
      </c>
      <c r="Y668" s="3"/>
    </row>
    <row r="669" spans="1:25" ht="15" customHeight="1" x14ac:dyDescent="0.3">
      <c r="A669" s="27">
        <v>45887</v>
      </c>
      <c r="B669" s="25">
        <v>32</v>
      </c>
      <c r="C669" s="3" t="s">
        <v>38</v>
      </c>
      <c r="D669" s="3" t="s">
        <v>164</v>
      </c>
      <c r="E669" s="3">
        <v>2</v>
      </c>
      <c r="F669" s="3">
        <v>209</v>
      </c>
      <c r="G669" s="6" t="s">
        <v>1084</v>
      </c>
      <c r="H669" s="3" t="s">
        <v>1085</v>
      </c>
      <c r="I669" s="6" t="s">
        <v>111</v>
      </c>
      <c r="J669" s="3">
        <v>12</v>
      </c>
      <c r="K669" s="23">
        <v>11</v>
      </c>
      <c r="L669" s="3">
        <v>25.3</v>
      </c>
      <c r="M669" s="3">
        <v>5</v>
      </c>
      <c r="N669" s="3">
        <v>3</v>
      </c>
      <c r="O669" s="3"/>
      <c r="P669" s="3"/>
      <c r="Q669" s="3"/>
      <c r="R669" s="3" t="s">
        <v>1050</v>
      </c>
      <c r="S669" s="3" t="s">
        <v>1052</v>
      </c>
      <c r="T669" s="3">
        <v>3</v>
      </c>
      <c r="U669" s="3">
        <v>35</v>
      </c>
      <c r="V669" s="3">
        <v>40</v>
      </c>
      <c r="W669" s="3">
        <v>95</v>
      </c>
      <c r="X669" s="3" t="s">
        <v>705</v>
      </c>
      <c r="Y669" s="3" t="s">
        <v>1065</v>
      </c>
    </row>
    <row r="670" spans="1:25" ht="15" customHeight="1" x14ac:dyDescent="0.3">
      <c r="A670" s="27">
        <v>45887</v>
      </c>
      <c r="B670" s="25">
        <v>32</v>
      </c>
      <c r="C670" s="3" t="s">
        <v>38</v>
      </c>
      <c r="D670" s="3" t="s">
        <v>164</v>
      </c>
      <c r="E670" s="3">
        <v>2</v>
      </c>
      <c r="F670" s="3">
        <v>210</v>
      </c>
      <c r="G670" s="6" t="s">
        <v>1086</v>
      </c>
      <c r="H670" s="3" t="s">
        <v>1087</v>
      </c>
      <c r="I670" s="6" t="s">
        <v>111</v>
      </c>
      <c r="J670" s="3">
        <v>4</v>
      </c>
      <c r="K670" s="3">
        <v>4</v>
      </c>
      <c r="L670" s="3">
        <v>19.7</v>
      </c>
      <c r="M670" s="3">
        <v>6</v>
      </c>
      <c r="N670" s="3">
        <v>4</v>
      </c>
      <c r="O670" s="3"/>
      <c r="P670" s="3"/>
      <c r="Q670" s="3"/>
      <c r="R670" s="3" t="s">
        <v>1033</v>
      </c>
      <c r="S670" s="3" t="s">
        <v>1035</v>
      </c>
      <c r="T670" s="3">
        <v>1</v>
      </c>
      <c r="U670" s="3">
        <v>20</v>
      </c>
      <c r="V670" s="3">
        <v>30</v>
      </c>
      <c r="W670" s="3">
        <v>100</v>
      </c>
      <c r="X670" s="3" t="s">
        <v>730</v>
      </c>
      <c r="Y670" s="3" t="s">
        <v>1066</v>
      </c>
    </row>
    <row r="671" spans="1:25" ht="15" customHeight="1" x14ac:dyDescent="0.3">
      <c r="A671" s="27">
        <v>45887</v>
      </c>
      <c r="B671" s="25">
        <v>32</v>
      </c>
      <c r="C671" s="3" t="s">
        <v>38</v>
      </c>
      <c r="D671" s="3" t="s">
        <v>164</v>
      </c>
      <c r="E671" s="3">
        <v>2</v>
      </c>
      <c r="F671" s="3">
        <v>303</v>
      </c>
      <c r="G671" s="6" t="s">
        <v>1031</v>
      </c>
      <c r="H671" s="3" t="s">
        <v>1032</v>
      </c>
      <c r="I671" s="6" t="s">
        <v>793</v>
      </c>
      <c r="J671" s="3">
        <v>12</v>
      </c>
      <c r="K671" s="23">
        <v>7</v>
      </c>
      <c r="L671" s="3">
        <v>46.5</v>
      </c>
      <c r="M671" s="3">
        <v>23</v>
      </c>
      <c r="N671" s="3">
        <v>7</v>
      </c>
      <c r="O671" s="3"/>
      <c r="P671" s="3"/>
      <c r="Q671" s="3">
        <v>170</v>
      </c>
      <c r="R671" s="3" t="s">
        <v>1051</v>
      </c>
      <c r="S671" s="3" t="s">
        <v>1053</v>
      </c>
      <c r="T671" s="3">
        <v>2.5</v>
      </c>
      <c r="U671" s="3">
        <v>20</v>
      </c>
      <c r="V671" s="3">
        <v>40</v>
      </c>
      <c r="W671" s="3">
        <v>140</v>
      </c>
      <c r="X671" s="3" t="s">
        <v>1060</v>
      </c>
      <c r="Y671" s="3" t="s">
        <v>1067</v>
      </c>
    </row>
    <row r="672" spans="1:25" ht="15" customHeight="1" x14ac:dyDescent="0.3">
      <c r="A672" s="5">
        <v>45888</v>
      </c>
      <c r="B672" s="25">
        <v>29</v>
      </c>
      <c r="C672" s="3" t="s">
        <v>38</v>
      </c>
      <c r="D672" s="3" t="s">
        <v>355</v>
      </c>
      <c r="E672" s="3">
        <v>2</v>
      </c>
      <c r="F672" s="3">
        <v>102</v>
      </c>
      <c r="G672" s="6" t="s">
        <v>547</v>
      </c>
      <c r="H672" s="3" t="s">
        <v>1088</v>
      </c>
      <c r="I672" s="6" t="s">
        <v>793</v>
      </c>
      <c r="J672" s="3">
        <v>5</v>
      </c>
      <c r="K672" s="3">
        <v>5</v>
      </c>
      <c r="L672" s="3">
        <v>18.98</v>
      </c>
      <c r="M672" s="3">
        <v>4.75</v>
      </c>
      <c r="N672" s="3">
        <v>9</v>
      </c>
      <c r="O672" s="3">
        <v>7</v>
      </c>
      <c r="P672" s="3">
        <v>50</v>
      </c>
      <c r="Q672" s="3">
        <v>170</v>
      </c>
      <c r="R672" s="3"/>
      <c r="S672" s="3"/>
      <c r="T672" s="3"/>
      <c r="U672" s="3"/>
      <c r="V672" s="3"/>
      <c r="W672" s="3"/>
      <c r="X672" s="3" t="s">
        <v>251</v>
      </c>
      <c r="Y672" s="3" t="s">
        <v>580</v>
      </c>
    </row>
    <row r="673" spans="1:25" ht="15" customHeight="1" x14ac:dyDescent="0.3">
      <c r="A673" s="5">
        <v>45888</v>
      </c>
      <c r="B673" s="25">
        <v>29</v>
      </c>
      <c r="C673" s="3" t="s">
        <v>38</v>
      </c>
      <c r="D673" s="3" t="s">
        <v>355</v>
      </c>
      <c r="E673" s="3">
        <v>2</v>
      </c>
      <c r="F673" s="3">
        <v>103</v>
      </c>
      <c r="G673" s="6" t="s">
        <v>163</v>
      </c>
      <c r="H673" s="3" t="s">
        <v>928</v>
      </c>
      <c r="I673" s="6" t="s">
        <v>793</v>
      </c>
      <c r="J673" s="3">
        <v>5</v>
      </c>
      <c r="K673" s="3">
        <v>5</v>
      </c>
      <c r="L673" s="3">
        <v>14.51</v>
      </c>
      <c r="M673" s="3">
        <v>3.5</v>
      </c>
      <c r="N673" s="3">
        <v>6.8</v>
      </c>
      <c r="O673" s="3">
        <v>6</v>
      </c>
      <c r="P673" s="3">
        <v>25</v>
      </c>
      <c r="Q673" s="3">
        <v>165</v>
      </c>
      <c r="R673" s="3"/>
      <c r="S673" s="3"/>
      <c r="T673" s="3"/>
      <c r="U673" s="3"/>
      <c r="V673" s="3"/>
      <c r="W673" s="3"/>
      <c r="X673" s="3" t="s">
        <v>972</v>
      </c>
      <c r="Y673" s="3" t="s">
        <v>79</v>
      </c>
    </row>
    <row r="674" spans="1:25" ht="15" customHeight="1" x14ac:dyDescent="0.3">
      <c r="A674" s="5">
        <v>45888</v>
      </c>
      <c r="B674" s="25">
        <v>29</v>
      </c>
      <c r="C674" s="3" t="s">
        <v>38</v>
      </c>
      <c r="D674" s="3" t="s">
        <v>355</v>
      </c>
      <c r="E674" s="3">
        <v>2</v>
      </c>
      <c r="F674" s="3">
        <v>161</v>
      </c>
      <c r="G674" s="6" t="s">
        <v>303</v>
      </c>
      <c r="H674" s="3" t="s">
        <v>1089</v>
      </c>
      <c r="I674" s="6" t="s">
        <v>1024</v>
      </c>
      <c r="J674" s="3">
        <v>2</v>
      </c>
      <c r="K674" s="3">
        <v>2</v>
      </c>
      <c r="L674" s="3">
        <v>18.89</v>
      </c>
      <c r="M674" s="3">
        <v>7</v>
      </c>
      <c r="N674" s="3">
        <v>7.5</v>
      </c>
      <c r="O674" s="3">
        <v>2.2000000000000002</v>
      </c>
      <c r="P674" s="3">
        <v>35</v>
      </c>
      <c r="Q674" s="3">
        <v>170</v>
      </c>
      <c r="R674" s="3"/>
      <c r="S674" s="3"/>
      <c r="T674" s="3"/>
      <c r="U674" s="3"/>
      <c r="V674" s="3"/>
      <c r="W674" s="3"/>
      <c r="X674" s="3" t="s">
        <v>138</v>
      </c>
      <c r="Y674" s="3" t="s">
        <v>1018</v>
      </c>
    </row>
    <row r="675" spans="1:25" ht="15" customHeight="1" x14ac:dyDescent="0.3">
      <c r="A675" s="5">
        <v>45888</v>
      </c>
      <c r="B675" s="25">
        <v>29</v>
      </c>
      <c r="C675" s="3" t="s">
        <v>38</v>
      </c>
      <c r="D675" s="3" t="s">
        <v>355</v>
      </c>
      <c r="E675" s="3">
        <v>2</v>
      </c>
      <c r="F675" s="3">
        <v>162</v>
      </c>
      <c r="G675" s="6" t="s">
        <v>1090</v>
      </c>
      <c r="H675" s="3" t="s">
        <v>1091</v>
      </c>
      <c r="I675" s="6" t="s">
        <v>1024</v>
      </c>
      <c r="J675" s="3">
        <v>2</v>
      </c>
      <c r="K675" s="3">
        <v>2</v>
      </c>
      <c r="L675" s="3">
        <v>18</v>
      </c>
      <c r="M675" s="3">
        <v>6</v>
      </c>
      <c r="N675" s="3">
        <v>7.5</v>
      </c>
      <c r="O675" s="3">
        <v>2.5</v>
      </c>
      <c r="P675" s="3">
        <v>29</v>
      </c>
      <c r="Q675" s="3">
        <v>170</v>
      </c>
      <c r="R675" s="3"/>
      <c r="S675" s="3"/>
      <c r="T675" s="3"/>
      <c r="U675" s="3"/>
      <c r="V675" s="3"/>
      <c r="W675" s="3"/>
      <c r="X675" s="3" t="s">
        <v>288</v>
      </c>
      <c r="Y675" s="3" t="s">
        <v>1108</v>
      </c>
    </row>
    <row r="676" spans="1:25" ht="15" customHeight="1" x14ac:dyDescent="0.3">
      <c r="A676" s="5">
        <v>45888</v>
      </c>
      <c r="B676" s="25">
        <v>29</v>
      </c>
      <c r="C676" s="3" t="s">
        <v>38</v>
      </c>
      <c r="D676" s="3" t="s">
        <v>355</v>
      </c>
      <c r="E676" s="3">
        <v>2</v>
      </c>
      <c r="F676" s="3">
        <v>182</v>
      </c>
      <c r="G676" s="6" t="s">
        <v>877</v>
      </c>
      <c r="H676" s="3" t="s">
        <v>878</v>
      </c>
      <c r="I676" s="6" t="s">
        <v>1024</v>
      </c>
      <c r="J676" s="3">
        <v>4</v>
      </c>
      <c r="K676" s="3">
        <v>4</v>
      </c>
      <c r="L676" s="3">
        <v>14.09</v>
      </c>
      <c r="M676" s="3">
        <v>3.5</v>
      </c>
      <c r="N676" s="3">
        <v>6</v>
      </c>
      <c r="O676" s="3">
        <v>2.6</v>
      </c>
      <c r="P676" s="3"/>
      <c r="Q676" s="3">
        <v>160</v>
      </c>
      <c r="R676" s="3"/>
      <c r="S676" s="3"/>
      <c r="T676" s="3"/>
      <c r="U676" s="3"/>
      <c r="V676" s="3"/>
      <c r="W676" s="3"/>
      <c r="X676" s="3" t="s">
        <v>82</v>
      </c>
      <c r="Y676" s="3" t="s">
        <v>396</v>
      </c>
    </row>
    <row r="677" spans="1:25" ht="15" customHeight="1" x14ac:dyDescent="0.3">
      <c r="A677" s="5">
        <v>45888</v>
      </c>
      <c r="B677" s="25">
        <v>29</v>
      </c>
      <c r="C677" s="3" t="s">
        <v>38</v>
      </c>
      <c r="D677" s="3" t="s">
        <v>355</v>
      </c>
      <c r="E677" s="3">
        <v>2</v>
      </c>
      <c r="F677" s="3">
        <v>401</v>
      </c>
      <c r="G677" s="6" t="s">
        <v>669</v>
      </c>
      <c r="H677" s="3" t="s">
        <v>930</v>
      </c>
      <c r="I677" s="6" t="s">
        <v>1024</v>
      </c>
      <c r="J677" s="3">
        <v>1</v>
      </c>
      <c r="K677" s="3">
        <v>1</v>
      </c>
      <c r="L677" s="3">
        <v>12.34</v>
      </c>
      <c r="M677" s="3"/>
      <c r="N677" s="3"/>
      <c r="O677" s="3">
        <v>3.6</v>
      </c>
      <c r="P677" s="3"/>
      <c r="Q677" s="3"/>
      <c r="R677" s="3"/>
      <c r="S677" s="3"/>
      <c r="T677" s="3"/>
      <c r="U677" s="3"/>
      <c r="V677" s="3"/>
      <c r="W677" s="3"/>
      <c r="X677" s="3" t="s">
        <v>1103</v>
      </c>
      <c r="Y677" s="3"/>
    </row>
    <row r="678" spans="1:25" ht="15" customHeight="1" x14ac:dyDescent="0.3">
      <c r="A678" s="5">
        <v>45888</v>
      </c>
      <c r="B678" s="25">
        <v>29</v>
      </c>
      <c r="C678" s="3" t="s">
        <v>38</v>
      </c>
      <c r="D678" s="3" t="s">
        <v>355</v>
      </c>
      <c r="E678" s="3">
        <v>2</v>
      </c>
      <c r="F678" s="3">
        <v>171</v>
      </c>
      <c r="G678" s="6" t="s">
        <v>1068</v>
      </c>
      <c r="H678" s="3" t="s">
        <v>1069</v>
      </c>
      <c r="I678" s="6" t="s">
        <v>1024</v>
      </c>
      <c r="J678" s="3">
        <v>5</v>
      </c>
      <c r="K678" s="3">
        <v>5</v>
      </c>
      <c r="L678" s="3">
        <v>19.579999999999998</v>
      </c>
      <c r="M678" s="3">
        <v>6</v>
      </c>
      <c r="N678" s="3">
        <v>9.5</v>
      </c>
      <c r="O678" s="3">
        <v>6</v>
      </c>
      <c r="P678" s="3"/>
      <c r="Q678" s="3">
        <v>160</v>
      </c>
      <c r="R678" s="3"/>
      <c r="S678" s="3"/>
      <c r="T678" s="3"/>
      <c r="U678" s="3"/>
      <c r="V678" s="3"/>
      <c r="W678" s="3"/>
      <c r="X678" s="3" t="s">
        <v>1104</v>
      </c>
      <c r="Y678" s="3" t="s">
        <v>1109</v>
      </c>
    </row>
    <row r="679" spans="1:25" ht="15" customHeight="1" x14ac:dyDescent="0.3">
      <c r="A679" s="5">
        <v>45888</v>
      </c>
      <c r="B679" s="25">
        <v>29</v>
      </c>
      <c r="C679" s="3" t="s">
        <v>38</v>
      </c>
      <c r="D679" s="3" t="s">
        <v>355</v>
      </c>
      <c r="E679" s="3">
        <v>2</v>
      </c>
      <c r="F679" s="3">
        <v>172</v>
      </c>
      <c r="G679" s="6" t="s">
        <v>472</v>
      </c>
      <c r="H679" s="3" t="s">
        <v>1070</v>
      </c>
      <c r="I679" s="6" t="s">
        <v>1024</v>
      </c>
      <c r="J679" s="3">
        <v>4</v>
      </c>
      <c r="K679" s="3">
        <v>4</v>
      </c>
      <c r="L679" s="3">
        <v>19.47</v>
      </c>
      <c r="M679" s="3">
        <v>3</v>
      </c>
      <c r="N679" s="3">
        <v>12</v>
      </c>
      <c r="O679" s="3">
        <v>8</v>
      </c>
      <c r="P679" s="3" t="s">
        <v>1097</v>
      </c>
      <c r="Q679" s="3">
        <v>160</v>
      </c>
      <c r="R679" s="3"/>
      <c r="S679" s="3"/>
      <c r="T679" s="3"/>
      <c r="U679" s="3"/>
      <c r="V679" s="3"/>
      <c r="W679" s="3"/>
      <c r="X679" s="3" t="s">
        <v>496</v>
      </c>
      <c r="Y679" s="3" t="s">
        <v>80</v>
      </c>
    </row>
    <row r="680" spans="1:25" ht="15" customHeight="1" x14ac:dyDescent="0.3">
      <c r="A680" s="5">
        <v>45888</v>
      </c>
      <c r="B680" s="25">
        <v>29</v>
      </c>
      <c r="C680" s="3" t="s">
        <v>38</v>
      </c>
      <c r="D680" s="3" t="s">
        <v>355</v>
      </c>
      <c r="E680" s="3">
        <v>2</v>
      </c>
      <c r="F680" s="3">
        <v>173</v>
      </c>
      <c r="G680" s="6" t="s">
        <v>1092</v>
      </c>
      <c r="H680" s="3" t="s">
        <v>1093</v>
      </c>
      <c r="I680" s="6" t="s">
        <v>1024</v>
      </c>
      <c r="J680" s="3">
        <v>5</v>
      </c>
      <c r="K680" s="3">
        <v>5</v>
      </c>
      <c r="L680" s="3">
        <v>17.149999999999999</v>
      </c>
      <c r="M680" s="3">
        <v>2</v>
      </c>
      <c r="N680" s="3">
        <v>11</v>
      </c>
      <c r="O680" s="3">
        <v>7</v>
      </c>
      <c r="P680" s="3" t="s">
        <v>1098</v>
      </c>
      <c r="Q680" s="3">
        <v>170</v>
      </c>
      <c r="R680" s="3"/>
      <c r="S680" s="3"/>
      <c r="T680" s="3"/>
      <c r="U680" s="3"/>
      <c r="V680" s="3"/>
      <c r="W680" s="3"/>
      <c r="X680" s="3" t="s">
        <v>288</v>
      </c>
      <c r="Y680" s="3" t="s">
        <v>84</v>
      </c>
    </row>
    <row r="681" spans="1:25" ht="15" customHeight="1" x14ac:dyDescent="0.3">
      <c r="A681" s="5">
        <v>45888</v>
      </c>
      <c r="B681" s="25">
        <v>29</v>
      </c>
      <c r="C681" s="3" t="s">
        <v>38</v>
      </c>
      <c r="D681" s="3" t="s">
        <v>355</v>
      </c>
      <c r="E681" s="3">
        <v>2</v>
      </c>
      <c r="F681" s="3">
        <v>177</v>
      </c>
      <c r="G681" s="6" t="s">
        <v>15</v>
      </c>
      <c r="H681" s="3" t="s">
        <v>1094</v>
      </c>
      <c r="I681" s="6" t="s">
        <v>1024</v>
      </c>
      <c r="J681" s="3">
        <v>4</v>
      </c>
      <c r="K681" s="3">
        <v>4</v>
      </c>
      <c r="L681" s="3">
        <v>17.420000000000002</v>
      </c>
      <c r="M681" s="3">
        <v>2.9</v>
      </c>
      <c r="N681" s="3">
        <v>10.8</v>
      </c>
      <c r="O681" s="3">
        <v>7.2</v>
      </c>
      <c r="P681" s="3" t="s">
        <v>1099</v>
      </c>
      <c r="Q681" s="3">
        <v>175</v>
      </c>
      <c r="R681" s="3"/>
      <c r="S681" s="3"/>
      <c r="T681" s="3"/>
      <c r="U681" s="3"/>
      <c r="V681" s="3"/>
      <c r="W681" s="3"/>
      <c r="X681" s="3" t="s">
        <v>1105</v>
      </c>
      <c r="Y681" s="3" t="s">
        <v>87</v>
      </c>
    </row>
    <row r="682" spans="1:25" ht="15" customHeight="1" x14ac:dyDescent="0.3">
      <c r="A682" s="5">
        <v>45888</v>
      </c>
      <c r="B682" s="25">
        <v>29</v>
      </c>
      <c r="C682" s="3" t="s">
        <v>38</v>
      </c>
      <c r="D682" s="3" t="s">
        <v>355</v>
      </c>
      <c r="E682" s="3">
        <v>2</v>
      </c>
      <c r="F682" s="3">
        <v>131</v>
      </c>
      <c r="G682" s="6" t="s">
        <v>1028</v>
      </c>
      <c r="H682" s="3" t="s">
        <v>1029</v>
      </c>
      <c r="I682" s="6" t="s">
        <v>1024</v>
      </c>
      <c r="J682" s="3">
        <v>3</v>
      </c>
      <c r="K682" s="23">
        <v>2</v>
      </c>
      <c r="L682" s="3">
        <v>16.91</v>
      </c>
      <c r="M682" s="3">
        <v>3.9</v>
      </c>
      <c r="N682" s="3">
        <v>8.3000000000000007</v>
      </c>
      <c r="O682" s="3">
        <v>5</v>
      </c>
      <c r="P682" s="3"/>
      <c r="Q682" s="3">
        <v>170</v>
      </c>
      <c r="R682" s="3"/>
      <c r="S682" s="3"/>
      <c r="T682" s="3"/>
      <c r="U682" s="3"/>
      <c r="V682" s="3"/>
      <c r="W682" s="3"/>
      <c r="X682" s="3" t="s">
        <v>88</v>
      </c>
      <c r="Y682" s="3" t="s">
        <v>327</v>
      </c>
    </row>
    <row r="683" spans="1:25" ht="15" customHeight="1" x14ac:dyDescent="0.3">
      <c r="A683" s="5">
        <v>45888</v>
      </c>
      <c r="B683" s="25">
        <v>29</v>
      </c>
      <c r="C683" s="3" t="s">
        <v>38</v>
      </c>
      <c r="D683" s="3" t="s">
        <v>355</v>
      </c>
      <c r="E683" s="3">
        <v>2</v>
      </c>
      <c r="F683" s="3">
        <v>132</v>
      </c>
      <c r="G683" s="6" t="s">
        <v>1076</v>
      </c>
      <c r="H683" s="3" t="s">
        <v>1077</v>
      </c>
      <c r="I683" s="6" t="s">
        <v>1024</v>
      </c>
      <c r="J683" s="3">
        <v>3</v>
      </c>
      <c r="K683" s="3">
        <v>3</v>
      </c>
      <c r="L683" s="3">
        <v>18.25</v>
      </c>
      <c r="M683" s="3">
        <v>3.8</v>
      </c>
      <c r="N683" s="3">
        <v>9</v>
      </c>
      <c r="O683" s="3">
        <v>8</v>
      </c>
      <c r="P683" s="3"/>
      <c r="Q683" s="3">
        <v>170</v>
      </c>
      <c r="R683" s="3"/>
      <c r="S683" s="3"/>
      <c r="T683" s="3"/>
      <c r="U683" s="3"/>
      <c r="V683" s="3"/>
      <c r="W683" s="3"/>
      <c r="X683" s="3" t="s">
        <v>1056</v>
      </c>
      <c r="Y683" s="3" t="s">
        <v>1110</v>
      </c>
    </row>
    <row r="684" spans="1:25" ht="15" customHeight="1" x14ac:dyDescent="0.3">
      <c r="A684" s="5">
        <v>45888</v>
      </c>
      <c r="B684" s="25">
        <v>29</v>
      </c>
      <c r="C684" s="3" t="s">
        <v>38</v>
      </c>
      <c r="D684" s="3" t="s">
        <v>355</v>
      </c>
      <c r="E684" s="3">
        <v>2</v>
      </c>
      <c r="F684" s="3">
        <v>135</v>
      </c>
      <c r="G684" s="6" t="s">
        <v>21</v>
      </c>
      <c r="H684" s="3" t="s">
        <v>991</v>
      </c>
      <c r="I684" s="6" t="s">
        <v>1024</v>
      </c>
      <c r="J684" s="3">
        <v>2</v>
      </c>
      <c r="K684" s="3">
        <v>2</v>
      </c>
      <c r="L684" s="3">
        <v>21.57</v>
      </c>
      <c r="M684" s="3">
        <v>6.8</v>
      </c>
      <c r="N684" s="3">
        <v>9</v>
      </c>
      <c r="O684" s="3">
        <v>5</v>
      </c>
      <c r="P684" s="3"/>
      <c r="Q684" s="3"/>
      <c r="R684" s="3"/>
      <c r="S684" s="3"/>
      <c r="T684" s="3"/>
      <c r="U684" s="3"/>
      <c r="V684" s="3"/>
      <c r="W684" s="3"/>
      <c r="X684" s="3" t="s">
        <v>1106</v>
      </c>
      <c r="Y684" s="3" t="s">
        <v>1111</v>
      </c>
    </row>
    <row r="685" spans="1:25" ht="15" customHeight="1" x14ac:dyDescent="0.3">
      <c r="A685" s="5">
        <v>45888</v>
      </c>
      <c r="B685" s="25">
        <v>29</v>
      </c>
      <c r="C685" s="3" t="s">
        <v>38</v>
      </c>
      <c r="D685" s="3" t="s">
        <v>355</v>
      </c>
      <c r="E685" s="3">
        <v>2</v>
      </c>
      <c r="F685" s="3">
        <v>138</v>
      </c>
      <c r="G685" s="6" t="s">
        <v>992</v>
      </c>
      <c r="H685" s="3" t="s">
        <v>993</v>
      </c>
      <c r="I685" s="6" t="s">
        <v>1024</v>
      </c>
      <c r="J685" s="3">
        <v>3</v>
      </c>
      <c r="K685" s="3">
        <v>3</v>
      </c>
      <c r="L685" s="3">
        <v>11.58</v>
      </c>
      <c r="M685" s="3">
        <v>2.5</v>
      </c>
      <c r="N685" s="3">
        <v>5.2</v>
      </c>
      <c r="O685" s="3">
        <v>3.2</v>
      </c>
      <c r="P685" s="3"/>
      <c r="Q685" s="3">
        <v>174</v>
      </c>
      <c r="R685" s="3"/>
      <c r="S685" s="3"/>
      <c r="T685" s="3"/>
      <c r="U685" s="3"/>
      <c r="V685" s="3"/>
      <c r="W685" s="3"/>
      <c r="X685" s="3" t="s">
        <v>84</v>
      </c>
      <c r="Y685" s="3" t="s">
        <v>396</v>
      </c>
    </row>
    <row r="686" spans="1:25" ht="15" customHeight="1" x14ac:dyDescent="0.3">
      <c r="A686" s="5">
        <v>45888</v>
      </c>
      <c r="B686" s="25">
        <v>29</v>
      </c>
      <c r="C686" s="3" t="s">
        <v>38</v>
      </c>
      <c r="D686" s="3" t="s">
        <v>355</v>
      </c>
      <c r="E686" s="3">
        <v>2</v>
      </c>
      <c r="F686" s="3">
        <v>204</v>
      </c>
      <c r="G686" s="6" t="s">
        <v>996</v>
      </c>
      <c r="H686" s="3" t="s">
        <v>997</v>
      </c>
      <c r="I686" s="6" t="s">
        <v>111</v>
      </c>
      <c r="J686" s="3">
        <v>4</v>
      </c>
      <c r="K686" s="23">
        <v>3</v>
      </c>
      <c r="L686" s="3">
        <v>21.2</v>
      </c>
      <c r="M686" s="3">
        <v>8</v>
      </c>
      <c r="N686" s="3">
        <v>3</v>
      </c>
      <c r="O686" s="3"/>
      <c r="P686" s="3"/>
      <c r="Q686" s="3"/>
      <c r="R686" s="3" t="s">
        <v>1005</v>
      </c>
      <c r="S686" s="3" t="s">
        <v>1008</v>
      </c>
      <c r="T686" s="3">
        <v>2</v>
      </c>
      <c r="U686" s="3">
        <v>15</v>
      </c>
      <c r="V686" s="3">
        <v>20</v>
      </c>
      <c r="W686" s="3">
        <v>140</v>
      </c>
      <c r="X686" s="3" t="s">
        <v>1015</v>
      </c>
      <c r="Y686" s="3" t="s">
        <v>1041</v>
      </c>
    </row>
    <row r="687" spans="1:25" ht="15" customHeight="1" x14ac:dyDescent="0.3">
      <c r="A687" s="5">
        <v>45888</v>
      </c>
      <c r="B687" s="25">
        <v>29</v>
      </c>
      <c r="C687" s="3" t="s">
        <v>38</v>
      </c>
      <c r="D687" s="3" t="s">
        <v>355</v>
      </c>
      <c r="E687" s="3">
        <v>2</v>
      </c>
      <c r="F687" s="3">
        <v>207</v>
      </c>
      <c r="G687" s="6" t="s">
        <v>1080</v>
      </c>
      <c r="H687" s="3" t="s">
        <v>1081</v>
      </c>
      <c r="I687" s="6" t="s">
        <v>111</v>
      </c>
      <c r="J687" s="3">
        <v>12</v>
      </c>
      <c r="K687" s="23">
        <v>7</v>
      </c>
      <c r="L687" s="3">
        <v>34.06</v>
      </c>
      <c r="M687" s="3">
        <v>15</v>
      </c>
      <c r="N687" s="3">
        <v>3.1</v>
      </c>
      <c r="O687" s="3"/>
      <c r="P687" s="3"/>
      <c r="Q687" s="3"/>
      <c r="R687" s="3" t="s">
        <v>726</v>
      </c>
      <c r="S687" s="3" t="s">
        <v>244</v>
      </c>
      <c r="T687" s="3">
        <v>2.5</v>
      </c>
      <c r="U687" s="3">
        <v>20</v>
      </c>
      <c r="V687" s="3">
        <v>30</v>
      </c>
      <c r="W687" s="3">
        <v>140</v>
      </c>
      <c r="X687" s="3" t="s">
        <v>1107</v>
      </c>
      <c r="Y687" s="3" t="s">
        <v>1112</v>
      </c>
    </row>
    <row r="688" spans="1:25" ht="15" customHeight="1" x14ac:dyDescent="0.3">
      <c r="A688" s="5">
        <v>45888</v>
      </c>
      <c r="B688" s="25">
        <v>29</v>
      </c>
      <c r="C688" s="3" t="s">
        <v>38</v>
      </c>
      <c r="D688" s="3" t="s">
        <v>355</v>
      </c>
      <c r="E688" s="3">
        <v>2</v>
      </c>
      <c r="F688" s="3">
        <v>209</v>
      </c>
      <c r="G688" s="6" t="s">
        <v>1084</v>
      </c>
      <c r="H688" s="3" t="s">
        <v>1085</v>
      </c>
      <c r="I688" s="6" t="s">
        <v>111</v>
      </c>
      <c r="J688" s="3">
        <v>12</v>
      </c>
      <c r="K688" s="23">
        <v>11</v>
      </c>
      <c r="L688" s="3">
        <v>27.6</v>
      </c>
      <c r="M688" s="3">
        <v>10</v>
      </c>
      <c r="N688" s="3">
        <v>3</v>
      </c>
      <c r="O688" s="3"/>
      <c r="P688" s="3"/>
      <c r="Q688" s="3"/>
      <c r="R688" s="3" t="s">
        <v>1100</v>
      </c>
      <c r="S688" s="3" t="s">
        <v>1101</v>
      </c>
      <c r="T688" s="3">
        <v>3</v>
      </c>
      <c r="U688" s="3">
        <v>35</v>
      </c>
      <c r="V688" s="3">
        <v>40</v>
      </c>
      <c r="W688" s="3">
        <v>95</v>
      </c>
      <c r="X688" s="3" t="s">
        <v>705</v>
      </c>
      <c r="Y688" s="3" t="s">
        <v>1113</v>
      </c>
    </row>
    <row r="689" spans="1:25" ht="15" customHeight="1" x14ac:dyDescent="0.3">
      <c r="A689" s="5">
        <v>45888</v>
      </c>
      <c r="B689" s="25">
        <v>29</v>
      </c>
      <c r="C689" s="3" t="s">
        <v>38</v>
      </c>
      <c r="D689" s="3" t="s">
        <v>355</v>
      </c>
      <c r="E689" s="3">
        <v>2</v>
      </c>
      <c r="F689" s="3">
        <v>210</v>
      </c>
      <c r="G689" s="6" t="s">
        <v>1095</v>
      </c>
      <c r="H689" s="3" t="s">
        <v>1096</v>
      </c>
      <c r="I689" s="6" t="s">
        <v>111</v>
      </c>
      <c r="J689" s="3">
        <v>4</v>
      </c>
      <c r="K689" s="3">
        <v>4</v>
      </c>
      <c r="L689" s="3">
        <v>19.7</v>
      </c>
      <c r="M689" s="3">
        <v>6</v>
      </c>
      <c r="N689" s="3">
        <v>4</v>
      </c>
      <c r="O689" s="3"/>
      <c r="P689" s="3"/>
      <c r="Q689" s="3"/>
      <c r="R689" s="3" t="s">
        <v>1033</v>
      </c>
      <c r="S689" s="3" t="s">
        <v>1102</v>
      </c>
      <c r="T689" s="3">
        <v>1</v>
      </c>
      <c r="U689" s="3">
        <v>20</v>
      </c>
      <c r="V689" s="3">
        <v>30</v>
      </c>
      <c r="W689" s="3">
        <v>100</v>
      </c>
      <c r="X689" s="3" t="s">
        <v>730</v>
      </c>
      <c r="Y689" s="3" t="s">
        <v>1114</v>
      </c>
    </row>
    <row r="690" spans="1:25" ht="15" customHeight="1" x14ac:dyDescent="0.3">
      <c r="A690" s="5">
        <v>45888</v>
      </c>
      <c r="B690" s="25">
        <v>29</v>
      </c>
      <c r="C690" s="3" t="s">
        <v>38</v>
      </c>
      <c r="D690" s="3" t="s">
        <v>355</v>
      </c>
      <c r="E690" s="3">
        <v>2</v>
      </c>
      <c r="F690" s="3">
        <v>301</v>
      </c>
      <c r="G690" s="6" t="s">
        <v>30</v>
      </c>
      <c r="H690" s="3" t="s">
        <v>194</v>
      </c>
      <c r="I690" s="6" t="s">
        <v>793</v>
      </c>
      <c r="J690" s="3">
        <v>8</v>
      </c>
      <c r="K690" s="23">
        <v>5</v>
      </c>
      <c r="L690" s="3">
        <v>30.4</v>
      </c>
      <c r="M690" s="3">
        <v>13</v>
      </c>
      <c r="N690" s="3">
        <v>5.5</v>
      </c>
      <c r="O690" s="3"/>
      <c r="P690" s="3"/>
      <c r="Q690" s="3">
        <v>140</v>
      </c>
      <c r="R690" s="3" t="s">
        <v>894</v>
      </c>
      <c r="S690" s="3" t="s">
        <v>1036</v>
      </c>
      <c r="T690" s="3">
        <v>1</v>
      </c>
      <c r="U690" s="3">
        <v>25</v>
      </c>
      <c r="V690" s="3">
        <v>35</v>
      </c>
      <c r="W690" s="3">
        <v>130</v>
      </c>
      <c r="X690" s="3" t="s">
        <v>147</v>
      </c>
      <c r="Y690" s="3" t="s">
        <v>354</v>
      </c>
    </row>
    <row r="691" spans="1:25" ht="15" customHeight="1" x14ac:dyDescent="0.3">
      <c r="A691" s="5">
        <v>45888</v>
      </c>
      <c r="B691" s="25">
        <v>29</v>
      </c>
      <c r="C691" s="3" t="s">
        <v>38</v>
      </c>
      <c r="D691" s="3" t="s">
        <v>355</v>
      </c>
      <c r="E691" s="3">
        <v>2</v>
      </c>
      <c r="F691" s="3">
        <v>502</v>
      </c>
      <c r="G691" s="6" t="s">
        <v>889</v>
      </c>
      <c r="H691" s="3" t="s">
        <v>890</v>
      </c>
      <c r="I691" s="6" t="s">
        <v>110</v>
      </c>
      <c r="J691" s="3">
        <v>4</v>
      </c>
      <c r="K691" s="3">
        <v>4</v>
      </c>
      <c r="L691" s="3">
        <v>17.62</v>
      </c>
      <c r="M691" s="3"/>
      <c r="N691" s="3"/>
      <c r="O691" s="3">
        <v>10.5</v>
      </c>
      <c r="P691" s="3"/>
      <c r="Q691" s="3"/>
      <c r="R691" s="3"/>
      <c r="S691" s="3"/>
      <c r="T691" s="3"/>
      <c r="U691" s="3"/>
      <c r="V691" s="3"/>
      <c r="W691" s="3">
        <v>320</v>
      </c>
      <c r="X691" s="3" t="s">
        <v>904</v>
      </c>
      <c r="Y691" s="3"/>
    </row>
    <row r="692" spans="1:25" ht="15" customHeight="1" x14ac:dyDescent="0.3">
      <c r="A692" s="27">
        <v>45889</v>
      </c>
      <c r="B692" s="25">
        <v>30</v>
      </c>
      <c r="C692" s="3" t="s">
        <v>38</v>
      </c>
      <c r="D692" s="3" t="s">
        <v>164</v>
      </c>
      <c r="E692" s="3">
        <v>2</v>
      </c>
      <c r="F692" s="3">
        <v>102</v>
      </c>
      <c r="G692" s="6" t="s">
        <v>625</v>
      </c>
      <c r="H692" s="3" t="s">
        <v>1115</v>
      </c>
      <c r="I692" s="6" t="s">
        <v>793</v>
      </c>
      <c r="J692" s="3">
        <v>5</v>
      </c>
      <c r="K692" s="3">
        <v>5</v>
      </c>
      <c r="L692" s="3">
        <v>19.53</v>
      </c>
      <c r="M692" s="3">
        <v>4</v>
      </c>
      <c r="N692" s="3">
        <v>10.25</v>
      </c>
      <c r="O692" s="3">
        <v>7</v>
      </c>
      <c r="P692" s="3">
        <v>50</v>
      </c>
      <c r="Q692" s="3">
        <v>170</v>
      </c>
      <c r="R692" s="3"/>
      <c r="S692" s="3"/>
      <c r="T692" s="3"/>
      <c r="U692" s="3"/>
      <c r="V692" s="3"/>
      <c r="W692" s="3"/>
      <c r="X692" s="3" t="s">
        <v>251</v>
      </c>
      <c r="Y692" s="3" t="s">
        <v>580</v>
      </c>
    </row>
    <row r="693" spans="1:25" ht="15" customHeight="1" x14ac:dyDescent="0.3">
      <c r="A693" s="27">
        <v>45889</v>
      </c>
      <c r="B693" s="25">
        <v>30</v>
      </c>
      <c r="C693" s="3" t="s">
        <v>38</v>
      </c>
      <c r="D693" s="3" t="s">
        <v>164</v>
      </c>
      <c r="E693" s="3">
        <v>2</v>
      </c>
      <c r="F693" s="3">
        <v>103</v>
      </c>
      <c r="G693" s="6" t="s">
        <v>163</v>
      </c>
      <c r="H693" s="3" t="s">
        <v>928</v>
      </c>
      <c r="I693" s="6" t="s">
        <v>793</v>
      </c>
      <c r="J693" s="3">
        <v>5</v>
      </c>
      <c r="K693" s="3">
        <v>5</v>
      </c>
      <c r="L693" s="3">
        <v>14.82</v>
      </c>
      <c r="M693" s="3">
        <v>3.8</v>
      </c>
      <c r="N693" s="3">
        <v>6.8</v>
      </c>
      <c r="O693" s="3">
        <v>5.8</v>
      </c>
      <c r="P693" s="3">
        <v>25</v>
      </c>
      <c r="Q693" s="3">
        <v>165</v>
      </c>
      <c r="R693" s="3"/>
      <c r="S693" s="3"/>
      <c r="T693" s="3"/>
      <c r="U693" s="3"/>
      <c r="V693" s="3"/>
      <c r="W693" s="3"/>
      <c r="X693" s="3" t="s">
        <v>79</v>
      </c>
      <c r="Y693" s="3" t="s">
        <v>254</v>
      </c>
    </row>
    <row r="694" spans="1:25" ht="15" customHeight="1" x14ac:dyDescent="0.3">
      <c r="A694" s="27">
        <v>45889</v>
      </c>
      <c r="B694" s="25">
        <v>30</v>
      </c>
      <c r="C694" s="3" t="s">
        <v>38</v>
      </c>
      <c r="D694" s="3" t="s">
        <v>164</v>
      </c>
      <c r="E694" s="3">
        <v>2</v>
      </c>
      <c r="F694" s="3">
        <v>161</v>
      </c>
      <c r="G694" s="6" t="s">
        <v>303</v>
      </c>
      <c r="H694" s="3" t="s">
        <v>1089</v>
      </c>
      <c r="I694" s="6" t="s">
        <v>1024</v>
      </c>
      <c r="J694" s="3">
        <v>2</v>
      </c>
      <c r="K694" s="3">
        <v>2</v>
      </c>
      <c r="L694" s="3">
        <v>18.010000000000002</v>
      </c>
      <c r="M694" s="3">
        <v>5</v>
      </c>
      <c r="N694" s="3">
        <v>7.5</v>
      </c>
      <c r="O694" s="3">
        <v>2.2000000000000002</v>
      </c>
      <c r="P694" s="3">
        <v>35</v>
      </c>
      <c r="Q694" s="3">
        <v>170</v>
      </c>
      <c r="R694" s="3"/>
      <c r="S694" s="3"/>
      <c r="T694" s="3"/>
      <c r="U694" s="3"/>
      <c r="V694" s="3"/>
      <c r="W694" s="3"/>
      <c r="X694" s="3" t="s">
        <v>207</v>
      </c>
      <c r="Y694" s="3" t="s">
        <v>396</v>
      </c>
    </row>
    <row r="695" spans="1:25" ht="15" customHeight="1" x14ac:dyDescent="0.3">
      <c r="A695" s="27">
        <v>45889</v>
      </c>
      <c r="B695" s="25">
        <v>30</v>
      </c>
      <c r="C695" s="3" t="s">
        <v>38</v>
      </c>
      <c r="D695" s="3" t="s">
        <v>164</v>
      </c>
      <c r="E695" s="3">
        <v>2</v>
      </c>
      <c r="F695" s="3">
        <v>182</v>
      </c>
      <c r="G695" s="6" t="s">
        <v>1116</v>
      </c>
      <c r="H695" s="3" t="s">
        <v>1117</v>
      </c>
      <c r="I695" s="6" t="s">
        <v>1024</v>
      </c>
      <c r="J695" s="3">
        <v>4</v>
      </c>
      <c r="K695" s="3">
        <v>4</v>
      </c>
      <c r="L695" s="3">
        <v>14</v>
      </c>
      <c r="M695" s="3">
        <v>3</v>
      </c>
      <c r="N695" s="3">
        <v>6</v>
      </c>
      <c r="O695" s="3">
        <v>2</v>
      </c>
      <c r="P695" s="3"/>
      <c r="Q695" s="3">
        <v>180</v>
      </c>
      <c r="R695" s="3"/>
      <c r="S695" s="3"/>
      <c r="T695" s="3"/>
      <c r="U695" s="3"/>
      <c r="V695" s="3"/>
      <c r="W695" s="3"/>
      <c r="X695" s="3" t="s">
        <v>82</v>
      </c>
      <c r="Y695" s="3" t="s">
        <v>396</v>
      </c>
    </row>
    <row r="696" spans="1:25" ht="15" customHeight="1" x14ac:dyDescent="0.3">
      <c r="A696" s="27">
        <v>45889</v>
      </c>
      <c r="B696" s="25">
        <v>30</v>
      </c>
      <c r="C696" s="3" t="s">
        <v>38</v>
      </c>
      <c r="D696" s="3" t="s">
        <v>164</v>
      </c>
      <c r="E696" s="3">
        <v>2</v>
      </c>
      <c r="F696" s="3">
        <v>404</v>
      </c>
      <c r="G696" s="6" t="s">
        <v>983</v>
      </c>
      <c r="H696" s="3" t="s">
        <v>984</v>
      </c>
      <c r="I696" s="6" t="s">
        <v>1024</v>
      </c>
      <c r="J696" s="3">
        <v>2</v>
      </c>
      <c r="K696" s="3">
        <v>2</v>
      </c>
      <c r="L696" s="3">
        <v>7.4</v>
      </c>
      <c r="M696" s="3"/>
      <c r="N696" s="3"/>
      <c r="O696" s="3">
        <v>2.5</v>
      </c>
      <c r="P696" s="3"/>
      <c r="Q696" s="3"/>
      <c r="R696" s="3"/>
      <c r="S696" s="3"/>
      <c r="T696" s="3"/>
      <c r="U696" s="3"/>
      <c r="V696" s="3"/>
      <c r="W696" s="3"/>
      <c r="X696" s="3" t="s">
        <v>1135</v>
      </c>
      <c r="Y696" s="3"/>
    </row>
    <row r="697" spans="1:25" ht="15" customHeight="1" x14ac:dyDescent="0.3">
      <c r="A697" s="27">
        <v>45889</v>
      </c>
      <c r="B697" s="25">
        <v>30</v>
      </c>
      <c r="C697" s="3" t="s">
        <v>38</v>
      </c>
      <c r="D697" s="3" t="s">
        <v>164</v>
      </c>
      <c r="E697" s="3">
        <v>2</v>
      </c>
      <c r="F697" s="3">
        <v>405</v>
      </c>
      <c r="G697" s="6" t="s">
        <v>435</v>
      </c>
      <c r="H697" s="3" t="s">
        <v>1118</v>
      </c>
      <c r="I697" s="6" t="s">
        <v>1024</v>
      </c>
      <c r="J697" s="3">
        <v>2</v>
      </c>
      <c r="K697" s="3">
        <v>2</v>
      </c>
      <c r="L697" s="3">
        <v>8.8000000000000007</v>
      </c>
      <c r="M697" s="3"/>
      <c r="N697" s="3"/>
      <c r="O697" s="3">
        <v>3.5</v>
      </c>
      <c r="P697" s="3"/>
      <c r="Q697" s="3"/>
      <c r="R697" s="3"/>
      <c r="S697" s="3"/>
      <c r="T697" s="3"/>
      <c r="U697" s="3"/>
      <c r="V697" s="3"/>
      <c r="W697" s="3"/>
      <c r="X697" s="3" t="s">
        <v>1136</v>
      </c>
      <c r="Y697" s="3"/>
    </row>
    <row r="698" spans="1:25" ht="15" customHeight="1" x14ac:dyDescent="0.3">
      <c r="A698" s="27">
        <v>45889</v>
      </c>
      <c r="B698" s="25">
        <v>30</v>
      </c>
      <c r="C698" s="3" t="s">
        <v>38</v>
      </c>
      <c r="D698" s="3" t="s">
        <v>164</v>
      </c>
      <c r="E698" s="3">
        <v>2</v>
      </c>
      <c r="F698" s="3">
        <v>172</v>
      </c>
      <c r="G698" s="6" t="s">
        <v>472</v>
      </c>
      <c r="H698" s="3" t="s">
        <v>1070</v>
      </c>
      <c r="I698" s="6" t="s">
        <v>1024</v>
      </c>
      <c r="J698" s="3">
        <v>4</v>
      </c>
      <c r="K698" s="3">
        <v>4</v>
      </c>
      <c r="L698" s="3">
        <v>19.62</v>
      </c>
      <c r="M698" s="3">
        <v>3</v>
      </c>
      <c r="N698" s="3">
        <v>12</v>
      </c>
      <c r="O698" s="3">
        <v>8</v>
      </c>
      <c r="P698" s="3" t="s">
        <v>1126</v>
      </c>
      <c r="Q698" s="3">
        <v>160</v>
      </c>
      <c r="R698" s="3"/>
      <c r="S698" s="3"/>
      <c r="T698" s="3"/>
      <c r="U698" s="3"/>
      <c r="V698" s="3"/>
      <c r="W698" s="3"/>
      <c r="X698" s="3" t="s">
        <v>496</v>
      </c>
      <c r="Y698" s="3" t="s">
        <v>80</v>
      </c>
    </row>
    <row r="699" spans="1:25" ht="15" customHeight="1" x14ac:dyDescent="0.3">
      <c r="A699" s="27">
        <v>45889</v>
      </c>
      <c r="B699" s="25">
        <v>30</v>
      </c>
      <c r="C699" s="3" t="s">
        <v>38</v>
      </c>
      <c r="D699" s="3" t="s">
        <v>164</v>
      </c>
      <c r="E699" s="3">
        <v>2</v>
      </c>
      <c r="F699" s="3">
        <v>173</v>
      </c>
      <c r="G699" s="6" t="s">
        <v>1119</v>
      </c>
      <c r="H699" s="3" t="s">
        <v>1120</v>
      </c>
      <c r="I699" s="6" t="s">
        <v>1024</v>
      </c>
      <c r="J699" s="3">
        <v>5</v>
      </c>
      <c r="K699" s="3">
        <v>5</v>
      </c>
      <c r="L699" s="3">
        <v>17.22</v>
      </c>
      <c r="M699" s="3">
        <v>2</v>
      </c>
      <c r="N699" s="3">
        <v>11</v>
      </c>
      <c r="O699" s="3">
        <v>7</v>
      </c>
      <c r="P699" s="3" t="s">
        <v>1098</v>
      </c>
      <c r="Q699" s="3">
        <v>170</v>
      </c>
      <c r="R699" s="3"/>
      <c r="S699" s="3"/>
      <c r="T699" s="3"/>
      <c r="U699" s="3"/>
      <c r="V699" s="3"/>
      <c r="W699" s="3"/>
      <c r="X699" s="3" t="s">
        <v>288</v>
      </c>
      <c r="Y699" s="3" t="s">
        <v>84</v>
      </c>
    </row>
    <row r="700" spans="1:25" ht="15" customHeight="1" x14ac:dyDescent="0.3">
      <c r="A700" s="27">
        <v>45889</v>
      </c>
      <c r="B700" s="25">
        <v>30</v>
      </c>
      <c r="C700" s="3" t="s">
        <v>38</v>
      </c>
      <c r="D700" s="3" t="s">
        <v>164</v>
      </c>
      <c r="E700" s="3">
        <v>2</v>
      </c>
      <c r="F700" s="3">
        <v>174</v>
      </c>
      <c r="G700" s="6" t="s">
        <v>16</v>
      </c>
      <c r="H700" s="3" t="s">
        <v>1121</v>
      </c>
      <c r="I700" s="6" t="s">
        <v>1024</v>
      </c>
      <c r="J700" s="3">
        <v>5</v>
      </c>
      <c r="K700" s="3">
        <v>5</v>
      </c>
      <c r="L700" s="3">
        <v>14.63</v>
      </c>
      <c r="M700" s="3">
        <v>0.5</v>
      </c>
      <c r="N700" s="3">
        <v>9.5</v>
      </c>
      <c r="O700" s="3">
        <v>6.7</v>
      </c>
      <c r="P700" s="3" t="s">
        <v>1127</v>
      </c>
      <c r="Q700" s="3">
        <v>175</v>
      </c>
      <c r="R700" s="3"/>
      <c r="S700" s="3"/>
      <c r="T700" s="3"/>
      <c r="U700" s="3"/>
      <c r="V700" s="3"/>
      <c r="W700" s="3"/>
      <c r="X700" s="3" t="s">
        <v>79</v>
      </c>
      <c r="Y700" s="3" t="s">
        <v>84</v>
      </c>
    </row>
    <row r="701" spans="1:25" ht="15" customHeight="1" x14ac:dyDescent="0.3">
      <c r="A701" s="27">
        <v>45889</v>
      </c>
      <c r="B701" s="25">
        <v>30</v>
      </c>
      <c r="C701" s="3" t="s">
        <v>38</v>
      </c>
      <c r="D701" s="3" t="s">
        <v>164</v>
      </c>
      <c r="E701" s="3">
        <v>2</v>
      </c>
      <c r="F701" s="3">
        <v>176</v>
      </c>
      <c r="G701" s="6" t="s">
        <v>1074</v>
      </c>
      <c r="H701" s="3" t="s">
        <v>1075</v>
      </c>
      <c r="I701" s="6" t="s">
        <v>1024</v>
      </c>
      <c r="J701" s="3">
        <v>5</v>
      </c>
      <c r="K701" s="3">
        <v>5</v>
      </c>
      <c r="L701" s="3">
        <v>18.2</v>
      </c>
      <c r="M701" s="3">
        <v>2.2000000000000002</v>
      </c>
      <c r="N701" s="3">
        <v>12.4</v>
      </c>
      <c r="O701" s="3">
        <v>7.8</v>
      </c>
      <c r="P701" s="3" t="s">
        <v>1004</v>
      </c>
      <c r="Q701" s="3">
        <v>165</v>
      </c>
      <c r="R701" s="3"/>
      <c r="S701" s="3"/>
      <c r="T701" s="3"/>
      <c r="U701" s="3"/>
      <c r="V701" s="3"/>
      <c r="W701" s="3"/>
      <c r="X701" s="3" t="s">
        <v>79</v>
      </c>
      <c r="Y701" s="3" t="s">
        <v>80</v>
      </c>
    </row>
    <row r="702" spans="1:25" ht="15" customHeight="1" x14ac:dyDescent="0.3">
      <c r="A702" s="27">
        <v>45889</v>
      </c>
      <c r="B702" s="25">
        <v>30</v>
      </c>
      <c r="C702" s="3" t="s">
        <v>38</v>
      </c>
      <c r="D702" s="3" t="s">
        <v>164</v>
      </c>
      <c r="E702" s="3">
        <v>2</v>
      </c>
      <c r="F702" s="3">
        <v>131</v>
      </c>
      <c r="G702" s="6" t="s">
        <v>1028</v>
      </c>
      <c r="H702" s="3" t="s">
        <v>1029</v>
      </c>
      <c r="I702" s="6" t="s">
        <v>1024</v>
      </c>
      <c r="J702" s="3">
        <v>3</v>
      </c>
      <c r="K702" s="23">
        <v>2</v>
      </c>
      <c r="L702" s="3">
        <v>16.829999999999998</v>
      </c>
      <c r="M702" s="3">
        <v>3.9</v>
      </c>
      <c r="N702" s="3">
        <v>8.3000000000000007</v>
      </c>
      <c r="O702" s="3">
        <v>5</v>
      </c>
      <c r="P702" s="3"/>
      <c r="Q702" s="3">
        <v>170</v>
      </c>
      <c r="R702" s="3"/>
      <c r="S702" s="3"/>
      <c r="T702" s="3"/>
      <c r="U702" s="3"/>
      <c r="V702" s="3"/>
      <c r="W702" s="3"/>
      <c r="X702" s="3" t="s">
        <v>88</v>
      </c>
      <c r="Y702" s="3" t="s">
        <v>327</v>
      </c>
    </row>
    <row r="703" spans="1:25" ht="15" customHeight="1" x14ac:dyDescent="0.3">
      <c r="A703" s="27">
        <v>45889</v>
      </c>
      <c r="B703" s="25">
        <v>30</v>
      </c>
      <c r="C703" s="3" t="s">
        <v>38</v>
      </c>
      <c r="D703" s="3" t="s">
        <v>164</v>
      </c>
      <c r="E703" s="3">
        <v>2</v>
      </c>
      <c r="F703" s="3">
        <v>132</v>
      </c>
      <c r="G703" s="6" t="s">
        <v>1076</v>
      </c>
      <c r="H703" s="3" t="s">
        <v>1077</v>
      </c>
      <c r="I703" s="6" t="s">
        <v>1024</v>
      </c>
      <c r="J703" s="3">
        <v>3</v>
      </c>
      <c r="K703" s="3">
        <v>3</v>
      </c>
      <c r="L703" s="3">
        <v>18.22</v>
      </c>
      <c r="M703" s="3">
        <v>3.8</v>
      </c>
      <c r="N703" s="3">
        <v>9</v>
      </c>
      <c r="O703" s="3">
        <v>8</v>
      </c>
      <c r="P703" s="3"/>
      <c r="Q703" s="3">
        <v>170</v>
      </c>
      <c r="R703" s="3"/>
      <c r="S703" s="3"/>
      <c r="T703" s="3"/>
      <c r="U703" s="3"/>
      <c r="V703" s="3"/>
      <c r="W703" s="3"/>
      <c r="X703" s="3" t="s">
        <v>1056</v>
      </c>
      <c r="Y703" s="3" t="s">
        <v>1063</v>
      </c>
    </row>
    <row r="704" spans="1:25" ht="15" customHeight="1" x14ac:dyDescent="0.3">
      <c r="A704" s="27">
        <v>45889</v>
      </c>
      <c r="B704" s="25">
        <v>30</v>
      </c>
      <c r="C704" s="3" t="s">
        <v>38</v>
      </c>
      <c r="D704" s="3" t="s">
        <v>164</v>
      </c>
      <c r="E704" s="3">
        <v>2</v>
      </c>
      <c r="F704" s="3">
        <v>203</v>
      </c>
      <c r="G704" s="6" t="s">
        <v>1078</v>
      </c>
      <c r="H704" s="3" t="s">
        <v>1079</v>
      </c>
      <c r="I704" s="6" t="s">
        <v>111</v>
      </c>
      <c r="J704" s="3">
        <v>4</v>
      </c>
      <c r="K704" s="3">
        <v>4</v>
      </c>
      <c r="L704" s="3">
        <v>24.8</v>
      </c>
      <c r="M704" s="3">
        <v>13</v>
      </c>
      <c r="N704" s="3">
        <v>3</v>
      </c>
      <c r="O704" s="3"/>
      <c r="P704" s="3"/>
      <c r="Q704" s="3"/>
      <c r="R704" s="3" t="s">
        <v>1128</v>
      </c>
      <c r="S704" s="3" t="s">
        <v>1132</v>
      </c>
      <c r="T704" s="3">
        <v>1</v>
      </c>
      <c r="U704" s="3">
        <v>20</v>
      </c>
      <c r="V704" s="3">
        <v>25</v>
      </c>
      <c r="W704" s="3">
        <v>90</v>
      </c>
      <c r="X704" s="3" t="s">
        <v>1137</v>
      </c>
      <c r="Y704" s="3"/>
    </row>
    <row r="705" spans="1:25" ht="15" customHeight="1" x14ac:dyDescent="0.3">
      <c r="A705" s="27">
        <v>45889</v>
      </c>
      <c r="B705" s="25">
        <v>30</v>
      </c>
      <c r="C705" s="3" t="s">
        <v>38</v>
      </c>
      <c r="D705" s="3" t="s">
        <v>164</v>
      </c>
      <c r="E705" s="3">
        <v>2</v>
      </c>
      <c r="F705" s="3">
        <v>205</v>
      </c>
      <c r="G705" s="6" t="s">
        <v>940</v>
      </c>
      <c r="H705" s="3" t="s">
        <v>941</v>
      </c>
      <c r="I705" s="6" t="s">
        <v>111</v>
      </c>
      <c r="J705" s="3">
        <v>4</v>
      </c>
      <c r="K705" s="23">
        <v>3</v>
      </c>
      <c r="L705" s="3">
        <v>22.5</v>
      </c>
      <c r="M705" s="3">
        <v>8</v>
      </c>
      <c r="N705" s="3">
        <v>2</v>
      </c>
      <c r="O705" s="3"/>
      <c r="P705" s="3"/>
      <c r="Q705" s="3"/>
      <c r="R705" s="3" t="s">
        <v>287</v>
      </c>
      <c r="S705" s="3" t="s">
        <v>1034</v>
      </c>
      <c r="T705" s="3">
        <v>1</v>
      </c>
      <c r="U705" s="3">
        <v>5</v>
      </c>
      <c r="V705" s="3">
        <v>10</v>
      </c>
      <c r="W705" s="3">
        <v>140</v>
      </c>
      <c r="X705" s="3" t="s">
        <v>391</v>
      </c>
      <c r="Y705" s="3"/>
    </row>
    <row r="706" spans="1:25" ht="15" customHeight="1" x14ac:dyDescent="0.3">
      <c r="A706" s="27">
        <v>45889</v>
      </c>
      <c r="B706" s="25">
        <v>30</v>
      </c>
      <c r="C706" s="3" t="s">
        <v>38</v>
      </c>
      <c r="D706" s="3" t="s">
        <v>164</v>
      </c>
      <c r="E706" s="3">
        <v>2</v>
      </c>
      <c r="F706" s="3">
        <v>206</v>
      </c>
      <c r="G706" s="6" t="s">
        <v>667</v>
      </c>
      <c r="H706" s="3" t="s">
        <v>1122</v>
      </c>
      <c r="I706" s="6" t="s">
        <v>111</v>
      </c>
      <c r="J706" s="3">
        <v>12</v>
      </c>
      <c r="K706" s="23">
        <v>11</v>
      </c>
      <c r="L706" s="3">
        <v>26.8</v>
      </c>
      <c r="M706" s="3">
        <v>18</v>
      </c>
      <c r="N706" s="3">
        <v>1.2</v>
      </c>
      <c r="O706" s="3"/>
      <c r="P706" s="3"/>
      <c r="Q706" s="3"/>
      <c r="R706" s="3" t="s">
        <v>1129</v>
      </c>
      <c r="S706" s="3" t="s">
        <v>319</v>
      </c>
      <c r="T706" s="3">
        <v>0.5</v>
      </c>
      <c r="U706" s="3">
        <v>31</v>
      </c>
      <c r="V706" s="3">
        <v>45</v>
      </c>
      <c r="W706" s="3">
        <v>125</v>
      </c>
      <c r="X706" s="3" t="s">
        <v>648</v>
      </c>
      <c r="Y706" s="6" t="s">
        <v>1141</v>
      </c>
    </row>
    <row r="707" spans="1:25" ht="15" customHeight="1" x14ac:dyDescent="0.3">
      <c r="A707" s="27">
        <v>45889</v>
      </c>
      <c r="B707" s="25">
        <v>30</v>
      </c>
      <c r="C707" s="3" t="s">
        <v>38</v>
      </c>
      <c r="D707" s="3" t="s">
        <v>164</v>
      </c>
      <c r="E707" s="3">
        <v>2</v>
      </c>
      <c r="F707" s="3">
        <v>207</v>
      </c>
      <c r="G707" s="6" t="s">
        <v>1080</v>
      </c>
      <c r="H707" s="3" t="s">
        <v>1081</v>
      </c>
      <c r="I707" s="6" t="s">
        <v>111</v>
      </c>
      <c r="J707" s="3">
        <v>12</v>
      </c>
      <c r="K707" s="23">
        <v>7</v>
      </c>
      <c r="L707" s="3">
        <v>34.08</v>
      </c>
      <c r="M707" s="3">
        <v>15</v>
      </c>
      <c r="N707" s="3">
        <v>3.1</v>
      </c>
      <c r="O707" s="3"/>
      <c r="P707" s="3"/>
      <c r="Q707" s="3"/>
      <c r="R707" s="3" t="s">
        <v>523</v>
      </c>
      <c r="S707" s="3" t="s">
        <v>637</v>
      </c>
      <c r="T707" s="3">
        <v>2.5</v>
      </c>
      <c r="U707" s="3">
        <v>20</v>
      </c>
      <c r="V707" s="3">
        <v>30</v>
      </c>
      <c r="W707" s="3">
        <v>140</v>
      </c>
      <c r="X707" s="3" t="s">
        <v>1138</v>
      </c>
      <c r="Y707" s="3" t="s">
        <v>1142</v>
      </c>
    </row>
    <row r="708" spans="1:25" ht="15" customHeight="1" x14ac:dyDescent="0.3">
      <c r="A708" s="27">
        <v>45889</v>
      </c>
      <c r="B708" s="25">
        <v>30</v>
      </c>
      <c r="C708" s="3" t="s">
        <v>38</v>
      </c>
      <c r="D708" s="3" t="s">
        <v>164</v>
      </c>
      <c r="E708" s="3">
        <v>2</v>
      </c>
      <c r="F708" s="3">
        <v>208</v>
      </c>
      <c r="G708" s="6" t="s">
        <v>996</v>
      </c>
      <c r="H708" s="3" t="s">
        <v>1123</v>
      </c>
      <c r="I708" s="6" t="s">
        <v>111</v>
      </c>
      <c r="J708" s="3">
        <v>4</v>
      </c>
      <c r="K708" s="3">
        <v>4</v>
      </c>
      <c r="L708" s="3">
        <v>20.260000000000002</v>
      </c>
      <c r="M708" s="3">
        <v>7</v>
      </c>
      <c r="N708" s="3">
        <v>3</v>
      </c>
      <c r="O708" s="3"/>
      <c r="P708" s="3"/>
      <c r="Q708" s="3"/>
      <c r="R708" s="3" t="s">
        <v>244</v>
      </c>
      <c r="S708" s="3" t="s">
        <v>1133</v>
      </c>
      <c r="T708" s="3">
        <v>1.5</v>
      </c>
      <c r="U708" s="3">
        <v>15</v>
      </c>
      <c r="V708" s="3">
        <v>20</v>
      </c>
      <c r="W708" s="3">
        <v>140</v>
      </c>
      <c r="X708" s="3" t="s">
        <v>1139</v>
      </c>
      <c r="Y708" s="3" t="s">
        <v>1143</v>
      </c>
    </row>
    <row r="709" spans="1:25" ht="15" customHeight="1" x14ac:dyDescent="0.3">
      <c r="A709" s="27">
        <v>45889</v>
      </c>
      <c r="B709" s="25">
        <v>30</v>
      </c>
      <c r="C709" s="3" t="s">
        <v>38</v>
      </c>
      <c r="D709" s="3" t="s">
        <v>164</v>
      </c>
      <c r="E709" s="3">
        <v>2</v>
      </c>
      <c r="F709" s="3">
        <v>209</v>
      </c>
      <c r="G709" s="6" t="s">
        <v>1124</v>
      </c>
      <c r="H709" s="3" t="s">
        <v>1125</v>
      </c>
      <c r="I709" s="6" t="s">
        <v>111</v>
      </c>
      <c r="J709" s="3">
        <v>12</v>
      </c>
      <c r="K709" s="23">
        <v>10</v>
      </c>
      <c r="L709" s="3">
        <v>28</v>
      </c>
      <c r="M709" s="3">
        <v>10</v>
      </c>
      <c r="N709" s="3">
        <v>3</v>
      </c>
      <c r="O709" s="3"/>
      <c r="P709" s="3"/>
      <c r="Q709" s="3"/>
      <c r="R709" s="3" t="s">
        <v>1130</v>
      </c>
      <c r="S709" s="3" t="s">
        <v>1101</v>
      </c>
      <c r="T709" s="3">
        <v>3</v>
      </c>
      <c r="U709" s="3">
        <v>33</v>
      </c>
      <c r="V709" s="3">
        <v>40</v>
      </c>
      <c r="W709" s="3">
        <v>95</v>
      </c>
      <c r="X709" s="3" t="s">
        <v>705</v>
      </c>
      <c r="Y709" s="3" t="s">
        <v>1144</v>
      </c>
    </row>
    <row r="710" spans="1:25" ht="15" customHeight="1" x14ac:dyDescent="0.3">
      <c r="A710" s="27">
        <v>45889</v>
      </c>
      <c r="B710" s="25">
        <v>30</v>
      </c>
      <c r="C710" s="3" t="s">
        <v>38</v>
      </c>
      <c r="D710" s="3" t="s">
        <v>164</v>
      </c>
      <c r="E710" s="3">
        <v>2</v>
      </c>
      <c r="F710" s="3">
        <v>301</v>
      </c>
      <c r="G710" s="6" t="s">
        <v>30</v>
      </c>
      <c r="H710" s="3" t="s">
        <v>194</v>
      </c>
      <c r="I710" s="6" t="s">
        <v>793</v>
      </c>
      <c r="J710" s="3">
        <v>8</v>
      </c>
      <c r="K710" s="23">
        <v>5</v>
      </c>
      <c r="L710" s="3">
        <v>30.3</v>
      </c>
      <c r="M710" s="3">
        <v>13</v>
      </c>
      <c r="N710" s="3">
        <v>5.5</v>
      </c>
      <c r="O710" s="3"/>
      <c r="P710" s="3"/>
      <c r="Q710" s="3">
        <v>140</v>
      </c>
      <c r="R710" s="3" t="s">
        <v>894</v>
      </c>
      <c r="S710" s="3" t="s">
        <v>1036</v>
      </c>
      <c r="T710" s="3">
        <v>1</v>
      </c>
      <c r="U710" s="3">
        <v>25</v>
      </c>
      <c r="V710" s="3">
        <v>35</v>
      </c>
      <c r="W710" s="3">
        <v>130</v>
      </c>
      <c r="X710" s="3" t="s">
        <v>1140</v>
      </c>
      <c r="Y710" s="3" t="s">
        <v>354</v>
      </c>
    </row>
    <row r="711" spans="1:25" ht="15" customHeight="1" x14ac:dyDescent="0.3">
      <c r="A711" s="27">
        <v>45889</v>
      </c>
      <c r="B711" s="25">
        <v>30</v>
      </c>
      <c r="C711" s="3" t="s">
        <v>38</v>
      </c>
      <c r="D711" s="3" t="s">
        <v>164</v>
      </c>
      <c r="E711" s="3">
        <v>2</v>
      </c>
      <c r="F711" s="3">
        <v>303</v>
      </c>
      <c r="G711" s="6" t="s">
        <v>1031</v>
      </c>
      <c r="H711" s="3" t="s">
        <v>1032</v>
      </c>
      <c r="I711" s="6" t="s">
        <v>793</v>
      </c>
      <c r="J711" s="3">
        <v>12</v>
      </c>
      <c r="K711" s="23">
        <v>7</v>
      </c>
      <c r="L711" s="3">
        <v>46.5</v>
      </c>
      <c r="M711" s="3">
        <v>23</v>
      </c>
      <c r="N711" s="3">
        <v>8</v>
      </c>
      <c r="O711" s="3"/>
      <c r="P711" s="3"/>
      <c r="Q711" s="3">
        <v>170</v>
      </c>
      <c r="R711" s="3" t="s">
        <v>1131</v>
      </c>
      <c r="S711" s="3" t="s">
        <v>1134</v>
      </c>
      <c r="T711" s="3">
        <v>2.5</v>
      </c>
      <c r="U711" s="3">
        <v>20</v>
      </c>
      <c r="V711" s="3">
        <v>45</v>
      </c>
      <c r="W711" s="3">
        <v>140</v>
      </c>
      <c r="X711" s="3" t="s">
        <v>1060</v>
      </c>
      <c r="Y711" s="3" t="s">
        <v>1145</v>
      </c>
    </row>
    <row r="712" spans="1:25" ht="15" customHeight="1" x14ac:dyDescent="0.3">
      <c r="A712" s="27">
        <v>45889</v>
      </c>
      <c r="B712" s="25">
        <v>30</v>
      </c>
      <c r="C712" s="3" t="s">
        <v>38</v>
      </c>
      <c r="D712" s="3" t="s">
        <v>164</v>
      </c>
      <c r="E712" s="3">
        <v>2</v>
      </c>
      <c r="F712" s="3">
        <v>502</v>
      </c>
      <c r="G712" s="6" t="s">
        <v>889</v>
      </c>
      <c r="H712" s="3" t="s">
        <v>890</v>
      </c>
      <c r="I712" s="6" t="s">
        <v>110</v>
      </c>
      <c r="J712" s="3">
        <v>4</v>
      </c>
      <c r="K712" s="3">
        <v>4</v>
      </c>
      <c r="L712" s="3">
        <v>17.62</v>
      </c>
      <c r="M712" s="3"/>
      <c r="N712" s="3"/>
      <c r="O712" s="3">
        <v>10.5</v>
      </c>
      <c r="P712" s="3"/>
      <c r="Q712" s="3"/>
      <c r="R712" s="3"/>
      <c r="S712" s="3"/>
      <c r="T712" s="3"/>
      <c r="U712" s="3"/>
      <c r="V712" s="3"/>
      <c r="W712" s="3">
        <v>320</v>
      </c>
      <c r="X712" s="3" t="s">
        <v>904</v>
      </c>
      <c r="Y712" s="3"/>
    </row>
    <row r="713" spans="1:25" ht="15" customHeight="1" x14ac:dyDescent="0.3">
      <c r="A713" s="5">
        <v>45890</v>
      </c>
      <c r="B713" s="25">
        <v>30</v>
      </c>
      <c r="C713" s="3" t="s">
        <v>38</v>
      </c>
      <c r="D713" s="3" t="s">
        <v>164</v>
      </c>
      <c r="E713" s="3">
        <v>2</v>
      </c>
      <c r="F713" s="3">
        <v>102</v>
      </c>
      <c r="G713" s="6" t="s">
        <v>625</v>
      </c>
      <c r="H713" s="3" t="s">
        <v>1115</v>
      </c>
      <c r="I713" s="6" t="s">
        <v>793</v>
      </c>
      <c r="J713" s="3">
        <v>5</v>
      </c>
      <c r="K713" s="3">
        <v>5</v>
      </c>
      <c r="L713" s="3">
        <v>19.72</v>
      </c>
      <c r="M713" s="3">
        <v>5</v>
      </c>
      <c r="N713" s="3">
        <v>9.75</v>
      </c>
      <c r="O713" s="3">
        <v>7</v>
      </c>
      <c r="P713" s="3">
        <v>50</v>
      </c>
      <c r="Q713" s="3">
        <v>170</v>
      </c>
      <c r="R713" s="3"/>
      <c r="S713" s="3"/>
      <c r="T713" s="3"/>
      <c r="U713" s="3"/>
      <c r="V713" s="3"/>
      <c r="W713" s="3"/>
      <c r="X713" s="3" t="s">
        <v>251</v>
      </c>
      <c r="Y713" s="3" t="s">
        <v>580</v>
      </c>
    </row>
    <row r="714" spans="1:25" ht="15" customHeight="1" x14ac:dyDescent="0.3">
      <c r="A714" s="5">
        <v>45890</v>
      </c>
      <c r="B714" s="25">
        <v>30</v>
      </c>
      <c r="C714" s="3" t="s">
        <v>38</v>
      </c>
      <c r="D714" s="3" t="s">
        <v>164</v>
      </c>
      <c r="E714" s="3">
        <v>2</v>
      </c>
      <c r="F714" s="3">
        <v>103</v>
      </c>
      <c r="G714" s="6" t="s">
        <v>163</v>
      </c>
      <c r="H714" s="3" t="s">
        <v>928</v>
      </c>
      <c r="I714" s="6" t="s">
        <v>793</v>
      </c>
      <c r="J714" s="3">
        <v>5</v>
      </c>
      <c r="K714" s="3">
        <v>5</v>
      </c>
      <c r="L714" s="3">
        <v>14.82</v>
      </c>
      <c r="M714" s="3">
        <v>3.8</v>
      </c>
      <c r="N714" s="3">
        <v>6.8</v>
      </c>
      <c r="O714" s="3">
        <v>6</v>
      </c>
      <c r="P714" s="3">
        <v>25</v>
      </c>
      <c r="Q714" s="3">
        <v>170</v>
      </c>
      <c r="R714" s="3"/>
      <c r="S714" s="3"/>
      <c r="T714" s="3"/>
      <c r="U714" s="3"/>
      <c r="V714" s="3"/>
      <c r="W714" s="3"/>
      <c r="X714" s="3" t="s">
        <v>79</v>
      </c>
      <c r="Y714" s="3" t="s">
        <v>254</v>
      </c>
    </row>
    <row r="715" spans="1:25" ht="15" customHeight="1" x14ac:dyDescent="0.3">
      <c r="A715" s="5">
        <v>45890</v>
      </c>
      <c r="B715" s="25">
        <v>30</v>
      </c>
      <c r="C715" s="3" t="s">
        <v>38</v>
      </c>
      <c r="D715" s="3" t="s">
        <v>164</v>
      </c>
      <c r="E715" s="3">
        <v>2</v>
      </c>
      <c r="F715" s="3">
        <v>161</v>
      </c>
      <c r="G715" s="6" t="s">
        <v>303</v>
      </c>
      <c r="H715" s="3" t="s">
        <v>1089</v>
      </c>
      <c r="I715" s="6" t="s">
        <v>483</v>
      </c>
      <c r="J715" s="3">
        <v>2</v>
      </c>
      <c r="K715" s="3">
        <v>2</v>
      </c>
      <c r="L715" s="3">
        <v>18</v>
      </c>
      <c r="M715" s="3">
        <v>6</v>
      </c>
      <c r="N715" s="3">
        <v>7.2</v>
      </c>
      <c r="O715" s="3">
        <v>2.5</v>
      </c>
      <c r="P715" s="3">
        <v>33</v>
      </c>
      <c r="Q715" s="3">
        <v>180</v>
      </c>
      <c r="R715" s="3"/>
      <c r="S715" s="3"/>
      <c r="T715" s="3"/>
      <c r="U715" s="3"/>
      <c r="V715" s="3"/>
      <c r="W715" s="3"/>
      <c r="X715" s="3" t="s">
        <v>207</v>
      </c>
      <c r="Y715" s="3" t="s">
        <v>1169</v>
      </c>
    </row>
    <row r="716" spans="1:25" ht="15" customHeight="1" x14ac:dyDescent="0.3">
      <c r="A716" s="5">
        <v>45890</v>
      </c>
      <c r="B716" s="25">
        <v>30</v>
      </c>
      <c r="C716" s="3" t="s">
        <v>38</v>
      </c>
      <c r="D716" s="3" t="s">
        <v>164</v>
      </c>
      <c r="E716" s="3">
        <v>2</v>
      </c>
      <c r="F716" s="3">
        <v>404</v>
      </c>
      <c r="G716" s="6" t="s">
        <v>983</v>
      </c>
      <c r="H716" s="3" t="s">
        <v>984</v>
      </c>
      <c r="I716" s="6" t="s">
        <v>483</v>
      </c>
      <c r="J716" s="3">
        <v>2</v>
      </c>
      <c r="K716" s="3">
        <v>2</v>
      </c>
      <c r="L716" s="3">
        <v>7.4</v>
      </c>
      <c r="M716" s="3"/>
      <c r="N716" s="3"/>
      <c r="O716" s="3">
        <v>2.5</v>
      </c>
      <c r="P716" s="3"/>
      <c r="Q716" s="3"/>
      <c r="R716" s="3"/>
      <c r="S716" s="3"/>
      <c r="T716" s="3"/>
      <c r="U716" s="3"/>
      <c r="V716" s="3"/>
      <c r="W716" s="3"/>
      <c r="X716" s="3" t="s">
        <v>1164</v>
      </c>
      <c r="Y716" s="3"/>
    </row>
    <row r="717" spans="1:25" ht="15" customHeight="1" x14ac:dyDescent="0.3">
      <c r="A717" s="5">
        <v>45890</v>
      </c>
      <c r="B717" s="25">
        <v>30</v>
      </c>
      <c r="C717" s="3" t="s">
        <v>38</v>
      </c>
      <c r="D717" s="3" t="s">
        <v>164</v>
      </c>
      <c r="E717" s="3">
        <v>2</v>
      </c>
      <c r="F717" s="3">
        <v>171</v>
      </c>
      <c r="G717" s="6" t="s">
        <v>1146</v>
      </c>
      <c r="H717" s="3" t="s">
        <v>1147</v>
      </c>
      <c r="I717" s="6" t="s">
        <v>483</v>
      </c>
      <c r="J717" s="3">
        <v>7</v>
      </c>
      <c r="K717" s="3">
        <v>7</v>
      </c>
      <c r="L717" s="3">
        <v>17.14</v>
      </c>
      <c r="M717" s="3">
        <v>4.25</v>
      </c>
      <c r="N717" s="3">
        <v>9</v>
      </c>
      <c r="O717" s="3">
        <v>5</v>
      </c>
      <c r="P717" s="3">
        <v>60</v>
      </c>
      <c r="Q717" s="3">
        <v>160</v>
      </c>
      <c r="R717" s="3"/>
      <c r="S717" s="3"/>
      <c r="T717" s="3"/>
      <c r="U717" s="3"/>
      <c r="V717" s="3"/>
      <c r="W717" s="3"/>
      <c r="X717" s="3" t="s">
        <v>1165</v>
      </c>
      <c r="Y717" s="3" t="s">
        <v>902</v>
      </c>
    </row>
    <row r="718" spans="1:25" ht="15" customHeight="1" x14ac:dyDescent="0.3">
      <c r="A718" s="5">
        <v>45890</v>
      </c>
      <c r="B718" s="25">
        <v>30</v>
      </c>
      <c r="C718" s="3" t="s">
        <v>38</v>
      </c>
      <c r="D718" s="3" t="s">
        <v>164</v>
      </c>
      <c r="E718" s="3">
        <v>2</v>
      </c>
      <c r="F718" s="3">
        <v>172</v>
      </c>
      <c r="G718" s="6" t="s">
        <v>472</v>
      </c>
      <c r="H718" s="3" t="s">
        <v>1070</v>
      </c>
      <c r="I718" s="6" t="s">
        <v>483</v>
      </c>
      <c r="J718" s="3">
        <v>4</v>
      </c>
      <c r="K718" s="3">
        <v>4</v>
      </c>
      <c r="L718" s="3">
        <v>19.64</v>
      </c>
      <c r="M718" s="3">
        <v>3</v>
      </c>
      <c r="N718" s="3">
        <v>12</v>
      </c>
      <c r="O718" s="3">
        <v>8</v>
      </c>
      <c r="P718" s="3" t="s">
        <v>1126</v>
      </c>
      <c r="Q718" s="3">
        <v>160</v>
      </c>
      <c r="R718" s="3"/>
      <c r="S718" s="3"/>
      <c r="T718" s="3"/>
      <c r="U718" s="3"/>
      <c r="V718" s="3"/>
      <c r="W718" s="3"/>
      <c r="X718" s="3" t="s">
        <v>611</v>
      </c>
      <c r="Y718" s="3" t="s">
        <v>80</v>
      </c>
    </row>
    <row r="719" spans="1:25" ht="15" customHeight="1" x14ac:dyDescent="0.3">
      <c r="A719" s="5">
        <v>45890</v>
      </c>
      <c r="B719" s="25">
        <v>30</v>
      </c>
      <c r="C719" s="3" t="s">
        <v>38</v>
      </c>
      <c r="D719" s="3" t="s">
        <v>164</v>
      </c>
      <c r="E719" s="3">
        <v>2</v>
      </c>
      <c r="F719" s="3">
        <v>173</v>
      </c>
      <c r="G719" s="6" t="s">
        <v>1119</v>
      </c>
      <c r="H719" s="3" t="s">
        <v>1120</v>
      </c>
      <c r="I719" s="6" t="s">
        <v>483</v>
      </c>
      <c r="J719" s="3">
        <v>5</v>
      </c>
      <c r="K719" s="3">
        <v>5</v>
      </c>
      <c r="L719" s="3">
        <v>16.61</v>
      </c>
      <c r="M719" s="3">
        <v>0.9</v>
      </c>
      <c r="N719" s="3">
        <v>11.35</v>
      </c>
      <c r="O719" s="3">
        <v>7</v>
      </c>
      <c r="P719" s="3" t="s">
        <v>1157</v>
      </c>
      <c r="Q719" s="3">
        <v>170</v>
      </c>
      <c r="R719" s="3"/>
      <c r="S719" s="3"/>
      <c r="T719" s="3"/>
      <c r="U719" s="3"/>
      <c r="V719" s="3"/>
      <c r="W719" s="3"/>
      <c r="X719" s="3" t="s">
        <v>288</v>
      </c>
      <c r="Y719" s="3" t="s">
        <v>388</v>
      </c>
    </row>
    <row r="720" spans="1:25" ht="15" customHeight="1" x14ac:dyDescent="0.3">
      <c r="A720" s="5">
        <v>45890</v>
      </c>
      <c r="B720" s="25">
        <v>30</v>
      </c>
      <c r="C720" s="3" t="s">
        <v>38</v>
      </c>
      <c r="D720" s="3" t="s">
        <v>164</v>
      </c>
      <c r="E720" s="3">
        <v>2</v>
      </c>
      <c r="F720" s="3">
        <v>174</v>
      </c>
      <c r="G720" s="6" t="s">
        <v>512</v>
      </c>
      <c r="H720" s="3" t="s">
        <v>1148</v>
      </c>
      <c r="I720" s="6" t="s">
        <v>483</v>
      </c>
      <c r="J720" s="3">
        <v>5</v>
      </c>
      <c r="K720" s="3">
        <v>5</v>
      </c>
      <c r="L720" s="3">
        <v>15.16</v>
      </c>
      <c r="M720" s="3">
        <v>0.5</v>
      </c>
      <c r="N720" s="3">
        <v>10</v>
      </c>
      <c r="O720" s="3">
        <v>6.5</v>
      </c>
      <c r="P720" s="3" t="s">
        <v>1158</v>
      </c>
      <c r="Q720" s="3">
        <v>175</v>
      </c>
      <c r="R720" s="3"/>
      <c r="S720" s="3"/>
      <c r="T720" s="3"/>
      <c r="U720" s="3"/>
      <c r="V720" s="3"/>
      <c r="W720" s="3"/>
      <c r="X720" s="3" t="s">
        <v>1166</v>
      </c>
      <c r="Y720" s="3" t="s">
        <v>84</v>
      </c>
    </row>
    <row r="721" spans="1:25" ht="15" customHeight="1" x14ac:dyDescent="0.3">
      <c r="A721" s="5">
        <v>45890</v>
      </c>
      <c r="B721" s="25">
        <v>30</v>
      </c>
      <c r="C721" s="3" t="s">
        <v>38</v>
      </c>
      <c r="D721" s="3" t="s">
        <v>164</v>
      </c>
      <c r="E721" s="3">
        <v>2</v>
      </c>
      <c r="F721" s="3">
        <v>176</v>
      </c>
      <c r="G721" s="6" t="s">
        <v>1149</v>
      </c>
      <c r="H721" s="3" t="s">
        <v>1150</v>
      </c>
      <c r="I721" s="6" t="s">
        <v>483</v>
      </c>
      <c r="J721" s="3">
        <v>5</v>
      </c>
      <c r="K721" s="3">
        <v>5</v>
      </c>
      <c r="L721" s="3">
        <v>18.239999999999998</v>
      </c>
      <c r="M721" s="3">
        <v>2.2000000000000002</v>
      </c>
      <c r="N721" s="3">
        <v>12.4</v>
      </c>
      <c r="O721" s="3">
        <v>7.8</v>
      </c>
      <c r="P721" s="3" t="s">
        <v>1004</v>
      </c>
      <c r="Q721" s="3">
        <v>165</v>
      </c>
      <c r="R721" s="3"/>
      <c r="S721" s="3"/>
      <c r="T721" s="3"/>
      <c r="U721" s="3"/>
      <c r="V721" s="3"/>
      <c r="W721" s="3"/>
      <c r="X721" s="3" t="s">
        <v>79</v>
      </c>
      <c r="Y721" s="3" t="s">
        <v>80</v>
      </c>
    </row>
    <row r="722" spans="1:25" ht="15" customHeight="1" x14ac:dyDescent="0.3">
      <c r="A722" s="5">
        <v>45890</v>
      </c>
      <c r="B722" s="25">
        <v>30</v>
      </c>
      <c r="C722" s="3" t="s">
        <v>38</v>
      </c>
      <c r="D722" s="3" t="s">
        <v>164</v>
      </c>
      <c r="E722" s="3">
        <v>2</v>
      </c>
      <c r="F722" s="3">
        <v>132</v>
      </c>
      <c r="G722" s="6" t="s">
        <v>1151</v>
      </c>
      <c r="H722" s="3" t="s">
        <v>1152</v>
      </c>
      <c r="I722" s="6" t="s">
        <v>483</v>
      </c>
      <c r="J722" s="3">
        <v>3</v>
      </c>
      <c r="K722" s="3">
        <v>3</v>
      </c>
      <c r="L722" s="3">
        <v>19.190000000000001</v>
      </c>
      <c r="M722" s="3">
        <v>4.5</v>
      </c>
      <c r="N722" s="3">
        <v>9</v>
      </c>
      <c r="O722" s="3">
        <v>8</v>
      </c>
      <c r="P722" s="3"/>
      <c r="Q722" s="3">
        <v>170</v>
      </c>
      <c r="R722" s="3"/>
      <c r="S722" s="3"/>
      <c r="T722" s="3"/>
      <c r="U722" s="3"/>
      <c r="V722" s="3"/>
      <c r="W722" s="3"/>
      <c r="X722" s="3" t="s">
        <v>1056</v>
      </c>
      <c r="Y722" s="3" t="s">
        <v>1170</v>
      </c>
    </row>
    <row r="723" spans="1:25" ht="15" customHeight="1" x14ac:dyDescent="0.3">
      <c r="A723" s="5">
        <v>45890</v>
      </c>
      <c r="B723" s="25">
        <v>30</v>
      </c>
      <c r="C723" s="3" t="s">
        <v>38</v>
      </c>
      <c r="D723" s="3" t="s">
        <v>164</v>
      </c>
      <c r="E723" s="3">
        <v>2</v>
      </c>
      <c r="F723" s="3">
        <v>138</v>
      </c>
      <c r="G723" s="6" t="s">
        <v>992</v>
      </c>
      <c r="H723" s="3" t="s">
        <v>993</v>
      </c>
      <c r="I723" s="6" t="s">
        <v>483</v>
      </c>
      <c r="J723" s="3">
        <v>3</v>
      </c>
      <c r="K723" s="3">
        <v>3</v>
      </c>
      <c r="L723" s="3">
        <v>11.58</v>
      </c>
      <c r="M723" s="3">
        <v>2.5</v>
      </c>
      <c r="N723" s="3">
        <v>5.2</v>
      </c>
      <c r="O723" s="3">
        <v>3.2</v>
      </c>
      <c r="P723" s="3"/>
      <c r="Q723" s="3">
        <v>176</v>
      </c>
      <c r="R723" s="3"/>
      <c r="S723" s="3"/>
      <c r="T723" s="3"/>
      <c r="U723" s="3"/>
      <c r="V723" s="3"/>
      <c r="W723" s="3"/>
      <c r="X723" s="3" t="s">
        <v>84</v>
      </c>
      <c r="Y723" s="3" t="s">
        <v>396</v>
      </c>
    </row>
    <row r="724" spans="1:25" ht="15" customHeight="1" x14ac:dyDescent="0.3">
      <c r="A724" s="5">
        <v>45890</v>
      </c>
      <c r="B724" s="25">
        <v>30</v>
      </c>
      <c r="C724" s="3" t="s">
        <v>38</v>
      </c>
      <c r="D724" s="3" t="s">
        <v>164</v>
      </c>
      <c r="E724" s="3">
        <v>2</v>
      </c>
      <c r="F724" s="3">
        <v>203</v>
      </c>
      <c r="G724" s="6" t="s">
        <v>1153</v>
      </c>
      <c r="H724" s="3" t="s">
        <v>1154</v>
      </c>
      <c r="I724" s="6" t="s">
        <v>111</v>
      </c>
      <c r="J724" s="3">
        <v>4</v>
      </c>
      <c r="K724" s="3">
        <v>4</v>
      </c>
      <c r="L724" s="3">
        <v>24.7</v>
      </c>
      <c r="M724" s="3">
        <v>13</v>
      </c>
      <c r="N724" s="3">
        <v>3</v>
      </c>
      <c r="O724" s="3"/>
      <c r="P724" s="3"/>
      <c r="Q724" s="3"/>
      <c r="R724" s="3" t="s">
        <v>1128</v>
      </c>
      <c r="S724" s="3" t="s">
        <v>1132</v>
      </c>
      <c r="T724" s="3">
        <v>1</v>
      </c>
      <c r="U724" s="3">
        <v>20</v>
      </c>
      <c r="V724" s="3">
        <v>25</v>
      </c>
      <c r="W724" s="3">
        <v>90</v>
      </c>
      <c r="X724" s="3" t="s">
        <v>1137</v>
      </c>
      <c r="Y724" s="3"/>
    </row>
    <row r="725" spans="1:25" ht="15" customHeight="1" x14ac:dyDescent="0.3">
      <c r="A725" s="5">
        <v>45890</v>
      </c>
      <c r="B725" s="25">
        <v>30</v>
      </c>
      <c r="C725" s="3" t="s">
        <v>38</v>
      </c>
      <c r="D725" s="3" t="s">
        <v>164</v>
      </c>
      <c r="E725" s="3">
        <v>2</v>
      </c>
      <c r="F725" s="3">
        <v>205</v>
      </c>
      <c r="G725" s="6" t="s">
        <v>235</v>
      </c>
      <c r="H725" s="3" t="s">
        <v>1155</v>
      </c>
      <c r="I725" s="6" t="s">
        <v>111</v>
      </c>
      <c r="J725" s="3">
        <v>4</v>
      </c>
      <c r="K725" s="23">
        <v>3</v>
      </c>
      <c r="L725" s="3">
        <v>22.5</v>
      </c>
      <c r="M725" s="3">
        <v>8</v>
      </c>
      <c r="N725" s="3">
        <v>2</v>
      </c>
      <c r="O725" s="3"/>
      <c r="P725" s="3"/>
      <c r="Q725" s="3"/>
      <c r="R725" s="3" t="s">
        <v>287</v>
      </c>
      <c r="S725" s="3" t="s">
        <v>1034</v>
      </c>
      <c r="T725" s="3">
        <v>1</v>
      </c>
      <c r="U725" s="3">
        <v>5</v>
      </c>
      <c r="V725" s="3">
        <v>10</v>
      </c>
      <c r="W725" s="3">
        <v>95</v>
      </c>
      <c r="X725" s="3" t="s">
        <v>391</v>
      </c>
      <c r="Y725" s="3"/>
    </row>
    <row r="726" spans="1:25" ht="15" customHeight="1" x14ac:dyDescent="0.3">
      <c r="A726" s="5">
        <v>45890</v>
      </c>
      <c r="B726" s="25">
        <v>30</v>
      </c>
      <c r="C726" s="3" t="s">
        <v>38</v>
      </c>
      <c r="D726" s="3" t="s">
        <v>164</v>
      </c>
      <c r="E726" s="3">
        <v>2</v>
      </c>
      <c r="F726" s="3">
        <v>206</v>
      </c>
      <c r="G726" s="6" t="s">
        <v>667</v>
      </c>
      <c r="H726" s="3" t="s">
        <v>1122</v>
      </c>
      <c r="I726" s="6" t="s">
        <v>111</v>
      </c>
      <c r="J726" s="3">
        <v>12</v>
      </c>
      <c r="K726" s="23">
        <v>11</v>
      </c>
      <c r="L726" s="3">
        <v>26.8</v>
      </c>
      <c r="M726" s="3">
        <v>18</v>
      </c>
      <c r="N726" s="3">
        <v>1.2</v>
      </c>
      <c r="O726" s="3"/>
      <c r="P726" s="3"/>
      <c r="Q726" s="3"/>
      <c r="R726" s="3" t="s">
        <v>1159</v>
      </c>
      <c r="S726" s="3" t="s">
        <v>605</v>
      </c>
      <c r="T726" s="3">
        <v>0.5</v>
      </c>
      <c r="U726" s="3">
        <v>31</v>
      </c>
      <c r="V726" s="3">
        <v>45</v>
      </c>
      <c r="W726" s="3">
        <v>125</v>
      </c>
      <c r="X726" s="3" t="s">
        <v>648</v>
      </c>
      <c r="Y726" s="3" t="s">
        <v>1171</v>
      </c>
    </row>
    <row r="727" spans="1:25" ht="15" customHeight="1" x14ac:dyDescent="0.3">
      <c r="A727" s="5">
        <v>45890</v>
      </c>
      <c r="B727" s="25">
        <v>30</v>
      </c>
      <c r="C727" s="3" t="s">
        <v>38</v>
      </c>
      <c r="D727" s="3" t="s">
        <v>164</v>
      </c>
      <c r="E727" s="3">
        <v>2</v>
      </c>
      <c r="F727" s="3">
        <v>207</v>
      </c>
      <c r="G727" s="6" t="s">
        <v>476</v>
      </c>
      <c r="H727" s="3" t="s">
        <v>1156</v>
      </c>
      <c r="I727" s="6" t="s">
        <v>111</v>
      </c>
      <c r="J727" s="3">
        <v>12</v>
      </c>
      <c r="K727" s="23">
        <v>7</v>
      </c>
      <c r="L727" s="3">
        <v>34.1</v>
      </c>
      <c r="M727" s="3">
        <v>15</v>
      </c>
      <c r="N727" s="3">
        <v>3.1</v>
      </c>
      <c r="O727" s="3"/>
      <c r="P727" s="3"/>
      <c r="Q727" s="3"/>
      <c r="R727" s="3" t="s">
        <v>523</v>
      </c>
      <c r="S727" s="3" t="s">
        <v>71</v>
      </c>
      <c r="T727" s="3">
        <v>2.5</v>
      </c>
      <c r="U727" s="3">
        <v>20</v>
      </c>
      <c r="V727" s="3">
        <v>30</v>
      </c>
      <c r="W727" s="3">
        <v>140</v>
      </c>
      <c r="X727" s="3" t="s">
        <v>1138</v>
      </c>
      <c r="Y727" s="3" t="s">
        <v>1172</v>
      </c>
    </row>
    <row r="728" spans="1:25" ht="15" customHeight="1" x14ac:dyDescent="0.3">
      <c r="A728" s="5">
        <v>45890</v>
      </c>
      <c r="B728" s="25">
        <v>30</v>
      </c>
      <c r="C728" s="3" t="s">
        <v>38</v>
      </c>
      <c r="D728" s="3" t="s">
        <v>164</v>
      </c>
      <c r="E728" s="3">
        <v>2</v>
      </c>
      <c r="F728" s="3">
        <v>208</v>
      </c>
      <c r="G728" s="6" t="s">
        <v>996</v>
      </c>
      <c r="H728" s="3" t="s">
        <v>1123</v>
      </c>
      <c r="I728" s="6" t="s">
        <v>111</v>
      </c>
      <c r="J728" s="3">
        <v>4</v>
      </c>
      <c r="K728" s="3">
        <v>4</v>
      </c>
      <c r="L728" s="3">
        <v>19.190000000000001</v>
      </c>
      <c r="M728" s="3">
        <v>7</v>
      </c>
      <c r="N728" s="3">
        <v>3</v>
      </c>
      <c r="O728" s="3"/>
      <c r="P728" s="3"/>
      <c r="Q728" s="3"/>
      <c r="R728" s="3" t="s">
        <v>1049</v>
      </c>
      <c r="S728" s="3" t="s">
        <v>1163</v>
      </c>
      <c r="T728" s="3">
        <v>1.5</v>
      </c>
      <c r="U728" s="3">
        <v>15</v>
      </c>
      <c r="V728" s="3">
        <v>20</v>
      </c>
      <c r="W728" s="3">
        <v>140</v>
      </c>
      <c r="X728" s="3" t="s">
        <v>1167</v>
      </c>
      <c r="Y728" s="3" t="s">
        <v>1173</v>
      </c>
    </row>
    <row r="729" spans="1:25" ht="15" customHeight="1" x14ac:dyDescent="0.3">
      <c r="A729" s="5">
        <v>45890</v>
      </c>
      <c r="B729" s="25">
        <v>30</v>
      </c>
      <c r="C729" s="3" t="s">
        <v>38</v>
      </c>
      <c r="D729" s="3" t="s">
        <v>164</v>
      </c>
      <c r="E729" s="3">
        <v>2</v>
      </c>
      <c r="F729" s="3">
        <v>209</v>
      </c>
      <c r="G729" s="6" t="s">
        <v>1124</v>
      </c>
      <c r="H729" s="3" t="s">
        <v>1125</v>
      </c>
      <c r="I729" s="6" t="s">
        <v>111</v>
      </c>
      <c r="J729" s="3">
        <v>12</v>
      </c>
      <c r="K729" s="23">
        <v>10</v>
      </c>
      <c r="L729" s="3">
        <v>27.8</v>
      </c>
      <c r="M729" s="3">
        <v>10</v>
      </c>
      <c r="N729" s="3">
        <v>3</v>
      </c>
      <c r="O729" s="3"/>
      <c r="P729" s="3"/>
      <c r="Q729" s="3"/>
      <c r="R729" s="3" t="s">
        <v>1160</v>
      </c>
      <c r="S729" s="3" t="s">
        <v>1101</v>
      </c>
      <c r="T729" s="3">
        <v>3</v>
      </c>
      <c r="U729" s="3">
        <v>33</v>
      </c>
      <c r="V729" s="3">
        <v>40</v>
      </c>
      <c r="W729" s="3">
        <v>95</v>
      </c>
      <c r="X729" s="3" t="s">
        <v>705</v>
      </c>
      <c r="Y729" s="3" t="s">
        <v>1174</v>
      </c>
    </row>
    <row r="730" spans="1:25" ht="15" customHeight="1" x14ac:dyDescent="0.3">
      <c r="A730" s="5">
        <v>45890</v>
      </c>
      <c r="B730" s="25">
        <v>30</v>
      </c>
      <c r="C730" s="3" t="s">
        <v>38</v>
      </c>
      <c r="D730" s="3" t="s">
        <v>164</v>
      </c>
      <c r="E730" s="3">
        <v>2</v>
      </c>
      <c r="F730" s="3">
        <v>210</v>
      </c>
      <c r="G730" s="6" t="s">
        <v>1095</v>
      </c>
      <c r="H730" s="3" t="s">
        <v>1096</v>
      </c>
      <c r="I730" s="6" t="s">
        <v>111</v>
      </c>
      <c r="J730" s="3">
        <v>4</v>
      </c>
      <c r="K730" s="3">
        <v>4</v>
      </c>
      <c r="L730" s="3">
        <v>19.7</v>
      </c>
      <c r="M730" s="3">
        <v>6</v>
      </c>
      <c r="N730" s="3">
        <v>4</v>
      </c>
      <c r="O730" s="3"/>
      <c r="P730" s="3"/>
      <c r="Q730" s="3"/>
      <c r="R730" s="3" t="s">
        <v>1161</v>
      </c>
      <c r="S730" s="3" t="s">
        <v>869</v>
      </c>
      <c r="T730" s="3">
        <v>1</v>
      </c>
      <c r="U730" s="3">
        <v>20</v>
      </c>
      <c r="V730" s="3">
        <v>30</v>
      </c>
      <c r="W730" s="3">
        <v>100</v>
      </c>
      <c r="X730" s="3" t="s">
        <v>1168</v>
      </c>
      <c r="Y730" s="3" t="s">
        <v>1175</v>
      </c>
    </row>
    <row r="731" spans="1:25" ht="15" customHeight="1" x14ac:dyDescent="0.3">
      <c r="A731" s="5">
        <v>45890</v>
      </c>
      <c r="B731" s="25">
        <v>30</v>
      </c>
      <c r="C731" s="3" t="s">
        <v>38</v>
      </c>
      <c r="D731" s="3" t="s">
        <v>164</v>
      </c>
      <c r="E731" s="3">
        <v>2</v>
      </c>
      <c r="F731" s="3">
        <v>301</v>
      </c>
      <c r="G731" s="6" t="s">
        <v>30</v>
      </c>
      <c r="H731" s="3" t="s">
        <v>194</v>
      </c>
      <c r="I731" s="6" t="s">
        <v>5</v>
      </c>
      <c r="J731" s="3">
        <v>8</v>
      </c>
      <c r="K731" s="23">
        <v>5</v>
      </c>
      <c r="L731" s="3">
        <v>30.3</v>
      </c>
      <c r="M731" s="3">
        <v>13</v>
      </c>
      <c r="N731" s="3">
        <v>5.5</v>
      </c>
      <c r="O731" s="3"/>
      <c r="P731" s="3"/>
      <c r="Q731" s="3">
        <v>140</v>
      </c>
      <c r="R731" s="3" t="s">
        <v>894</v>
      </c>
      <c r="S731" s="3" t="s">
        <v>1036</v>
      </c>
      <c r="T731" s="3">
        <v>1</v>
      </c>
      <c r="U731" s="3">
        <v>25</v>
      </c>
      <c r="V731" s="3">
        <v>35</v>
      </c>
      <c r="W731" s="3">
        <v>130</v>
      </c>
      <c r="X731" s="3" t="s">
        <v>1140</v>
      </c>
      <c r="Y731" s="3" t="s">
        <v>354</v>
      </c>
    </row>
    <row r="732" spans="1:25" ht="15" customHeight="1" x14ac:dyDescent="0.3">
      <c r="A732" s="5">
        <v>45890</v>
      </c>
      <c r="B732" s="25">
        <v>30</v>
      </c>
      <c r="C732" s="3" t="s">
        <v>38</v>
      </c>
      <c r="D732" s="3" t="s">
        <v>164</v>
      </c>
      <c r="E732" s="3">
        <v>2</v>
      </c>
      <c r="F732" s="3">
        <v>303</v>
      </c>
      <c r="G732" s="6" t="s">
        <v>1031</v>
      </c>
      <c r="H732" s="3" t="s">
        <v>1032</v>
      </c>
      <c r="I732" s="6" t="s">
        <v>5</v>
      </c>
      <c r="J732" s="3">
        <v>12</v>
      </c>
      <c r="K732" s="23">
        <v>7</v>
      </c>
      <c r="L732" s="3">
        <v>46</v>
      </c>
      <c r="M732" s="3">
        <v>23</v>
      </c>
      <c r="N732" s="3">
        <v>8</v>
      </c>
      <c r="O732" s="3"/>
      <c r="P732" s="3"/>
      <c r="Q732" s="3">
        <v>170</v>
      </c>
      <c r="R732" s="3" t="s">
        <v>1162</v>
      </c>
      <c r="S732" s="3" t="s">
        <v>1134</v>
      </c>
      <c r="T732" s="3">
        <v>2.5</v>
      </c>
      <c r="U732" s="3">
        <v>20</v>
      </c>
      <c r="V732" s="3">
        <v>45</v>
      </c>
      <c r="W732" s="3">
        <v>140</v>
      </c>
      <c r="X732" s="3" t="s">
        <v>1060</v>
      </c>
      <c r="Y732" s="3" t="s">
        <v>1145</v>
      </c>
    </row>
    <row r="733" spans="1:25" ht="15" customHeight="1" x14ac:dyDescent="0.3">
      <c r="A733" s="27">
        <v>45891</v>
      </c>
      <c r="B733" s="25">
        <v>30</v>
      </c>
      <c r="C733" s="3" t="s">
        <v>38</v>
      </c>
      <c r="D733" s="3" t="s">
        <v>355</v>
      </c>
      <c r="E733" s="3">
        <v>2</v>
      </c>
      <c r="F733" s="3">
        <v>102</v>
      </c>
      <c r="G733" s="6" t="s">
        <v>547</v>
      </c>
      <c r="H733" s="3" t="s">
        <v>1176</v>
      </c>
      <c r="I733" s="6" t="s">
        <v>793</v>
      </c>
      <c r="J733" s="3">
        <v>5</v>
      </c>
      <c r="K733" s="3">
        <v>5</v>
      </c>
      <c r="L733" s="3">
        <v>19.64</v>
      </c>
      <c r="M733" s="3">
        <v>4.5</v>
      </c>
      <c r="N733" s="3">
        <v>10</v>
      </c>
      <c r="O733" s="3">
        <v>7</v>
      </c>
      <c r="P733" s="3">
        <v>50</v>
      </c>
      <c r="Q733" s="3">
        <v>170</v>
      </c>
      <c r="R733" s="3"/>
      <c r="S733" s="3"/>
      <c r="T733" s="3"/>
      <c r="U733" s="3"/>
      <c r="V733" s="3"/>
      <c r="W733" s="3"/>
      <c r="X733" s="3" t="s">
        <v>251</v>
      </c>
      <c r="Y733" s="3" t="s">
        <v>580</v>
      </c>
    </row>
    <row r="734" spans="1:25" ht="15" customHeight="1" x14ac:dyDescent="0.3">
      <c r="A734" s="27">
        <v>45891</v>
      </c>
      <c r="B734" s="25">
        <v>30</v>
      </c>
      <c r="C734" s="3" t="s">
        <v>38</v>
      </c>
      <c r="D734" s="3" t="s">
        <v>355</v>
      </c>
      <c r="E734" s="3">
        <v>2</v>
      </c>
      <c r="F734" s="3">
        <v>103</v>
      </c>
      <c r="G734" s="6" t="s">
        <v>163</v>
      </c>
      <c r="H734" s="3" t="s">
        <v>928</v>
      </c>
      <c r="I734" s="6" t="s">
        <v>793</v>
      </c>
      <c r="J734" s="3">
        <v>5</v>
      </c>
      <c r="K734" s="3">
        <v>5</v>
      </c>
      <c r="L734" s="3">
        <v>14.61</v>
      </c>
      <c r="M734" s="3">
        <v>3.6</v>
      </c>
      <c r="N734" s="3">
        <v>6.8</v>
      </c>
      <c r="O734" s="3">
        <v>6.2</v>
      </c>
      <c r="P734" s="3">
        <v>25</v>
      </c>
      <c r="Q734" s="3">
        <v>170</v>
      </c>
      <c r="R734" s="3"/>
      <c r="S734" s="3"/>
      <c r="T734" s="3"/>
      <c r="U734" s="3"/>
      <c r="V734" s="3"/>
      <c r="W734" s="3"/>
      <c r="X734" s="3" t="s">
        <v>79</v>
      </c>
      <c r="Y734" s="3" t="s">
        <v>254</v>
      </c>
    </row>
    <row r="735" spans="1:25" ht="15" customHeight="1" x14ac:dyDescent="0.3">
      <c r="A735" s="27">
        <v>45891</v>
      </c>
      <c r="B735" s="25">
        <v>30</v>
      </c>
      <c r="C735" s="3" t="s">
        <v>38</v>
      </c>
      <c r="D735" s="3" t="s">
        <v>355</v>
      </c>
      <c r="E735" s="3">
        <v>2</v>
      </c>
      <c r="F735" s="3">
        <v>104</v>
      </c>
      <c r="G735" s="6" t="s">
        <v>169</v>
      </c>
      <c r="H735" s="3" t="s">
        <v>1177</v>
      </c>
      <c r="I735" s="6" t="s">
        <v>793</v>
      </c>
      <c r="J735" s="3">
        <v>9</v>
      </c>
      <c r="K735" s="3">
        <v>9</v>
      </c>
      <c r="L735" s="3">
        <v>12.93</v>
      </c>
      <c r="M735" s="3">
        <v>3</v>
      </c>
      <c r="N735" s="3">
        <v>5.8</v>
      </c>
      <c r="O735" s="3">
        <v>5</v>
      </c>
      <c r="P735" s="3"/>
      <c r="Q735" s="3">
        <v>170</v>
      </c>
      <c r="R735" s="3"/>
      <c r="S735" s="3"/>
      <c r="T735" s="3"/>
      <c r="U735" s="3"/>
      <c r="V735" s="3"/>
      <c r="W735" s="3"/>
      <c r="X735" s="3" t="s">
        <v>251</v>
      </c>
      <c r="Y735" s="3" t="s">
        <v>84</v>
      </c>
    </row>
    <row r="736" spans="1:25" ht="15" customHeight="1" x14ac:dyDescent="0.3">
      <c r="A736" s="27">
        <v>45891</v>
      </c>
      <c r="B736" s="25">
        <v>30</v>
      </c>
      <c r="C736" s="3" t="s">
        <v>38</v>
      </c>
      <c r="D736" s="3" t="s">
        <v>355</v>
      </c>
      <c r="E736" s="3">
        <v>2</v>
      </c>
      <c r="F736" s="3">
        <v>164</v>
      </c>
      <c r="G736" s="6" t="s">
        <v>11</v>
      </c>
      <c r="H736" s="3" t="s">
        <v>1178</v>
      </c>
      <c r="I736" s="6" t="s">
        <v>483</v>
      </c>
      <c r="J736" s="3">
        <v>2</v>
      </c>
      <c r="K736" s="3">
        <v>2</v>
      </c>
      <c r="L736" s="3">
        <v>22.5</v>
      </c>
      <c r="M736" s="3">
        <v>7</v>
      </c>
      <c r="N736" s="3">
        <v>10.5</v>
      </c>
      <c r="O736" s="3">
        <v>3.5</v>
      </c>
      <c r="P736" s="3">
        <v>33</v>
      </c>
      <c r="Q736" s="3">
        <v>180</v>
      </c>
      <c r="R736" s="3"/>
      <c r="S736" s="3"/>
      <c r="T736" s="3"/>
      <c r="U736" s="3"/>
      <c r="V736" s="3"/>
      <c r="W736" s="3"/>
      <c r="X736" s="3" t="s">
        <v>138</v>
      </c>
      <c r="Y736" s="3" t="s">
        <v>1018</v>
      </c>
    </row>
    <row r="737" spans="1:25" ht="15" customHeight="1" x14ac:dyDescent="0.3">
      <c r="A737" s="27">
        <v>45891</v>
      </c>
      <c r="B737" s="25">
        <v>30</v>
      </c>
      <c r="C737" s="3" t="s">
        <v>38</v>
      </c>
      <c r="D737" s="3" t="s">
        <v>355</v>
      </c>
      <c r="E737" s="3">
        <v>2</v>
      </c>
      <c r="F737" s="3">
        <v>181</v>
      </c>
      <c r="G737" s="6" t="s">
        <v>1179</v>
      </c>
      <c r="H737" s="3" t="s">
        <v>1180</v>
      </c>
      <c r="I737" s="6" t="s">
        <v>483</v>
      </c>
      <c r="J737" s="3">
        <v>4</v>
      </c>
      <c r="K737" s="3">
        <v>4</v>
      </c>
      <c r="L737" s="3">
        <v>14.17</v>
      </c>
      <c r="M737" s="3">
        <v>4</v>
      </c>
      <c r="N737" s="3">
        <v>6</v>
      </c>
      <c r="O737" s="3">
        <v>3</v>
      </c>
      <c r="P737" s="3">
        <v>40</v>
      </c>
      <c r="Q737" s="3">
        <v>180</v>
      </c>
      <c r="R737" s="3"/>
      <c r="S737" s="3"/>
      <c r="T737" s="3"/>
      <c r="U737" s="3"/>
      <c r="V737" s="3"/>
      <c r="W737" s="3"/>
      <c r="X737" s="3" t="s">
        <v>686</v>
      </c>
      <c r="Y737" s="3" t="s">
        <v>153</v>
      </c>
    </row>
    <row r="738" spans="1:25" ht="15" customHeight="1" x14ac:dyDescent="0.3">
      <c r="A738" s="27">
        <v>45891</v>
      </c>
      <c r="B738" s="25">
        <v>30</v>
      </c>
      <c r="C738" s="3" t="s">
        <v>38</v>
      </c>
      <c r="D738" s="3" t="s">
        <v>355</v>
      </c>
      <c r="E738" s="3">
        <v>2</v>
      </c>
      <c r="F738" s="3">
        <v>172</v>
      </c>
      <c r="G738" s="6" t="s">
        <v>472</v>
      </c>
      <c r="H738" s="3" t="s">
        <v>1070</v>
      </c>
      <c r="I738" s="6" t="s">
        <v>483</v>
      </c>
      <c r="J738" s="3">
        <v>4</v>
      </c>
      <c r="K738" s="3">
        <v>4</v>
      </c>
      <c r="L738" s="3">
        <v>19.73</v>
      </c>
      <c r="M738" s="3">
        <v>3</v>
      </c>
      <c r="N738" s="3">
        <v>12</v>
      </c>
      <c r="O738" s="3">
        <v>8</v>
      </c>
      <c r="P738" s="3" t="s">
        <v>1126</v>
      </c>
      <c r="Q738" s="3">
        <v>160</v>
      </c>
      <c r="R738" s="3"/>
      <c r="S738" s="3"/>
      <c r="T738" s="3"/>
      <c r="U738" s="3"/>
      <c r="V738" s="3"/>
      <c r="W738" s="3"/>
      <c r="X738" s="3" t="s">
        <v>611</v>
      </c>
      <c r="Y738" s="3" t="s">
        <v>80</v>
      </c>
    </row>
    <row r="739" spans="1:25" ht="15" customHeight="1" x14ac:dyDescent="0.3">
      <c r="A739" s="27">
        <v>45891</v>
      </c>
      <c r="B739" s="25">
        <v>30</v>
      </c>
      <c r="C739" s="3" t="s">
        <v>38</v>
      </c>
      <c r="D739" s="3" t="s">
        <v>355</v>
      </c>
      <c r="E739" s="3">
        <v>2</v>
      </c>
      <c r="F739" s="3">
        <v>173</v>
      </c>
      <c r="G739" s="6" t="s">
        <v>1119</v>
      </c>
      <c r="H739" s="3" t="s">
        <v>1120</v>
      </c>
      <c r="I739" s="6" t="s">
        <v>483</v>
      </c>
      <c r="J739" s="3">
        <v>5</v>
      </c>
      <c r="K739" s="3">
        <v>5</v>
      </c>
      <c r="L739" s="3">
        <v>16.23</v>
      </c>
      <c r="M739" s="3">
        <v>1</v>
      </c>
      <c r="N739" s="3">
        <v>11</v>
      </c>
      <c r="O739" s="3">
        <v>7</v>
      </c>
      <c r="P739" s="3" t="s">
        <v>1157</v>
      </c>
      <c r="Q739" s="3">
        <v>170</v>
      </c>
      <c r="R739" s="3"/>
      <c r="S739" s="3"/>
      <c r="T739" s="3"/>
      <c r="U739" s="3"/>
      <c r="V739" s="3"/>
      <c r="W739" s="3"/>
      <c r="X739" s="3" t="s">
        <v>288</v>
      </c>
      <c r="Y739" s="3" t="s">
        <v>388</v>
      </c>
    </row>
    <row r="740" spans="1:25" ht="15" customHeight="1" x14ac:dyDescent="0.3">
      <c r="A740" s="27">
        <v>45891</v>
      </c>
      <c r="B740" s="25">
        <v>30</v>
      </c>
      <c r="C740" s="3" t="s">
        <v>38</v>
      </c>
      <c r="D740" s="3" t="s">
        <v>355</v>
      </c>
      <c r="E740" s="3">
        <v>2</v>
      </c>
      <c r="F740" s="3">
        <v>174</v>
      </c>
      <c r="G740" s="6" t="s">
        <v>512</v>
      </c>
      <c r="H740" s="3" t="s">
        <v>1148</v>
      </c>
      <c r="I740" s="6" t="s">
        <v>483</v>
      </c>
      <c r="J740" s="3">
        <v>5</v>
      </c>
      <c r="K740" s="3">
        <v>5</v>
      </c>
      <c r="L740" s="3">
        <v>15</v>
      </c>
      <c r="M740" s="3">
        <v>0.4</v>
      </c>
      <c r="N740" s="3">
        <v>8.5500000000000007</v>
      </c>
      <c r="O740" s="3">
        <v>7.5</v>
      </c>
      <c r="P740" s="3" t="s">
        <v>1190</v>
      </c>
      <c r="Q740" s="3">
        <v>175</v>
      </c>
      <c r="R740" s="3"/>
      <c r="S740" s="3"/>
      <c r="T740" s="3"/>
      <c r="U740" s="3"/>
      <c r="V740" s="3"/>
      <c r="W740" s="3"/>
      <c r="X740" s="3" t="s">
        <v>902</v>
      </c>
      <c r="Y740" s="3" t="s">
        <v>84</v>
      </c>
    </row>
    <row r="741" spans="1:25" ht="15" customHeight="1" x14ac:dyDescent="0.3">
      <c r="A741" s="27">
        <v>45891</v>
      </c>
      <c r="B741" s="25">
        <v>30</v>
      </c>
      <c r="C741" s="3" t="s">
        <v>38</v>
      </c>
      <c r="D741" s="3" t="s">
        <v>355</v>
      </c>
      <c r="E741" s="3">
        <v>2</v>
      </c>
      <c r="F741" s="3">
        <v>175</v>
      </c>
      <c r="G741" s="6" t="s">
        <v>1181</v>
      </c>
      <c r="H741" s="3" t="s">
        <v>1182</v>
      </c>
      <c r="I741" s="6" t="s">
        <v>483</v>
      </c>
      <c r="J741" s="3">
        <v>5</v>
      </c>
      <c r="K741" s="3">
        <v>5</v>
      </c>
      <c r="L741" s="3">
        <v>12.52</v>
      </c>
      <c r="M741" s="3">
        <v>0.5</v>
      </c>
      <c r="N741" s="3">
        <v>6.5</v>
      </c>
      <c r="O741" s="3">
        <v>6</v>
      </c>
      <c r="P741" s="3" t="s">
        <v>1191</v>
      </c>
      <c r="Q741" s="3">
        <v>165</v>
      </c>
      <c r="R741" s="3"/>
      <c r="S741" s="3"/>
      <c r="T741" s="3"/>
      <c r="U741" s="3"/>
      <c r="V741" s="3"/>
      <c r="W741" s="3"/>
      <c r="X741" s="3" t="s">
        <v>1196</v>
      </c>
      <c r="Y741" s="3" t="s">
        <v>87</v>
      </c>
    </row>
    <row r="742" spans="1:25" ht="15" customHeight="1" x14ac:dyDescent="0.3">
      <c r="A742" s="27">
        <v>45891</v>
      </c>
      <c r="B742" s="25">
        <v>30</v>
      </c>
      <c r="C742" s="3" t="s">
        <v>38</v>
      </c>
      <c r="D742" s="3" t="s">
        <v>355</v>
      </c>
      <c r="E742" s="3">
        <v>2</v>
      </c>
      <c r="F742" s="3">
        <v>176</v>
      </c>
      <c r="G742" s="6" t="s">
        <v>1149</v>
      </c>
      <c r="H742" s="3" t="s">
        <v>1150</v>
      </c>
      <c r="I742" s="6" t="s">
        <v>483</v>
      </c>
      <c r="J742" s="3">
        <v>5</v>
      </c>
      <c r="K742" s="3">
        <v>5</v>
      </c>
      <c r="L742" s="3">
        <v>18.23</v>
      </c>
      <c r="M742" s="3">
        <v>2.2000000000000002</v>
      </c>
      <c r="N742" s="3">
        <v>12.4</v>
      </c>
      <c r="O742" s="3">
        <v>7.8</v>
      </c>
      <c r="P742" s="3" t="s">
        <v>1004</v>
      </c>
      <c r="Q742" s="3">
        <v>165</v>
      </c>
      <c r="R742" s="3"/>
      <c r="S742" s="3"/>
      <c r="T742" s="3"/>
      <c r="U742" s="3"/>
      <c r="V742" s="3"/>
      <c r="W742" s="3"/>
      <c r="X742" s="3" t="s">
        <v>79</v>
      </c>
      <c r="Y742" s="3" t="s">
        <v>80</v>
      </c>
    </row>
    <row r="743" spans="1:25" ht="15" customHeight="1" x14ac:dyDescent="0.3">
      <c r="A743" s="27">
        <v>45891</v>
      </c>
      <c r="B743" s="25">
        <v>30</v>
      </c>
      <c r="C743" s="3" t="s">
        <v>38</v>
      </c>
      <c r="D743" s="3" t="s">
        <v>355</v>
      </c>
      <c r="E743" s="3">
        <v>2</v>
      </c>
      <c r="F743" s="3">
        <v>132</v>
      </c>
      <c r="G743" s="6" t="s">
        <v>1151</v>
      </c>
      <c r="H743" s="3" t="s">
        <v>1152</v>
      </c>
      <c r="I743" s="6" t="s">
        <v>483</v>
      </c>
      <c r="J743" s="3">
        <v>3</v>
      </c>
      <c r="K743" s="3">
        <v>3</v>
      </c>
      <c r="L743" s="3">
        <v>17.5</v>
      </c>
      <c r="M743" s="3">
        <v>3</v>
      </c>
      <c r="N743" s="3">
        <v>9</v>
      </c>
      <c r="O743" s="3">
        <v>6.5</v>
      </c>
      <c r="P743" s="3"/>
      <c r="Q743" s="3">
        <v>170</v>
      </c>
      <c r="R743" s="3"/>
      <c r="S743" s="3"/>
      <c r="T743" s="3"/>
      <c r="U743" s="3"/>
      <c r="V743" s="3"/>
      <c r="W743" s="3"/>
      <c r="X743" s="3" t="s">
        <v>87</v>
      </c>
      <c r="Y743" s="3" t="s">
        <v>586</v>
      </c>
    </row>
    <row r="744" spans="1:25" ht="15" customHeight="1" x14ac:dyDescent="0.3">
      <c r="A744" s="27">
        <v>45891</v>
      </c>
      <c r="B744" s="25">
        <v>30</v>
      </c>
      <c r="C744" s="3" t="s">
        <v>38</v>
      </c>
      <c r="D744" s="3" t="s">
        <v>355</v>
      </c>
      <c r="E744" s="3">
        <v>2</v>
      </c>
      <c r="F744" s="3">
        <v>135</v>
      </c>
      <c r="G744" s="6" t="s">
        <v>21</v>
      </c>
      <c r="H744" s="3" t="s">
        <v>991</v>
      </c>
      <c r="I744" s="6" t="s">
        <v>483</v>
      </c>
      <c r="J744" s="3">
        <v>2</v>
      </c>
      <c r="K744" s="3">
        <v>2</v>
      </c>
      <c r="L744" s="3">
        <v>21.57</v>
      </c>
      <c r="M744" s="3">
        <v>6.8</v>
      </c>
      <c r="N744" s="3">
        <v>9</v>
      </c>
      <c r="O744" s="3">
        <v>5</v>
      </c>
      <c r="P744" s="3"/>
      <c r="Q744" s="3">
        <v>170</v>
      </c>
      <c r="R744" s="3"/>
      <c r="S744" s="3"/>
      <c r="T744" s="3"/>
      <c r="U744" s="3"/>
      <c r="V744" s="3"/>
      <c r="W744" s="3"/>
      <c r="X744" s="3" t="s">
        <v>1106</v>
      </c>
      <c r="Y744" s="3" t="s">
        <v>1111</v>
      </c>
    </row>
    <row r="745" spans="1:25" ht="15" customHeight="1" x14ac:dyDescent="0.3">
      <c r="A745" s="27">
        <v>45891</v>
      </c>
      <c r="B745" s="25">
        <v>30</v>
      </c>
      <c r="C745" s="3" t="s">
        <v>38</v>
      </c>
      <c r="D745" s="3" t="s">
        <v>355</v>
      </c>
      <c r="E745" s="3">
        <v>2</v>
      </c>
      <c r="F745" s="3">
        <v>138</v>
      </c>
      <c r="G745" s="6" t="s">
        <v>992</v>
      </c>
      <c r="H745" s="3" t="s">
        <v>993</v>
      </c>
      <c r="I745" s="6" t="s">
        <v>483</v>
      </c>
      <c r="J745" s="3">
        <v>3</v>
      </c>
      <c r="K745" s="3">
        <v>3</v>
      </c>
      <c r="L745" s="3">
        <v>11.53</v>
      </c>
      <c r="M745" s="3">
        <v>2.5</v>
      </c>
      <c r="N745" s="3">
        <v>5.2</v>
      </c>
      <c r="O745" s="3">
        <v>3.2</v>
      </c>
      <c r="P745" s="3"/>
      <c r="Q745" s="3">
        <v>179</v>
      </c>
      <c r="R745" s="3"/>
      <c r="S745" s="3"/>
      <c r="T745" s="3"/>
      <c r="U745" s="3"/>
      <c r="V745" s="3"/>
      <c r="W745" s="3"/>
      <c r="X745" s="3" t="s">
        <v>84</v>
      </c>
      <c r="Y745" s="3" t="s">
        <v>396</v>
      </c>
    </row>
    <row r="746" spans="1:25" ht="15" customHeight="1" x14ac:dyDescent="0.3">
      <c r="A746" s="27">
        <v>45891</v>
      </c>
      <c r="B746" s="25">
        <v>30</v>
      </c>
      <c r="C746" s="3" t="s">
        <v>38</v>
      </c>
      <c r="D746" s="3" t="s">
        <v>355</v>
      </c>
      <c r="E746" s="3">
        <v>2</v>
      </c>
      <c r="F746" s="3">
        <v>203</v>
      </c>
      <c r="G746" s="6" t="s">
        <v>1153</v>
      </c>
      <c r="H746" s="3" t="s">
        <v>1154</v>
      </c>
      <c r="I746" s="6" t="s">
        <v>111</v>
      </c>
      <c r="J746" s="3">
        <v>4</v>
      </c>
      <c r="K746" s="3">
        <v>4</v>
      </c>
      <c r="L746" s="3">
        <v>24.7</v>
      </c>
      <c r="M746" s="3">
        <v>13</v>
      </c>
      <c r="N746" s="3">
        <v>3</v>
      </c>
      <c r="O746" s="3"/>
      <c r="P746" s="3"/>
      <c r="Q746" s="3"/>
      <c r="R746" s="3" t="s">
        <v>1128</v>
      </c>
      <c r="S746" s="3" t="s">
        <v>1132</v>
      </c>
      <c r="T746" s="3">
        <v>1</v>
      </c>
      <c r="U746" s="3">
        <v>20</v>
      </c>
      <c r="V746" s="3">
        <v>25</v>
      </c>
      <c r="W746" s="3">
        <v>90</v>
      </c>
      <c r="X746" s="3" t="s">
        <v>1137</v>
      </c>
      <c r="Y746" s="3"/>
    </row>
    <row r="747" spans="1:25" ht="15" customHeight="1" x14ac:dyDescent="0.3">
      <c r="A747" s="27">
        <v>45891</v>
      </c>
      <c r="B747" s="25">
        <v>30</v>
      </c>
      <c r="C747" s="3" t="s">
        <v>38</v>
      </c>
      <c r="D747" s="3" t="s">
        <v>355</v>
      </c>
      <c r="E747" s="3">
        <v>2</v>
      </c>
      <c r="F747" s="3">
        <v>205</v>
      </c>
      <c r="G747" s="6" t="s">
        <v>235</v>
      </c>
      <c r="H747" s="3" t="s">
        <v>1155</v>
      </c>
      <c r="I747" s="6" t="s">
        <v>111</v>
      </c>
      <c r="J747" s="3">
        <v>4</v>
      </c>
      <c r="K747" s="23">
        <v>3</v>
      </c>
      <c r="L747" s="3">
        <v>22.6</v>
      </c>
      <c r="M747" s="3">
        <v>8</v>
      </c>
      <c r="N747" s="3">
        <v>2</v>
      </c>
      <c r="O747" s="3"/>
      <c r="P747" s="3"/>
      <c r="Q747" s="3"/>
      <c r="R747" s="3" t="s">
        <v>1192</v>
      </c>
      <c r="S747" s="3" t="s">
        <v>1034</v>
      </c>
      <c r="T747" s="3">
        <v>1</v>
      </c>
      <c r="U747" s="3">
        <v>5</v>
      </c>
      <c r="V747" s="3">
        <v>10</v>
      </c>
      <c r="W747" s="3">
        <v>140</v>
      </c>
      <c r="X747" s="3" t="s">
        <v>391</v>
      </c>
      <c r="Y747" s="3"/>
    </row>
    <row r="748" spans="1:25" ht="15" customHeight="1" x14ac:dyDescent="0.3">
      <c r="A748" s="27">
        <v>45891</v>
      </c>
      <c r="B748" s="25">
        <v>30</v>
      </c>
      <c r="C748" s="3" t="s">
        <v>38</v>
      </c>
      <c r="D748" s="3" t="s">
        <v>355</v>
      </c>
      <c r="E748" s="3">
        <v>2</v>
      </c>
      <c r="F748" s="3">
        <v>206</v>
      </c>
      <c r="G748" s="6" t="s">
        <v>373</v>
      </c>
      <c r="H748" s="3" t="s">
        <v>1183</v>
      </c>
      <c r="I748" s="6" t="s">
        <v>111</v>
      </c>
      <c r="J748" s="3">
        <v>12</v>
      </c>
      <c r="K748" s="23">
        <v>11</v>
      </c>
      <c r="L748" s="3">
        <v>26.8</v>
      </c>
      <c r="M748" s="3">
        <v>18</v>
      </c>
      <c r="N748" s="3">
        <v>1.2</v>
      </c>
      <c r="O748" s="3"/>
      <c r="P748" s="3"/>
      <c r="Q748" s="3"/>
      <c r="R748" s="3" t="s">
        <v>66</v>
      </c>
      <c r="S748" s="3" t="s">
        <v>1194</v>
      </c>
      <c r="T748" s="3">
        <v>0.5</v>
      </c>
      <c r="U748" s="3">
        <v>31</v>
      </c>
      <c r="V748" s="3">
        <v>45</v>
      </c>
      <c r="W748" s="3">
        <v>125</v>
      </c>
      <c r="X748" s="3" t="s">
        <v>648</v>
      </c>
      <c r="Y748" s="3" t="s">
        <v>1199</v>
      </c>
    </row>
    <row r="749" spans="1:25" ht="15" customHeight="1" x14ac:dyDescent="0.3">
      <c r="A749" s="27">
        <v>45891</v>
      </c>
      <c r="B749" s="25">
        <v>30</v>
      </c>
      <c r="C749" s="3" t="s">
        <v>38</v>
      </c>
      <c r="D749" s="3" t="s">
        <v>355</v>
      </c>
      <c r="E749" s="3">
        <v>2</v>
      </c>
      <c r="F749" s="3">
        <v>207</v>
      </c>
      <c r="G749" s="6" t="s">
        <v>476</v>
      </c>
      <c r="H749" s="3" t="s">
        <v>1156</v>
      </c>
      <c r="I749" s="6" t="s">
        <v>111</v>
      </c>
      <c r="J749" s="3">
        <v>12</v>
      </c>
      <c r="K749" s="23">
        <v>7</v>
      </c>
      <c r="L749" s="3">
        <v>34.1</v>
      </c>
      <c r="M749" s="3">
        <v>15</v>
      </c>
      <c r="N749" s="3">
        <v>3.1</v>
      </c>
      <c r="O749" s="3"/>
      <c r="P749" s="3"/>
      <c r="Q749" s="3"/>
      <c r="R749" s="3" t="s">
        <v>523</v>
      </c>
      <c r="S749" s="3" t="s">
        <v>71</v>
      </c>
      <c r="T749" s="3">
        <v>2.5</v>
      </c>
      <c r="U749" s="3">
        <v>20</v>
      </c>
      <c r="V749" s="3">
        <v>30</v>
      </c>
      <c r="W749" s="3">
        <v>140</v>
      </c>
      <c r="X749" s="3" t="s">
        <v>1138</v>
      </c>
      <c r="Y749" s="3" t="s">
        <v>1200</v>
      </c>
    </row>
    <row r="750" spans="1:25" ht="15" customHeight="1" x14ac:dyDescent="0.3">
      <c r="A750" s="27">
        <v>45891</v>
      </c>
      <c r="B750" s="25">
        <v>30</v>
      </c>
      <c r="C750" s="3" t="s">
        <v>38</v>
      </c>
      <c r="D750" s="3" t="s">
        <v>355</v>
      </c>
      <c r="E750" s="3">
        <v>2</v>
      </c>
      <c r="F750" s="3">
        <v>208</v>
      </c>
      <c r="G750" s="6" t="s">
        <v>1184</v>
      </c>
      <c r="H750" s="3" t="s">
        <v>1185</v>
      </c>
      <c r="I750" s="6" t="s">
        <v>111</v>
      </c>
      <c r="J750" s="3">
        <v>4</v>
      </c>
      <c r="K750" s="3">
        <v>4</v>
      </c>
      <c r="L750" s="3">
        <v>18.88</v>
      </c>
      <c r="M750" s="3">
        <v>7</v>
      </c>
      <c r="N750" s="3">
        <v>3.1</v>
      </c>
      <c r="O750" s="3"/>
      <c r="P750" s="3"/>
      <c r="Q750" s="3"/>
      <c r="R750" s="3" t="s">
        <v>63</v>
      </c>
      <c r="S750" s="3" t="s">
        <v>637</v>
      </c>
      <c r="T750" s="3">
        <v>1.3</v>
      </c>
      <c r="U750" s="3">
        <v>15</v>
      </c>
      <c r="V750" s="3">
        <v>20</v>
      </c>
      <c r="W750" s="3">
        <v>140</v>
      </c>
      <c r="X750" s="3" t="s">
        <v>1197</v>
      </c>
      <c r="Y750" s="3" t="s">
        <v>1201</v>
      </c>
    </row>
    <row r="751" spans="1:25" ht="15" customHeight="1" x14ac:dyDescent="0.3">
      <c r="A751" s="27">
        <v>45891</v>
      </c>
      <c r="B751" s="25">
        <v>30</v>
      </c>
      <c r="C751" s="3" t="s">
        <v>38</v>
      </c>
      <c r="D751" s="3" t="s">
        <v>355</v>
      </c>
      <c r="E751" s="3">
        <v>2</v>
      </c>
      <c r="F751" s="3">
        <v>209</v>
      </c>
      <c r="G751" s="6" t="s">
        <v>1186</v>
      </c>
      <c r="H751" s="3" t="s">
        <v>1187</v>
      </c>
      <c r="I751" s="6" t="s">
        <v>111</v>
      </c>
      <c r="J751" s="3">
        <v>12</v>
      </c>
      <c r="K751" s="23">
        <v>10</v>
      </c>
      <c r="L751" s="3">
        <v>28</v>
      </c>
      <c r="M751" s="3">
        <v>10</v>
      </c>
      <c r="N751" s="3">
        <v>3</v>
      </c>
      <c r="O751" s="3"/>
      <c r="P751" s="3"/>
      <c r="Q751" s="3"/>
      <c r="R751" s="3" t="s">
        <v>1193</v>
      </c>
      <c r="S751" s="3" t="s">
        <v>1195</v>
      </c>
      <c r="T751" s="3">
        <v>3.2</v>
      </c>
      <c r="U751" s="3">
        <v>33</v>
      </c>
      <c r="V751" s="3">
        <v>40</v>
      </c>
      <c r="W751" s="3">
        <v>95</v>
      </c>
      <c r="X751" s="3" t="s">
        <v>705</v>
      </c>
      <c r="Y751" s="3" t="s">
        <v>1174</v>
      </c>
    </row>
    <row r="752" spans="1:25" ht="15" customHeight="1" x14ac:dyDescent="0.3">
      <c r="A752" s="27">
        <v>45891</v>
      </c>
      <c r="B752" s="25">
        <v>30</v>
      </c>
      <c r="C752" s="3" t="s">
        <v>38</v>
      </c>
      <c r="D752" s="3" t="s">
        <v>355</v>
      </c>
      <c r="E752" s="3">
        <v>2</v>
      </c>
      <c r="F752" s="3">
        <v>210</v>
      </c>
      <c r="G752" s="6" t="s">
        <v>1188</v>
      </c>
      <c r="H752" s="3" t="s">
        <v>1189</v>
      </c>
      <c r="I752" s="6" t="s">
        <v>111</v>
      </c>
      <c r="J752" s="3">
        <v>4</v>
      </c>
      <c r="K752" s="3">
        <v>4</v>
      </c>
      <c r="L752" s="3">
        <v>20.9</v>
      </c>
      <c r="M752" s="3">
        <v>7</v>
      </c>
      <c r="N752" s="3">
        <v>4</v>
      </c>
      <c r="O752" s="3"/>
      <c r="P752" s="3"/>
      <c r="Q752" s="3"/>
      <c r="R752" s="3" t="s">
        <v>917</v>
      </c>
      <c r="S752" s="3" t="s">
        <v>448</v>
      </c>
      <c r="T752" s="3">
        <v>1</v>
      </c>
      <c r="U752" s="3">
        <v>20</v>
      </c>
      <c r="V752" s="3">
        <v>30</v>
      </c>
      <c r="W752" s="3">
        <v>100</v>
      </c>
      <c r="X752" s="3" t="s">
        <v>1198</v>
      </c>
      <c r="Y752" s="3" t="s">
        <v>1202</v>
      </c>
    </row>
    <row r="753" spans="1:25" ht="15" customHeight="1" x14ac:dyDescent="0.3">
      <c r="A753" s="27">
        <v>45891</v>
      </c>
      <c r="B753" s="25">
        <v>30</v>
      </c>
      <c r="C753" s="3" t="s">
        <v>38</v>
      </c>
      <c r="D753" s="3" t="s">
        <v>355</v>
      </c>
      <c r="E753" s="3">
        <v>2</v>
      </c>
      <c r="F753" s="3">
        <v>301</v>
      </c>
      <c r="G753" s="6" t="s">
        <v>30</v>
      </c>
      <c r="H753" s="3" t="s">
        <v>194</v>
      </c>
      <c r="I753" s="6" t="s">
        <v>5</v>
      </c>
      <c r="J753" s="3">
        <v>8</v>
      </c>
      <c r="K753" s="23">
        <v>5</v>
      </c>
      <c r="L753" s="3">
        <v>30.3</v>
      </c>
      <c r="M753" s="3">
        <v>13</v>
      </c>
      <c r="N753" s="3">
        <v>5.5</v>
      </c>
      <c r="O753" s="3"/>
      <c r="P753" s="3"/>
      <c r="Q753" s="3"/>
      <c r="R753" s="3" t="s">
        <v>894</v>
      </c>
      <c r="S753" s="3" t="s">
        <v>1036</v>
      </c>
      <c r="T753" s="3">
        <v>1</v>
      </c>
      <c r="U753" s="3">
        <v>25</v>
      </c>
      <c r="V753" s="3">
        <v>35</v>
      </c>
      <c r="W753" s="3">
        <v>130</v>
      </c>
      <c r="X753" s="3" t="s">
        <v>1140</v>
      </c>
      <c r="Y753" s="3" t="s">
        <v>1044</v>
      </c>
    </row>
    <row r="754" spans="1:25" ht="15" customHeight="1" x14ac:dyDescent="0.3">
      <c r="A754" s="27">
        <v>45891</v>
      </c>
      <c r="B754" s="25">
        <v>30</v>
      </c>
      <c r="C754" s="3" t="s">
        <v>38</v>
      </c>
      <c r="D754" s="3" t="s">
        <v>355</v>
      </c>
      <c r="E754" s="3">
        <v>2</v>
      </c>
      <c r="F754" s="3">
        <v>502</v>
      </c>
      <c r="G754" s="6" t="s">
        <v>889</v>
      </c>
      <c r="H754" s="3" t="s">
        <v>890</v>
      </c>
      <c r="I754" s="6" t="s">
        <v>110</v>
      </c>
      <c r="J754" s="3">
        <v>4</v>
      </c>
      <c r="K754" s="3">
        <v>4</v>
      </c>
      <c r="L754" s="3">
        <v>17.62</v>
      </c>
      <c r="M754" s="3"/>
      <c r="N754" s="3"/>
      <c r="O754" s="3">
        <v>10.5</v>
      </c>
      <c r="P754" s="3"/>
      <c r="Q754" s="3"/>
      <c r="R754" s="3"/>
      <c r="S754" s="3"/>
      <c r="T754" s="3"/>
      <c r="U754" s="3"/>
      <c r="V754" s="3"/>
      <c r="W754" s="3">
        <v>320</v>
      </c>
      <c r="X754" s="3"/>
      <c r="Y754" s="3"/>
    </row>
    <row r="755" spans="1:25" ht="15" customHeight="1" x14ac:dyDescent="0.3">
      <c r="A755" s="5">
        <v>45894</v>
      </c>
      <c r="B755" s="25">
        <v>29</v>
      </c>
      <c r="C755" s="3" t="s">
        <v>38</v>
      </c>
      <c r="D755" s="3" t="s">
        <v>355</v>
      </c>
      <c r="E755" s="3">
        <v>2</v>
      </c>
      <c r="F755" s="3">
        <v>103</v>
      </c>
      <c r="G755" s="6" t="s">
        <v>163</v>
      </c>
      <c r="H755" s="3" t="s">
        <v>928</v>
      </c>
      <c r="I755" s="6" t="s">
        <v>793</v>
      </c>
      <c r="J755" s="3">
        <v>5</v>
      </c>
      <c r="K755" s="3">
        <v>5</v>
      </c>
      <c r="L755" s="3">
        <v>14.8</v>
      </c>
      <c r="M755" s="3">
        <v>3.7</v>
      </c>
      <c r="N755" s="3">
        <v>6.8</v>
      </c>
      <c r="O755" s="3">
        <v>6.5</v>
      </c>
      <c r="P755" s="3">
        <v>25</v>
      </c>
      <c r="Q755" s="3">
        <v>165</v>
      </c>
      <c r="R755" s="3"/>
      <c r="S755" s="3"/>
      <c r="T755" s="3"/>
      <c r="U755" s="3"/>
      <c r="V755" s="3"/>
      <c r="W755" s="3"/>
      <c r="X755" s="3" t="s">
        <v>79</v>
      </c>
      <c r="Y755" s="3" t="s">
        <v>254</v>
      </c>
    </row>
    <row r="756" spans="1:25" ht="15" customHeight="1" x14ac:dyDescent="0.3">
      <c r="A756" s="5">
        <v>45894</v>
      </c>
      <c r="B756" s="25">
        <v>29</v>
      </c>
      <c r="C756" s="3" t="s">
        <v>38</v>
      </c>
      <c r="D756" s="3" t="s">
        <v>355</v>
      </c>
      <c r="E756" s="3">
        <v>2</v>
      </c>
      <c r="F756" s="3">
        <v>164</v>
      </c>
      <c r="G756" s="6" t="s">
        <v>11</v>
      </c>
      <c r="H756" s="3" t="s">
        <v>1178</v>
      </c>
      <c r="I756" s="6" t="s">
        <v>483</v>
      </c>
      <c r="J756" s="3">
        <v>2</v>
      </c>
      <c r="K756" s="3">
        <v>2</v>
      </c>
      <c r="L756" s="3">
        <v>22.64</v>
      </c>
      <c r="M756" s="3">
        <v>7</v>
      </c>
      <c r="N756" s="3">
        <v>10</v>
      </c>
      <c r="O756" s="3">
        <v>3.4</v>
      </c>
      <c r="P756" s="3"/>
      <c r="Q756" s="3">
        <v>170</v>
      </c>
      <c r="R756" s="3"/>
      <c r="S756" s="3"/>
      <c r="T756" s="3"/>
      <c r="U756" s="3"/>
      <c r="V756" s="3"/>
      <c r="W756" s="3"/>
      <c r="X756" s="3" t="s">
        <v>138</v>
      </c>
      <c r="Y756" s="3" t="s">
        <v>1018</v>
      </c>
    </row>
    <row r="757" spans="1:25" ht="15" customHeight="1" x14ac:dyDescent="0.3">
      <c r="A757" s="5">
        <v>45894</v>
      </c>
      <c r="B757" s="25">
        <v>29</v>
      </c>
      <c r="C757" s="3" t="s">
        <v>38</v>
      </c>
      <c r="D757" s="3" t="s">
        <v>355</v>
      </c>
      <c r="E757" s="3">
        <v>2</v>
      </c>
      <c r="F757" s="3">
        <v>181</v>
      </c>
      <c r="G757" s="6" t="s">
        <v>1179</v>
      </c>
      <c r="H757" s="3" t="s">
        <v>1180</v>
      </c>
      <c r="I757" s="6" t="s">
        <v>483</v>
      </c>
      <c r="J757" s="3">
        <v>4</v>
      </c>
      <c r="K757" s="3">
        <v>4</v>
      </c>
      <c r="L757" s="3">
        <v>14.21</v>
      </c>
      <c r="M757" s="3">
        <v>4</v>
      </c>
      <c r="N757" s="3">
        <v>6</v>
      </c>
      <c r="O757" s="3">
        <v>3.2</v>
      </c>
      <c r="P757" s="3">
        <v>20</v>
      </c>
      <c r="Q757" s="3">
        <v>180</v>
      </c>
      <c r="R757" s="3"/>
      <c r="S757" s="3"/>
      <c r="T757" s="3"/>
      <c r="U757" s="3"/>
      <c r="V757" s="3"/>
      <c r="W757" s="3"/>
      <c r="X757" s="3" t="s">
        <v>686</v>
      </c>
      <c r="Y757" s="3" t="s">
        <v>153</v>
      </c>
    </row>
    <row r="758" spans="1:25" ht="15" customHeight="1" x14ac:dyDescent="0.3">
      <c r="A758" s="5">
        <v>45894</v>
      </c>
      <c r="B758" s="25">
        <v>29</v>
      </c>
      <c r="C758" s="3" t="s">
        <v>38</v>
      </c>
      <c r="D758" s="3" t="s">
        <v>355</v>
      </c>
      <c r="E758" s="3">
        <v>2</v>
      </c>
      <c r="F758" s="3">
        <v>404</v>
      </c>
      <c r="G758" s="6" t="s">
        <v>983</v>
      </c>
      <c r="H758" s="3" t="s">
        <v>984</v>
      </c>
      <c r="I758" s="6" t="s">
        <v>483</v>
      </c>
      <c r="J758" s="3">
        <v>2</v>
      </c>
      <c r="K758" s="3">
        <v>2</v>
      </c>
      <c r="L758" s="3">
        <v>7.4</v>
      </c>
      <c r="M758" s="3"/>
      <c r="N758" s="3"/>
      <c r="O758" s="3">
        <v>2.5</v>
      </c>
      <c r="P758" s="3"/>
      <c r="Q758" s="3"/>
      <c r="R758" s="3"/>
      <c r="S758" s="3"/>
      <c r="T758" s="3"/>
      <c r="U758" s="3"/>
      <c r="V758" s="3"/>
      <c r="W758" s="3"/>
      <c r="X758" s="3" t="s">
        <v>1164</v>
      </c>
      <c r="Y758" s="3"/>
    </row>
    <row r="759" spans="1:25" ht="15" customHeight="1" x14ac:dyDescent="0.3">
      <c r="A759" s="5">
        <v>45894</v>
      </c>
      <c r="B759" s="25">
        <v>29</v>
      </c>
      <c r="C759" s="3" t="s">
        <v>38</v>
      </c>
      <c r="D759" s="3" t="s">
        <v>355</v>
      </c>
      <c r="E759" s="3">
        <v>2</v>
      </c>
      <c r="F759" s="3">
        <v>405</v>
      </c>
      <c r="G759" s="6" t="s">
        <v>435</v>
      </c>
      <c r="H759" s="3" t="s">
        <v>1118</v>
      </c>
      <c r="I759" s="6" t="s">
        <v>483</v>
      </c>
      <c r="J759" s="3">
        <v>2</v>
      </c>
      <c r="K759" s="3">
        <v>1</v>
      </c>
      <c r="L759" s="3">
        <v>9.1</v>
      </c>
      <c r="M759" s="3"/>
      <c r="N759" s="3"/>
      <c r="O759" s="3">
        <v>3.5</v>
      </c>
      <c r="P759" s="3"/>
      <c r="Q759" s="3"/>
      <c r="R759" s="3"/>
      <c r="S759" s="3"/>
      <c r="T759" s="3"/>
      <c r="U759" s="3"/>
      <c r="V759" s="3"/>
      <c r="W759" s="3"/>
      <c r="X759" s="3" t="s">
        <v>1212</v>
      </c>
      <c r="Y759" s="3"/>
    </row>
    <row r="760" spans="1:25" ht="15" customHeight="1" x14ac:dyDescent="0.3">
      <c r="A760" s="5">
        <v>45894</v>
      </c>
      <c r="B760" s="25">
        <v>29</v>
      </c>
      <c r="C760" s="3" t="s">
        <v>38</v>
      </c>
      <c r="D760" s="3" t="s">
        <v>355</v>
      </c>
      <c r="E760" s="3">
        <v>2</v>
      </c>
      <c r="F760" s="3">
        <v>172</v>
      </c>
      <c r="G760" s="6" t="s">
        <v>472</v>
      </c>
      <c r="H760" s="3" t="s">
        <v>1070</v>
      </c>
      <c r="I760" s="6" t="s">
        <v>483</v>
      </c>
      <c r="J760" s="3">
        <v>4</v>
      </c>
      <c r="K760" s="3">
        <v>4</v>
      </c>
      <c r="L760" s="3">
        <v>19.62</v>
      </c>
      <c r="M760" s="3">
        <v>3</v>
      </c>
      <c r="N760" s="3">
        <v>12</v>
      </c>
      <c r="O760" s="3">
        <v>8</v>
      </c>
      <c r="P760" s="3" t="s">
        <v>1126</v>
      </c>
      <c r="Q760" s="3">
        <v>160</v>
      </c>
      <c r="R760" s="3"/>
      <c r="S760" s="3"/>
      <c r="T760" s="3"/>
      <c r="U760" s="3"/>
      <c r="V760" s="3"/>
      <c r="W760" s="3"/>
      <c r="X760" s="3" t="s">
        <v>611</v>
      </c>
      <c r="Y760" s="3" t="s">
        <v>80</v>
      </c>
    </row>
    <row r="761" spans="1:25" ht="15" customHeight="1" x14ac:dyDescent="0.3">
      <c r="A761" s="5">
        <v>45894</v>
      </c>
      <c r="B761" s="25">
        <v>29</v>
      </c>
      <c r="C761" s="3" t="s">
        <v>38</v>
      </c>
      <c r="D761" s="3" t="s">
        <v>355</v>
      </c>
      <c r="E761" s="3">
        <v>2</v>
      </c>
      <c r="F761" s="3">
        <v>173</v>
      </c>
      <c r="G761" s="6" t="s">
        <v>1119</v>
      </c>
      <c r="H761" s="3" t="s">
        <v>1120</v>
      </c>
      <c r="I761" s="6" t="s">
        <v>483</v>
      </c>
      <c r="J761" s="3">
        <v>5</v>
      </c>
      <c r="K761" s="3">
        <v>5</v>
      </c>
      <c r="L761" s="3">
        <v>16.260000000000002</v>
      </c>
      <c r="M761" s="3">
        <v>1</v>
      </c>
      <c r="N761" s="3">
        <v>11</v>
      </c>
      <c r="O761" s="3">
        <v>7</v>
      </c>
      <c r="P761" s="3" t="s">
        <v>1209</v>
      </c>
      <c r="Q761" s="3">
        <v>170</v>
      </c>
      <c r="R761" s="3"/>
      <c r="S761" s="3"/>
      <c r="T761" s="3"/>
      <c r="U761" s="3"/>
      <c r="V761" s="3"/>
      <c r="W761" s="3"/>
      <c r="X761" s="3" t="s">
        <v>288</v>
      </c>
      <c r="Y761" s="3" t="s">
        <v>388</v>
      </c>
    </row>
    <row r="762" spans="1:25" ht="15" customHeight="1" x14ac:dyDescent="0.3">
      <c r="A762" s="5">
        <v>45894</v>
      </c>
      <c r="B762" s="25">
        <v>29</v>
      </c>
      <c r="C762" s="3" t="s">
        <v>38</v>
      </c>
      <c r="D762" s="3" t="s">
        <v>355</v>
      </c>
      <c r="E762" s="3">
        <v>2</v>
      </c>
      <c r="F762" s="3">
        <v>176</v>
      </c>
      <c r="G762" s="6" t="s">
        <v>1074</v>
      </c>
      <c r="H762" s="3" t="s">
        <v>1203</v>
      </c>
      <c r="I762" s="6" t="s">
        <v>483</v>
      </c>
      <c r="J762" s="3">
        <v>5</v>
      </c>
      <c r="K762" s="3">
        <v>5</v>
      </c>
      <c r="L762" s="3">
        <v>18.14</v>
      </c>
      <c r="M762" s="3">
        <v>2.5</v>
      </c>
      <c r="N762" s="3">
        <v>12</v>
      </c>
      <c r="O762" s="3">
        <v>7.8</v>
      </c>
      <c r="P762" s="3" t="s">
        <v>1004</v>
      </c>
      <c r="Q762" s="3">
        <v>165</v>
      </c>
      <c r="R762" s="3"/>
      <c r="S762" s="3"/>
      <c r="T762" s="3"/>
      <c r="U762" s="3"/>
      <c r="V762" s="3"/>
      <c r="W762" s="3"/>
      <c r="X762" s="3" t="s">
        <v>253</v>
      </c>
      <c r="Y762" s="3" t="s">
        <v>80</v>
      </c>
    </row>
    <row r="763" spans="1:25" ht="15" customHeight="1" x14ac:dyDescent="0.3">
      <c r="A763" s="5">
        <v>45894</v>
      </c>
      <c r="B763" s="25">
        <v>29</v>
      </c>
      <c r="C763" s="3" t="s">
        <v>38</v>
      </c>
      <c r="D763" s="3" t="s">
        <v>355</v>
      </c>
      <c r="E763" s="3">
        <v>2</v>
      </c>
      <c r="F763" s="3">
        <v>132</v>
      </c>
      <c r="G763" s="6" t="s">
        <v>1204</v>
      </c>
      <c r="H763" s="3" t="s">
        <v>1205</v>
      </c>
      <c r="I763" s="6" t="s">
        <v>483</v>
      </c>
      <c r="J763" s="3">
        <v>3</v>
      </c>
      <c r="K763" s="3">
        <v>3</v>
      </c>
      <c r="L763" s="3">
        <v>21.69</v>
      </c>
      <c r="M763" s="3">
        <v>3.7</v>
      </c>
      <c r="N763" s="3">
        <v>12.5</v>
      </c>
      <c r="O763" s="3">
        <v>8</v>
      </c>
      <c r="P763" s="3"/>
      <c r="Q763" s="3">
        <v>180</v>
      </c>
      <c r="R763" s="3"/>
      <c r="S763" s="3"/>
      <c r="T763" s="3"/>
      <c r="U763" s="3"/>
      <c r="V763" s="3"/>
      <c r="W763" s="3"/>
      <c r="X763" s="3" t="s">
        <v>84</v>
      </c>
      <c r="Y763" s="3" t="s">
        <v>907</v>
      </c>
    </row>
    <row r="764" spans="1:25" ht="15" customHeight="1" x14ac:dyDescent="0.3">
      <c r="A764" s="5">
        <v>45894</v>
      </c>
      <c r="B764" s="25">
        <v>29</v>
      </c>
      <c r="C764" s="3" t="s">
        <v>38</v>
      </c>
      <c r="D764" s="3" t="s">
        <v>355</v>
      </c>
      <c r="E764" s="3">
        <v>2</v>
      </c>
      <c r="F764" s="3">
        <v>135</v>
      </c>
      <c r="G764" s="6" t="s">
        <v>21</v>
      </c>
      <c r="H764" s="3" t="s">
        <v>991</v>
      </c>
      <c r="I764" s="6" t="s">
        <v>483</v>
      </c>
      <c r="J764" s="3">
        <v>2</v>
      </c>
      <c r="K764" s="3">
        <v>2</v>
      </c>
      <c r="L764" s="3">
        <v>20.77</v>
      </c>
      <c r="M764" s="3">
        <v>16.8</v>
      </c>
      <c r="N764" s="3">
        <v>8.1999999999999993</v>
      </c>
      <c r="O764" s="3">
        <v>5</v>
      </c>
      <c r="P764" s="3"/>
      <c r="Q764" s="3">
        <v>180</v>
      </c>
      <c r="R764" s="3"/>
      <c r="S764" s="3"/>
      <c r="T764" s="3"/>
      <c r="U764" s="3"/>
      <c r="V764" s="3"/>
      <c r="W764" s="3"/>
      <c r="X764" s="3" t="s">
        <v>89</v>
      </c>
      <c r="Y764" s="3" t="s">
        <v>1217</v>
      </c>
    </row>
    <row r="765" spans="1:25" ht="15" customHeight="1" x14ac:dyDescent="0.3">
      <c r="A765" s="5">
        <v>45894</v>
      </c>
      <c r="B765" s="25">
        <v>29</v>
      </c>
      <c r="C765" s="3" t="s">
        <v>38</v>
      </c>
      <c r="D765" s="3" t="s">
        <v>355</v>
      </c>
      <c r="E765" s="3">
        <v>2</v>
      </c>
      <c r="F765" s="3">
        <v>203</v>
      </c>
      <c r="G765" s="6" t="s">
        <v>1153</v>
      </c>
      <c r="H765" s="3" t="s">
        <v>1154</v>
      </c>
      <c r="I765" s="6" t="s">
        <v>111</v>
      </c>
      <c r="J765" s="3">
        <v>4</v>
      </c>
      <c r="K765" s="3">
        <v>4</v>
      </c>
      <c r="L765" s="3">
        <v>26</v>
      </c>
      <c r="M765" s="3">
        <v>14</v>
      </c>
      <c r="N765" s="3">
        <v>3</v>
      </c>
      <c r="O765" s="3"/>
      <c r="P765" s="3"/>
      <c r="Q765" s="3"/>
      <c r="R765" s="3" t="s">
        <v>1210</v>
      </c>
      <c r="S765" s="3" t="s">
        <v>315</v>
      </c>
      <c r="T765" s="3">
        <v>1</v>
      </c>
      <c r="U765" s="3">
        <v>20</v>
      </c>
      <c r="V765" s="3">
        <v>25</v>
      </c>
      <c r="W765" s="3">
        <v>90</v>
      </c>
      <c r="X765" s="3" t="s">
        <v>1213</v>
      </c>
      <c r="Y765" s="3"/>
    </row>
    <row r="766" spans="1:25" ht="15" customHeight="1" x14ac:dyDescent="0.3">
      <c r="A766" s="5">
        <v>45894</v>
      </c>
      <c r="B766" s="25">
        <v>29</v>
      </c>
      <c r="C766" s="3" t="s">
        <v>38</v>
      </c>
      <c r="D766" s="3" t="s">
        <v>355</v>
      </c>
      <c r="E766" s="3">
        <v>2</v>
      </c>
      <c r="F766" s="3">
        <v>204</v>
      </c>
      <c r="G766" s="6" t="s">
        <v>1206</v>
      </c>
      <c r="H766" s="3" t="s">
        <v>1207</v>
      </c>
      <c r="I766" s="6" t="s">
        <v>111</v>
      </c>
      <c r="J766" s="3">
        <v>16</v>
      </c>
      <c r="K766" s="23">
        <v>10</v>
      </c>
      <c r="L766" s="3">
        <v>26.8</v>
      </c>
      <c r="M766" s="3">
        <v>15</v>
      </c>
      <c r="N766" s="3">
        <v>4</v>
      </c>
      <c r="O766" s="3"/>
      <c r="P766" s="3"/>
      <c r="Q766" s="3"/>
      <c r="R766" s="3" t="s">
        <v>491</v>
      </c>
      <c r="S766" s="3" t="s">
        <v>71</v>
      </c>
      <c r="T766" s="3">
        <v>0.5</v>
      </c>
      <c r="U766" s="3">
        <v>15</v>
      </c>
      <c r="V766" s="3">
        <v>20</v>
      </c>
      <c r="W766" s="3">
        <v>105</v>
      </c>
      <c r="X766" s="3" t="s">
        <v>1214</v>
      </c>
      <c r="Y766" s="3"/>
    </row>
    <row r="767" spans="1:25" ht="15" customHeight="1" x14ac:dyDescent="0.3">
      <c r="A767" s="5">
        <v>45894</v>
      </c>
      <c r="B767" s="25">
        <v>29</v>
      </c>
      <c r="C767" s="3" t="s">
        <v>38</v>
      </c>
      <c r="D767" s="3" t="s">
        <v>355</v>
      </c>
      <c r="E767" s="3">
        <v>2</v>
      </c>
      <c r="F767" s="3">
        <v>205</v>
      </c>
      <c r="G767" s="6" t="s">
        <v>235</v>
      </c>
      <c r="H767" s="3" t="s">
        <v>1155</v>
      </c>
      <c r="I767" s="6" t="s">
        <v>111</v>
      </c>
      <c r="J767" s="3">
        <v>4</v>
      </c>
      <c r="K767" s="23">
        <v>3</v>
      </c>
      <c r="L767" s="3">
        <v>20.2</v>
      </c>
      <c r="M767" s="3">
        <v>8</v>
      </c>
      <c r="N767" s="3">
        <v>2</v>
      </c>
      <c r="O767" s="3"/>
      <c r="P767" s="3"/>
      <c r="Q767" s="3"/>
      <c r="R767" s="3" t="s">
        <v>243</v>
      </c>
      <c r="S767" s="3" t="s">
        <v>1034</v>
      </c>
      <c r="T767" s="3">
        <v>1</v>
      </c>
      <c r="U767" s="3">
        <v>5</v>
      </c>
      <c r="V767" s="3">
        <v>10</v>
      </c>
      <c r="W767" s="3">
        <v>140</v>
      </c>
      <c r="X767" s="3" t="s">
        <v>391</v>
      </c>
      <c r="Y767" s="3"/>
    </row>
    <row r="768" spans="1:25" ht="15" customHeight="1" x14ac:dyDescent="0.3">
      <c r="A768" s="5">
        <v>45894</v>
      </c>
      <c r="B768" s="25">
        <v>29</v>
      </c>
      <c r="C768" s="3" t="s">
        <v>38</v>
      </c>
      <c r="D768" s="3" t="s">
        <v>355</v>
      </c>
      <c r="E768" s="3">
        <v>2</v>
      </c>
      <c r="F768" s="3">
        <v>207</v>
      </c>
      <c r="G768" s="6" t="s">
        <v>476</v>
      </c>
      <c r="H768" s="3" t="s">
        <v>1156</v>
      </c>
      <c r="I768" s="6" t="s">
        <v>111</v>
      </c>
      <c r="J768" s="3">
        <v>12</v>
      </c>
      <c r="K768" s="23">
        <v>7</v>
      </c>
      <c r="L768" s="3">
        <v>34.799999999999997</v>
      </c>
      <c r="M768" s="3">
        <v>15</v>
      </c>
      <c r="N768" s="3">
        <v>3.1</v>
      </c>
      <c r="O768" s="3"/>
      <c r="P768" s="3"/>
      <c r="Q768" s="3"/>
      <c r="R768" s="3" t="s">
        <v>726</v>
      </c>
      <c r="S768" s="3" t="s">
        <v>244</v>
      </c>
      <c r="T768" s="3">
        <v>2.5</v>
      </c>
      <c r="U768" s="3">
        <v>20</v>
      </c>
      <c r="V768" s="3">
        <v>30</v>
      </c>
      <c r="W768" s="3">
        <v>140</v>
      </c>
      <c r="X768" s="3" t="s">
        <v>1138</v>
      </c>
      <c r="Y768" s="3" t="s">
        <v>1218</v>
      </c>
    </row>
    <row r="769" spans="1:25" ht="15" customHeight="1" x14ac:dyDescent="0.3">
      <c r="A769" s="5">
        <v>45894</v>
      </c>
      <c r="B769" s="25">
        <v>29</v>
      </c>
      <c r="C769" s="3" t="s">
        <v>38</v>
      </c>
      <c r="D769" s="3" t="s">
        <v>355</v>
      </c>
      <c r="E769" s="3">
        <v>2</v>
      </c>
      <c r="F769" s="3">
        <v>208</v>
      </c>
      <c r="G769" s="6" t="s">
        <v>996</v>
      </c>
      <c r="H769" s="3" t="s">
        <v>1208</v>
      </c>
      <c r="I769" s="6" t="s">
        <v>111</v>
      </c>
      <c r="J769" s="3">
        <v>4</v>
      </c>
      <c r="K769" s="3">
        <v>4</v>
      </c>
      <c r="L769" s="3">
        <v>19.11</v>
      </c>
      <c r="M769" s="3">
        <v>7</v>
      </c>
      <c r="N769" s="3">
        <v>3.1</v>
      </c>
      <c r="O769" s="3"/>
      <c r="P769" s="3"/>
      <c r="Q769" s="3"/>
      <c r="R769" s="3" t="s">
        <v>242</v>
      </c>
      <c r="S769" s="3" t="s">
        <v>133</v>
      </c>
      <c r="T769" s="3">
        <v>1.5</v>
      </c>
      <c r="U769" s="3">
        <v>15</v>
      </c>
      <c r="V769" s="3">
        <v>20</v>
      </c>
      <c r="W769" s="3">
        <v>140</v>
      </c>
      <c r="X769" s="3" t="s">
        <v>1197</v>
      </c>
      <c r="Y769" s="3" t="s">
        <v>1201</v>
      </c>
    </row>
    <row r="770" spans="1:25" ht="15" customHeight="1" x14ac:dyDescent="0.3">
      <c r="A770" s="5">
        <v>45894</v>
      </c>
      <c r="B770" s="25">
        <v>29</v>
      </c>
      <c r="C770" s="3" t="s">
        <v>38</v>
      </c>
      <c r="D770" s="3" t="s">
        <v>355</v>
      </c>
      <c r="E770" s="3">
        <v>2</v>
      </c>
      <c r="F770" s="3">
        <v>210</v>
      </c>
      <c r="G770" s="6" t="s">
        <v>1188</v>
      </c>
      <c r="H770" s="3" t="s">
        <v>1189</v>
      </c>
      <c r="I770" s="6" t="s">
        <v>111</v>
      </c>
      <c r="J770" s="3">
        <v>4</v>
      </c>
      <c r="K770" s="3">
        <v>4</v>
      </c>
      <c r="L770" s="3">
        <v>22</v>
      </c>
      <c r="M770" s="3">
        <v>8</v>
      </c>
      <c r="N770" s="3">
        <v>4</v>
      </c>
      <c r="O770" s="3"/>
      <c r="P770" s="3"/>
      <c r="Q770" s="3"/>
      <c r="R770" s="3" t="s">
        <v>447</v>
      </c>
      <c r="S770" s="3" t="s">
        <v>1211</v>
      </c>
      <c r="T770" s="3">
        <v>1</v>
      </c>
      <c r="U770" s="3">
        <v>20</v>
      </c>
      <c r="V770" s="3">
        <v>30</v>
      </c>
      <c r="W770" s="3">
        <v>100</v>
      </c>
      <c r="X770" s="3" t="s">
        <v>1198</v>
      </c>
      <c r="Y770" s="3" t="s">
        <v>1219</v>
      </c>
    </row>
    <row r="771" spans="1:25" ht="15" customHeight="1" x14ac:dyDescent="0.3">
      <c r="A771" s="5">
        <v>45894</v>
      </c>
      <c r="B771" s="25">
        <v>29</v>
      </c>
      <c r="C771" s="3" t="s">
        <v>38</v>
      </c>
      <c r="D771" s="3" t="s">
        <v>355</v>
      </c>
      <c r="E771" s="3">
        <v>2</v>
      </c>
      <c r="F771" s="3">
        <v>301</v>
      </c>
      <c r="G771" s="6" t="s">
        <v>30</v>
      </c>
      <c r="H771" s="3" t="s">
        <v>194</v>
      </c>
      <c r="I771" s="6" t="s">
        <v>5</v>
      </c>
      <c r="J771" s="3">
        <v>8</v>
      </c>
      <c r="K771" s="23">
        <v>5</v>
      </c>
      <c r="L771" s="3">
        <v>30.3</v>
      </c>
      <c r="M771" s="3">
        <v>13</v>
      </c>
      <c r="N771" s="3">
        <v>5.5</v>
      </c>
      <c r="O771" s="3"/>
      <c r="P771" s="3"/>
      <c r="Q771" s="3"/>
      <c r="R771" s="3" t="s">
        <v>894</v>
      </c>
      <c r="S771" s="3" t="s">
        <v>1036</v>
      </c>
      <c r="T771" s="3">
        <v>1</v>
      </c>
      <c r="U771" s="3">
        <v>25</v>
      </c>
      <c r="V771" s="3">
        <v>35</v>
      </c>
      <c r="W771" s="3">
        <v>130</v>
      </c>
      <c r="X771" s="3" t="s">
        <v>1215</v>
      </c>
      <c r="Y771" s="3" t="s">
        <v>1220</v>
      </c>
    </row>
    <row r="772" spans="1:25" ht="15" customHeight="1" x14ac:dyDescent="0.3">
      <c r="A772" s="5">
        <v>45894</v>
      </c>
      <c r="B772" s="25">
        <v>29</v>
      </c>
      <c r="C772" s="3" t="s">
        <v>38</v>
      </c>
      <c r="D772" s="3" t="s">
        <v>355</v>
      </c>
      <c r="E772" s="3">
        <v>2</v>
      </c>
      <c r="F772" s="3">
        <v>502</v>
      </c>
      <c r="G772" s="6" t="s">
        <v>889</v>
      </c>
      <c r="H772" s="3" t="s">
        <v>890</v>
      </c>
      <c r="I772" s="6" t="s">
        <v>110</v>
      </c>
      <c r="J772" s="3">
        <v>4</v>
      </c>
      <c r="K772" s="3">
        <v>4</v>
      </c>
      <c r="L772" s="3">
        <v>17.62</v>
      </c>
      <c r="M772" s="3"/>
      <c r="N772" s="3"/>
      <c r="O772" s="3">
        <v>10.5</v>
      </c>
      <c r="P772" s="3"/>
      <c r="Q772" s="3"/>
      <c r="R772" s="3"/>
      <c r="S772" s="3"/>
      <c r="T772" s="3"/>
      <c r="U772" s="3"/>
      <c r="V772" s="3"/>
      <c r="W772" s="3">
        <v>320</v>
      </c>
      <c r="X772" s="3" t="s">
        <v>1216</v>
      </c>
      <c r="Y772" s="3"/>
    </row>
    <row r="773" spans="1:25" ht="15" customHeight="1" x14ac:dyDescent="0.3">
      <c r="A773" s="27">
        <v>45895</v>
      </c>
      <c r="B773" s="25">
        <v>27</v>
      </c>
      <c r="C773" s="3" t="s">
        <v>38</v>
      </c>
      <c r="D773" s="3" t="s">
        <v>355</v>
      </c>
      <c r="E773" s="3">
        <v>2</v>
      </c>
      <c r="F773" s="3">
        <v>103</v>
      </c>
      <c r="G773" s="6" t="s">
        <v>163</v>
      </c>
      <c r="H773" s="3" t="s">
        <v>928</v>
      </c>
      <c r="I773" s="6" t="s">
        <v>793</v>
      </c>
      <c r="J773" s="3">
        <v>5</v>
      </c>
      <c r="K773" s="3">
        <v>5</v>
      </c>
      <c r="L773" s="3">
        <v>14.84</v>
      </c>
      <c r="M773" s="3">
        <v>3.7</v>
      </c>
      <c r="N773" s="3">
        <v>6.8</v>
      </c>
      <c r="O773" s="3">
        <v>6.5</v>
      </c>
      <c r="P773" s="3">
        <v>25</v>
      </c>
      <c r="Q773" s="3">
        <v>170</v>
      </c>
      <c r="R773" s="3"/>
      <c r="S773" s="3"/>
      <c r="T773" s="3"/>
      <c r="U773" s="3"/>
      <c r="V773" s="3"/>
      <c r="W773" s="3"/>
      <c r="X773" s="3" t="s">
        <v>79</v>
      </c>
      <c r="Y773" s="3" t="s">
        <v>254</v>
      </c>
    </row>
    <row r="774" spans="1:25" ht="15" customHeight="1" x14ac:dyDescent="0.3">
      <c r="A774" s="27">
        <v>45895</v>
      </c>
      <c r="B774" s="25">
        <v>27</v>
      </c>
      <c r="C774" s="3" t="s">
        <v>38</v>
      </c>
      <c r="D774" s="3" t="s">
        <v>355</v>
      </c>
      <c r="E774" s="3">
        <v>2</v>
      </c>
      <c r="F774" s="3">
        <v>104</v>
      </c>
      <c r="G774" s="6" t="s">
        <v>169</v>
      </c>
      <c r="H774" s="3" t="s">
        <v>1177</v>
      </c>
      <c r="I774" s="6" t="s">
        <v>793</v>
      </c>
      <c r="J774" s="3">
        <v>9</v>
      </c>
      <c r="K774" s="3">
        <v>9</v>
      </c>
      <c r="L774" s="3">
        <v>12.75</v>
      </c>
      <c r="M774" s="3">
        <v>2.8</v>
      </c>
      <c r="N774" s="3">
        <v>5.7</v>
      </c>
      <c r="O774" s="3">
        <v>5</v>
      </c>
      <c r="P774" s="3"/>
      <c r="Q774" s="3">
        <v>170</v>
      </c>
      <c r="R774" s="3"/>
      <c r="S774" s="3"/>
      <c r="T774" s="3"/>
      <c r="U774" s="3"/>
      <c r="V774" s="3"/>
      <c r="W774" s="3"/>
      <c r="X774" s="3" t="s">
        <v>251</v>
      </c>
      <c r="Y774" s="3" t="s">
        <v>84</v>
      </c>
    </row>
    <row r="775" spans="1:25" ht="15" customHeight="1" x14ac:dyDescent="0.3">
      <c r="A775" s="27">
        <v>45895</v>
      </c>
      <c r="B775" s="25">
        <v>27</v>
      </c>
      <c r="C775" s="3" t="s">
        <v>38</v>
      </c>
      <c r="D775" s="3" t="s">
        <v>355</v>
      </c>
      <c r="E775" s="3">
        <v>2</v>
      </c>
      <c r="F775" s="3">
        <v>161</v>
      </c>
      <c r="G775" s="6" t="s">
        <v>274</v>
      </c>
      <c r="H775" s="3" t="s">
        <v>1221</v>
      </c>
      <c r="I775" s="6" t="s">
        <v>483</v>
      </c>
      <c r="J775" s="3">
        <v>2</v>
      </c>
      <c r="K775" s="3">
        <v>2</v>
      </c>
      <c r="L775" s="3">
        <v>18</v>
      </c>
      <c r="M775" s="3">
        <v>6.8</v>
      </c>
      <c r="N775" s="3">
        <v>6.8</v>
      </c>
      <c r="O775" s="3">
        <v>2.2000000000000002</v>
      </c>
      <c r="P775" s="3">
        <v>32</v>
      </c>
      <c r="Q775" s="3">
        <v>180</v>
      </c>
      <c r="R775" s="3"/>
      <c r="S775" s="3"/>
      <c r="T775" s="3"/>
      <c r="U775" s="3"/>
      <c r="V775" s="3"/>
      <c r="W775" s="3"/>
      <c r="X775" s="3" t="s">
        <v>1234</v>
      </c>
      <c r="Y775" s="3" t="s">
        <v>396</v>
      </c>
    </row>
    <row r="776" spans="1:25" ht="15" customHeight="1" x14ac:dyDescent="0.3">
      <c r="A776" s="27">
        <v>45895</v>
      </c>
      <c r="B776" s="25">
        <v>27</v>
      </c>
      <c r="C776" s="3" t="s">
        <v>38</v>
      </c>
      <c r="D776" s="3" t="s">
        <v>355</v>
      </c>
      <c r="E776" s="3">
        <v>2</v>
      </c>
      <c r="F776" s="3">
        <v>162</v>
      </c>
      <c r="G776" s="6" t="s">
        <v>1222</v>
      </c>
      <c r="H776" s="3" t="s">
        <v>1223</v>
      </c>
      <c r="I776" s="6" t="s">
        <v>483</v>
      </c>
      <c r="J776" s="3">
        <v>2</v>
      </c>
      <c r="K776" s="3">
        <v>2</v>
      </c>
      <c r="L776" s="3">
        <v>19.5</v>
      </c>
      <c r="M776" s="3">
        <v>3</v>
      </c>
      <c r="N776" s="3">
        <v>6</v>
      </c>
      <c r="O776" s="3">
        <v>3</v>
      </c>
      <c r="P776" s="3">
        <v>14</v>
      </c>
      <c r="Q776" s="3">
        <v>170</v>
      </c>
      <c r="R776" s="3"/>
      <c r="S776" s="3"/>
      <c r="T776" s="3"/>
      <c r="U776" s="3"/>
      <c r="V776" s="3"/>
      <c r="W776" s="3"/>
      <c r="X776" s="3" t="s">
        <v>288</v>
      </c>
      <c r="Y776" s="3" t="s">
        <v>1108</v>
      </c>
    </row>
    <row r="777" spans="1:25" ht="15" customHeight="1" x14ac:dyDescent="0.3">
      <c r="A777" s="27">
        <v>45895</v>
      </c>
      <c r="B777" s="25">
        <v>27</v>
      </c>
      <c r="C777" s="3" t="s">
        <v>38</v>
      </c>
      <c r="D777" s="3" t="s">
        <v>355</v>
      </c>
      <c r="E777" s="3">
        <v>2</v>
      </c>
      <c r="F777" s="3">
        <v>164</v>
      </c>
      <c r="G777" s="6" t="s">
        <v>11</v>
      </c>
      <c r="H777" s="3" t="s">
        <v>1178</v>
      </c>
      <c r="I777" s="6" t="s">
        <v>483</v>
      </c>
      <c r="J777" s="3">
        <v>2</v>
      </c>
      <c r="K777" s="3">
        <v>2</v>
      </c>
      <c r="L777" s="3">
        <v>22.8</v>
      </c>
      <c r="M777" s="3">
        <v>6.8</v>
      </c>
      <c r="N777" s="3">
        <v>11</v>
      </c>
      <c r="O777" s="3">
        <v>3.4</v>
      </c>
      <c r="P777" s="3"/>
      <c r="Q777" s="3">
        <v>170</v>
      </c>
      <c r="R777" s="3"/>
      <c r="S777" s="3"/>
      <c r="T777" s="3"/>
      <c r="U777" s="3"/>
      <c r="V777" s="3"/>
      <c r="W777" s="3"/>
      <c r="X777" s="3" t="s">
        <v>138</v>
      </c>
      <c r="Y777" s="3" t="s">
        <v>1018</v>
      </c>
    </row>
    <row r="778" spans="1:25" ht="15" customHeight="1" x14ac:dyDescent="0.3">
      <c r="A778" s="27">
        <v>45895</v>
      </c>
      <c r="B778" s="25">
        <v>27</v>
      </c>
      <c r="C778" s="3" t="s">
        <v>38</v>
      </c>
      <c r="D778" s="3" t="s">
        <v>355</v>
      </c>
      <c r="E778" s="3">
        <v>2</v>
      </c>
      <c r="F778" s="3">
        <v>401</v>
      </c>
      <c r="G778" s="6" t="s">
        <v>844</v>
      </c>
      <c r="H778" s="3" t="s">
        <v>1224</v>
      </c>
      <c r="I778" s="6" t="s">
        <v>483</v>
      </c>
      <c r="J778" s="3">
        <v>1</v>
      </c>
      <c r="K778" s="3">
        <v>1</v>
      </c>
      <c r="L778" s="3">
        <v>12.45</v>
      </c>
      <c r="M778" s="3"/>
      <c r="N778" s="3"/>
      <c r="O778" s="3">
        <v>4</v>
      </c>
      <c r="P778" s="3"/>
      <c r="Q778" s="3"/>
      <c r="R778" s="3"/>
      <c r="S778" s="3"/>
      <c r="T778" s="3"/>
      <c r="U778" s="3"/>
      <c r="V778" s="3"/>
      <c r="W778" s="3"/>
      <c r="X778" s="3" t="s">
        <v>1235</v>
      </c>
      <c r="Y778" s="3"/>
    </row>
    <row r="779" spans="1:25" ht="15" customHeight="1" x14ac:dyDescent="0.3">
      <c r="A779" s="27">
        <v>45895</v>
      </c>
      <c r="B779" s="25">
        <v>27</v>
      </c>
      <c r="C779" s="3" t="s">
        <v>38</v>
      </c>
      <c r="D779" s="3" t="s">
        <v>355</v>
      </c>
      <c r="E779" s="3">
        <v>2</v>
      </c>
      <c r="F779" s="3">
        <v>404</v>
      </c>
      <c r="G779" s="6" t="s">
        <v>983</v>
      </c>
      <c r="H779" s="3" t="s">
        <v>984</v>
      </c>
      <c r="I779" s="6" t="s">
        <v>483</v>
      </c>
      <c r="J779" s="3">
        <v>2</v>
      </c>
      <c r="K779" s="3">
        <v>2</v>
      </c>
      <c r="L779" s="3">
        <v>7.4</v>
      </c>
      <c r="M779" s="3"/>
      <c r="N779" s="3"/>
      <c r="O779" s="3">
        <v>2.5</v>
      </c>
      <c r="P779" s="3"/>
      <c r="Q779" s="3"/>
      <c r="R779" s="3"/>
      <c r="S779" s="3"/>
      <c r="T779" s="3"/>
      <c r="U779" s="3"/>
      <c r="V779" s="3"/>
      <c r="W779" s="3"/>
      <c r="X779" s="3" t="s">
        <v>1164</v>
      </c>
      <c r="Y779" s="3"/>
    </row>
    <row r="780" spans="1:25" ht="15" customHeight="1" x14ac:dyDescent="0.3">
      <c r="A780" s="27">
        <v>45895</v>
      </c>
      <c r="B780" s="25">
        <v>27</v>
      </c>
      <c r="C780" s="3" t="s">
        <v>38</v>
      </c>
      <c r="D780" s="3" t="s">
        <v>355</v>
      </c>
      <c r="E780" s="3">
        <v>2</v>
      </c>
      <c r="F780" s="3">
        <v>171</v>
      </c>
      <c r="G780" s="6" t="s">
        <v>1225</v>
      </c>
      <c r="H780" s="3" t="s">
        <v>1226</v>
      </c>
      <c r="I780" s="6" t="s">
        <v>483</v>
      </c>
      <c r="J780" s="3">
        <v>7</v>
      </c>
      <c r="K780" s="3">
        <v>7</v>
      </c>
      <c r="L780" s="3">
        <v>19.760000000000002</v>
      </c>
      <c r="M780" s="3">
        <v>4.0999999999999996</v>
      </c>
      <c r="N780" s="3">
        <v>11.6</v>
      </c>
      <c r="O780" s="3">
        <v>6</v>
      </c>
      <c r="P780" s="3">
        <v>60</v>
      </c>
      <c r="Q780" s="3">
        <v>170</v>
      </c>
      <c r="R780" s="3"/>
      <c r="S780" s="3"/>
      <c r="T780" s="3"/>
      <c r="U780" s="3"/>
      <c r="V780" s="3"/>
      <c r="W780" s="3"/>
      <c r="X780" s="3" t="s">
        <v>901</v>
      </c>
      <c r="Y780" s="3" t="s">
        <v>87</v>
      </c>
    </row>
    <row r="781" spans="1:25" ht="15" customHeight="1" x14ac:dyDescent="0.3">
      <c r="A781" s="27">
        <v>45895</v>
      </c>
      <c r="B781" s="25">
        <v>27</v>
      </c>
      <c r="C781" s="3" t="s">
        <v>38</v>
      </c>
      <c r="D781" s="3" t="s">
        <v>355</v>
      </c>
      <c r="E781" s="3">
        <v>2</v>
      </c>
      <c r="F781" s="3">
        <v>172</v>
      </c>
      <c r="G781" s="6" t="s">
        <v>1227</v>
      </c>
      <c r="H781" s="3" t="s">
        <v>1228</v>
      </c>
      <c r="I781" s="6" t="s">
        <v>483</v>
      </c>
      <c r="J781" s="3">
        <v>4</v>
      </c>
      <c r="K781" s="3">
        <v>4</v>
      </c>
      <c r="L781" s="3">
        <v>16.55</v>
      </c>
      <c r="M781" s="3">
        <v>0.9</v>
      </c>
      <c r="N781" s="3">
        <v>10.9</v>
      </c>
      <c r="O781" s="3">
        <v>9</v>
      </c>
      <c r="P781" s="3" t="s">
        <v>1230</v>
      </c>
      <c r="Q781" s="3">
        <v>160</v>
      </c>
      <c r="R781" s="3"/>
      <c r="S781" s="3"/>
      <c r="T781" s="3"/>
      <c r="U781" s="3"/>
      <c r="V781" s="3"/>
      <c r="W781" s="3"/>
      <c r="X781" s="3" t="s">
        <v>79</v>
      </c>
      <c r="Y781" s="3" t="s">
        <v>84</v>
      </c>
    </row>
    <row r="782" spans="1:25" ht="15" customHeight="1" x14ac:dyDescent="0.3">
      <c r="A782" s="27">
        <v>45895</v>
      </c>
      <c r="B782" s="25">
        <v>27</v>
      </c>
      <c r="C782" s="3" t="s">
        <v>38</v>
      </c>
      <c r="D782" s="3" t="s">
        <v>355</v>
      </c>
      <c r="E782" s="3">
        <v>2</v>
      </c>
      <c r="F782" s="3">
        <v>173</v>
      </c>
      <c r="G782" s="6" t="s">
        <v>1119</v>
      </c>
      <c r="H782" s="3" t="s">
        <v>1120</v>
      </c>
      <c r="I782" s="6" t="s">
        <v>483</v>
      </c>
      <c r="J782" s="3">
        <v>5</v>
      </c>
      <c r="K782" s="3">
        <v>5</v>
      </c>
      <c r="L782" s="3">
        <v>16.239999999999998</v>
      </c>
      <c r="M782" s="3">
        <v>1</v>
      </c>
      <c r="N782" s="3">
        <v>11</v>
      </c>
      <c r="O782" s="3">
        <v>7</v>
      </c>
      <c r="P782" s="3" t="s">
        <v>1209</v>
      </c>
      <c r="Q782" s="3">
        <v>170</v>
      </c>
      <c r="R782" s="3"/>
      <c r="S782" s="3"/>
      <c r="T782" s="3"/>
      <c r="U782" s="3"/>
      <c r="V782" s="3"/>
      <c r="W782" s="3"/>
      <c r="X782" s="3" t="s">
        <v>288</v>
      </c>
      <c r="Y782" s="3" t="s">
        <v>138</v>
      </c>
    </row>
    <row r="783" spans="1:25" ht="15" customHeight="1" x14ac:dyDescent="0.3">
      <c r="A783" s="27">
        <v>45895</v>
      </c>
      <c r="B783" s="25">
        <v>27</v>
      </c>
      <c r="C783" s="3" t="s">
        <v>38</v>
      </c>
      <c r="D783" s="3" t="s">
        <v>355</v>
      </c>
      <c r="E783" s="3">
        <v>2</v>
      </c>
      <c r="F783" s="3">
        <v>176</v>
      </c>
      <c r="G783" s="6" t="s">
        <v>1074</v>
      </c>
      <c r="H783" s="3" t="s">
        <v>1203</v>
      </c>
      <c r="I783" s="6" t="s">
        <v>483</v>
      </c>
      <c r="J783" s="3">
        <v>5</v>
      </c>
      <c r="K783" s="3">
        <v>5</v>
      </c>
      <c r="L783" s="3">
        <v>18.13</v>
      </c>
      <c r="M783" s="3">
        <v>2.5</v>
      </c>
      <c r="N783" s="3">
        <v>12</v>
      </c>
      <c r="O783" s="3">
        <v>7.8</v>
      </c>
      <c r="P783" s="3" t="s">
        <v>1004</v>
      </c>
      <c r="Q783" s="3">
        <v>165</v>
      </c>
      <c r="R783" s="3"/>
      <c r="S783" s="3"/>
      <c r="T783" s="3"/>
      <c r="U783" s="3"/>
      <c r="V783" s="3"/>
      <c r="W783" s="3"/>
      <c r="X783" s="3" t="s">
        <v>253</v>
      </c>
      <c r="Y783" s="3" t="s">
        <v>80</v>
      </c>
    </row>
    <row r="784" spans="1:25" ht="15" customHeight="1" x14ac:dyDescent="0.3">
      <c r="A784" s="27">
        <v>45895</v>
      </c>
      <c r="B784" s="25">
        <v>27</v>
      </c>
      <c r="C784" s="3" t="s">
        <v>38</v>
      </c>
      <c r="D784" s="3" t="s">
        <v>355</v>
      </c>
      <c r="E784" s="3">
        <v>2</v>
      </c>
      <c r="F784" s="3">
        <v>132</v>
      </c>
      <c r="G784" s="6" t="s">
        <v>1204</v>
      </c>
      <c r="H784" s="3" t="s">
        <v>1205</v>
      </c>
      <c r="I784" s="6" t="s">
        <v>483</v>
      </c>
      <c r="J784" s="3">
        <v>3</v>
      </c>
      <c r="K784" s="3">
        <v>3</v>
      </c>
      <c r="L784" s="3">
        <v>22.4</v>
      </c>
      <c r="M784" s="3">
        <v>3.6</v>
      </c>
      <c r="N784" s="3">
        <v>13.2</v>
      </c>
      <c r="O784" s="3">
        <v>8</v>
      </c>
      <c r="P784" s="3"/>
      <c r="Q784" s="3">
        <v>180</v>
      </c>
      <c r="R784" s="3"/>
      <c r="S784" s="3"/>
      <c r="T784" s="3"/>
      <c r="U784" s="3"/>
      <c r="V784" s="3"/>
      <c r="W784" s="3"/>
      <c r="X784" s="3" t="s">
        <v>87</v>
      </c>
      <c r="Y784" s="3" t="s">
        <v>1237</v>
      </c>
    </row>
    <row r="785" spans="1:25" ht="15" customHeight="1" x14ac:dyDescent="0.3">
      <c r="A785" s="27">
        <v>45895</v>
      </c>
      <c r="B785" s="25">
        <v>27</v>
      </c>
      <c r="C785" s="3" t="s">
        <v>38</v>
      </c>
      <c r="D785" s="3" t="s">
        <v>355</v>
      </c>
      <c r="E785" s="3">
        <v>2</v>
      </c>
      <c r="F785" s="3">
        <v>135</v>
      </c>
      <c r="G785" s="6" t="s">
        <v>21</v>
      </c>
      <c r="H785" s="3" t="s">
        <v>991</v>
      </c>
      <c r="I785" s="6" t="s">
        <v>483</v>
      </c>
      <c r="J785" s="3">
        <v>2</v>
      </c>
      <c r="K785" s="3">
        <v>2</v>
      </c>
      <c r="L785" s="3">
        <v>20.77</v>
      </c>
      <c r="M785" s="3">
        <v>6.8</v>
      </c>
      <c r="N785" s="3">
        <v>8.1999999999999993</v>
      </c>
      <c r="O785" s="3">
        <v>5</v>
      </c>
      <c r="P785" s="3"/>
      <c r="Q785" s="3">
        <v>180</v>
      </c>
      <c r="R785" s="3"/>
      <c r="S785" s="3"/>
      <c r="T785" s="3"/>
      <c r="U785" s="3"/>
      <c r="V785" s="3"/>
      <c r="W785" s="3"/>
      <c r="X785" s="3" t="s">
        <v>89</v>
      </c>
      <c r="Y785" s="3" t="s">
        <v>1217</v>
      </c>
    </row>
    <row r="786" spans="1:25" ht="15" customHeight="1" x14ac:dyDescent="0.3">
      <c r="A786" s="27">
        <v>45895</v>
      </c>
      <c r="B786" s="25">
        <v>27</v>
      </c>
      <c r="C786" s="3" t="s">
        <v>38</v>
      </c>
      <c r="D786" s="3" t="s">
        <v>355</v>
      </c>
      <c r="E786" s="3">
        <v>2</v>
      </c>
      <c r="F786" s="3">
        <v>203</v>
      </c>
      <c r="G786" s="6" t="s">
        <v>1153</v>
      </c>
      <c r="H786" s="3" t="s">
        <v>1154</v>
      </c>
      <c r="I786" s="6" t="s">
        <v>111</v>
      </c>
      <c r="J786" s="3">
        <v>4</v>
      </c>
      <c r="K786" s="3">
        <v>4</v>
      </c>
      <c r="L786" s="3">
        <v>26</v>
      </c>
      <c r="M786" s="3">
        <v>14</v>
      </c>
      <c r="N786" s="3">
        <v>3</v>
      </c>
      <c r="O786" s="3"/>
      <c r="P786" s="3"/>
      <c r="Q786" s="3"/>
      <c r="R786" s="3" t="s">
        <v>1231</v>
      </c>
      <c r="S786" s="3" t="s">
        <v>315</v>
      </c>
      <c r="T786" s="3">
        <v>1</v>
      </c>
      <c r="U786" s="3">
        <v>20</v>
      </c>
      <c r="V786" s="3">
        <v>25</v>
      </c>
      <c r="W786" s="3">
        <v>90</v>
      </c>
      <c r="X786" s="3" t="s">
        <v>1236</v>
      </c>
      <c r="Y786" s="3"/>
    </row>
    <row r="787" spans="1:25" ht="15" customHeight="1" x14ac:dyDescent="0.3">
      <c r="A787" s="27">
        <v>45895</v>
      </c>
      <c r="B787" s="25">
        <v>27</v>
      </c>
      <c r="C787" s="3" t="s">
        <v>38</v>
      </c>
      <c r="D787" s="3" t="s">
        <v>355</v>
      </c>
      <c r="E787" s="3">
        <v>2</v>
      </c>
      <c r="F787" s="3">
        <v>205</v>
      </c>
      <c r="G787" s="6" t="s">
        <v>235</v>
      </c>
      <c r="H787" s="3" t="s">
        <v>1155</v>
      </c>
      <c r="I787" s="6" t="s">
        <v>111</v>
      </c>
      <c r="J787" s="3">
        <v>4</v>
      </c>
      <c r="K787" s="23">
        <v>3</v>
      </c>
      <c r="L787" s="3">
        <v>20.2</v>
      </c>
      <c r="M787" s="3">
        <v>8</v>
      </c>
      <c r="N787" s="3">
        <v>2</v>
      </c>
      <c r="O787" s="3"/>
      <c r="P787" s="3"/>
      <c r="Q787" s="3"/>
      <c r="R787" s="3" t="s">
        <v>1232</v>
      </c>
      <c r="S787" s="3" t="s">
        <v>1034</v>
      </c>
      <c r="T787" s="3">
        <v>1</v>
      </c>
      <c r="U787" s="3">
        <v>5</v>
      </c>
      <c r="V787" s="3">
        <v>10</v>
      </c>
      <c r="W787" s="3">
        <v>140</v>
      </c>
      <c r="X787" s="3" t="s">
        <v>349</v>
      </c>
      <c r="Y787" s="3"/>
    </row>
    <row r="788" spans="1:25" ht="15" customHeight="1" x14ac:dyDescent="0.3">
      <c r="A788" s="27">
        <v>45895</v>
      </c>
      <c r="B788" s="25">
        <v>27</v>
      </c>
      <c r="C788" s="3" t="s">
        <v>38</v>
      </c>
      <c r="D788" s="3" t="s">
        <v>355</v>
      </c>
      <c r="E788" s="3">
        <v>2</v>
      </c>
      <c r="F788" s="3">
        <v>207</v>
      </c>
      <c r="G788" s="6" t="s">
        <v>476</v>
      </c>
      <c r="H788" s="3" t="s">
        <v>1156</v>
      </c>
      <c r="I788" s="6" t="s">
        <v>111</v>
      </c>
      <c r="J788" s="3">
        <v>12</v>
      </c>
      <c r="K788" s="23">
        <v>7</v>
      </c>
      <c r="L788" s="3">
        <v>34.07</v>
      </c>
      <c r="M788" s="3">
        <v>15</v>
      </c>
      <c r="N788" s="3">
        <v>3.1</v>
      </c>
      <c r="O788" s="3"/>
      <c r="P788" s="3"/>
      <c r="Q788" s="3"/>
      <c r="R788" s="3" t="s">
        <v>726</v>
      </c>
      <c r="S788" s="3" t="s">
        <v>244</v>
      </c>
      <c r="T788" s="3">
        <v>2.5</v>
      </c>
      <c r="U788" s="3">
        <v>20</v>
      </c>
      <c r="V788" s="3">
        <v>30</v>
      </c>
      <c r="W788" s="3">
        <v>140</v>
      </c>
      <c r="X788" s="3" t="s">
        <v>1138</v>
      </c>
      <c r="Y788" s="3" t="s">
        <v>1200</v>
      </c>
    </row>
    <row r="789" spans="1:25" ht="15" customHeight="1" x14ac:dyDescent="0.3">
      <c r="A789" s="27">
        <v>45895</v>
      </c>
      <c r="B789" s="25">
        <v>27</v>
      </c>
      <c r="C789" s="3" t="s">
        <v>38</v>
      </c>
      <c r="D789" s="3" t="s">
        <v>355</v>
      </c>
      <c r="E789" s="3">
        <v>2</v>
      </c>
      <c r="F789" s="3">
        <v>208</v>
      </c>
      <c r="G789" s="6" t="s">
        <v>996</v>
      </c>
      <c r="H789" s="3" t="s">
        <v>1208</v>
      </c>
      <c r="I789" s="6" t="s">
        <v>111</v>
      </c>
      <c r="J789" s="3">
        <v>4</v>
      </c>
      <c r="K789" s="23">
        <v>3</v>
      </c>
      <c r="L789" s="3">
        <v>24.74</v>
      </c>
      <c r="M789" s="3">
        <v>11</v>
      </c>
      <c r="N789" s="3">
        <v>3.4</v>
      </c>
      <c r="O789" s="3"/>
      <c r="P789" s="3"/>
      <c r="Q789" s="3"/>
      <c r="R789" s="3" t="s">
        <v>726</v>
      </c>
      <c r="S789" s="3" t="s">
        <v>284</v>
      </c>
      <c r="T789" s="3">
        <v>2</v>
      </c>
      <c r="U789" s="3">
        <v>15</v>
      </c>
      <c r="V789" s="3">
        <v>20</v>
      </c>
      <c r="W789" s="3">
        <v>140</v>
      </c>
      <c r="X789" s="3" t="s">
        <v>1197</v>
      </c>
      <c r="Y789" s="3" t="s">
        <v>1238</v>
      </c>
    </row>
    <row r="790" spans="1:25" ht="15" customHeight="1" x14ac:dyDescent="0.3">
      <c r="A790" s="27">
        <v>45895</v>
      </c>
      <c r="B790" s="25">
        <v>27</v>
      </c>
      <c r="C790" s="3" t="s">
        <v>38</v>
      </c>
      <c r="D790" s="3" t="s">
        <v>355</v>
      </c>
      <c r="E790" s="3">
        <v>2</v>
      </c>
      <c r="F790" s="3">
        <v>209</v>
      </c>
      <c r="G790" s="6" t="s">
        <v>1186</v>
      </c>
      <c r="H790" s="3" t="s">
        <v>1187</v>
      </c>
      <c r="I790" s="6" t="s">
        <v>111</v>
      </c>
      <c r="J790" s="3">
        <v>12</v>
      </c>
      <c r="K790" s="23">
        <v>9</v>
      </c>
      <c r="L790" s="3">
        <v>27.7</v>
      </c>
      <c r="M790" s="3">
        <v>10</v>
      </c>
      <c r="N790" s="3">
        <v>3</v>
      </c>
      <c r="O790" s="3"/>
      <c r="P790" s="3"/>
      <c r="Q790" s="3"/>
      <c r="R790" s="3" t="s">
        <v>1233</v>
      </c>
      <c r="S790" s="3" t="s">
        <v>1101</v>
      </c>
      <c r="T790" s="3">
        <v>3</v>
      </c>
      <c r="U790" s="3">
        <v>33</v>
      </c>
      <c r="V790" s="3">
        <v>40</v>
      </c>
      <c r="W790" s="3">
        <v>95</v>
      </c>
      <c r="X790" s="3" t="s">
        <v>705</v>
      </c>
      <c r="Y790" s="3" t="s">
        <v>1239</v>
      </c>
    </row>
    <row r="791" spans="1:25" ht="15" customHeight="1" x14ac:dyDescent="0.3">
      <c r="A791" s="27">
        <v>45895</v>
      </c>
      <c r="B791" s="25">
        <v>27</v>
      </c>
      <c r="C791" s="3" t="s">
        <v>38</v>
      </c>
      <c r="D791" s="3" t="s">
        <v>355</v>
      </c>
      <c r="E791" s="3">
        <v>2</v>
      </c>
      <c r="F791" s="3">
        <v>210</v>
      </c>
      <c r="G791" s="6" t="s">
        <v>412</v>
      </c>
      <c r="H791" s="3" t="s">
        <v>1229</v>
      </c>
      <c r="I791" s="6" t="s">
        <v>111</v>
      </c>
      <c r="J791" s="3">
        <v>4</v>
      </c>
      <c r="K791" s="3">
        <v>4</v>
      </c>
      <c r="L791" s="3">
        <v>22</v>
      </c>
      <c r="M791" s="3">
        <v>8</v>
      </c>
      <c r="N791" s="3">
        <v>4</v>
      </c>
      <c r="O791" s="3"/>
      <c r="P791" s="3"/>
      <c r="Q791" s="3"/>
      <c r="R791" s="3" t="s">
        <v>867</v>
      </c>
      <c r="S791" s="3" t="s">
        <v>421</v>
      </c>
      <c r="T791" s="3">
        <v>1</v>
      </c>
      <c r="U791" s="3">
        <v>20</v>
      </c>
      <c r="V791" s="3">
        <v>30</v>
      </c>
      <c r="W791" s="3">
        <v>100</v>
      </c>
      <c r="X791" s="3" t="s">
        <v>1198</v>
      </c>
      <c r="Y791" s="3" t="s">
        <v>1240</v>
      </c>
    </row>
    <row r="792" spans="1:25" ht="15" customHeight="1" x14ac:dyDescent="0.3">
      <c r="A792" s="27">
        <v>45895</v>
      </c>
      <c r="B792" s="25">
        <v>27</v>
      </c>
      <c r="C792" s="3" t="s">
        <v>38</v>
      </c>
      <c r="D792" s="3" t="s">
        <v>355</v>
      </c>
      <c r="E792" s="3">
        <v>2</v>
      </c>
      <c r="F792" s="3">
        <v>301</v>
      </c>
      <c r="G792" s="6" t="s">
        <v>30</v>
      </c>
      <c r="H792" s="3" t="s">
        <v>194</v>
      </c>
      <c r="I792" s="6" t="s">
        <v>793</v>
      </c>
      <c r="J792" s="3">
        <v>8</v>
      </c>
      <c r="K792" s="23">
        <v>5</v>
      </c>
      <c r="L792" s="3">
        <v>23.5</v>
      </c>
      <c r="M792" s="3">
        <v>5</v>
      </c>
      <c r="N792" s="3">
        <v>5.5</v>
      </c>
      <c r="O792" s="3"/>
      <c r="P792" s="3"/>
      <c r="Q792" s="3"/>
      <c r="R792" s="3" t="s">
        <v>894</v>
      </c>
      <c r="S792" s="3" t="s">
        <v>1036</v>
      </c>
      <c r="T792" s="3">
        <v>1.5</v>
      </c>
      <c r="U792" s="3">
        <v>25</v>
      </c>
      <c r="V792" s="3">
        <v>35</v>
      </c>
      <c r="W792" s="3">
        <v>130</v>
      </c>
      <c r="X792" s="3" t="s">
        <v>253</v>
      </c>
      <c r="Y792" s="3" t="s">
        <v>1241</v>
      </c>
    </row>
    <row r="793" spans="1:25" ht="15" customHeight="1" x14ac:dyDescent="0.3">
      <c r="A793" s="27">
        <v>45895</v>
      </c>
      <c r="B793" s="25">
        <v>27</v>
      </c>
      <c r="C793" s="3" t="s">
        <v>38</v>
      </c>
      <c r="D793" s="3" t="s">
        <v>355</v>
      </c>
      <c r="E793" s="3">
        <v>2</v>
      </c>
      <c r="F793" s="3">
        <v>502</v>
      </c>
      <c r="G793" s="6" t="s">
        <v>889</v>
      </c>
      <c r="H793" s="3" t="s">
        <v>890</v>
      </c>
      <c r="I793" s="6" t="s">
        <v>110</v>
      </c>
      <c r="J793" s="3">
        <v>4</v>
      </c>
      <c r="K793" s="3">
        <v>4</v>
      </c>
      <c r="L793" s="3">
        <v>17.62</v>
      </c>
      <c r="M793" s="3"/>
      <c r="N793" s="3"/>
      <c r="O793" s="3">
        <v>10.5</v>
      </c>
      <c r="P793" s="3"/>
      <c r="Q793" s="3"/>
      <c r="R793" s="3"/>
      <c r="S793" s="3"/>
      <c r="T793" s="3"/>
      <c r="U793" s="3"/>
      <c r="V793" s="3"/>
      <c r="W793" s="3">
        <v>350</v>
      </c>
      <c r="X793" s="3" t="s">
        <v>1216</v>
      </c>
      <c r="Y793" s="3"/>
    </row>
    <row r="794" spans="1:25" ht="15" customHeight="1" x14ac:dyDescent="0.3">
      <c r="A794" s="5">
        <v>45896</v>
      </c>
      <c r="B794" s="25">
        <v>29</v>
      </c>
      <c r="C794" s="3" t="s">
        <v>38</v>
      </c>
      <c r="D794" s="3" t="s">
        <v>355</v>
      </c>
      <c r="E794" s="3">
        <v>2</v>
      </c>
      <c r="F794" s="3">
        <v>101</v>
      </c>
      <c r="G794" s="6" t="s">
        <v>6</v>
      </c>
      <c r="H794" s="3" t="s">
        <v>1242</v>
      </c>
      <c r="I794" s="6" t="s">
        <v>793</v>
      </c>
      <c r="J794" s="3">
        <v>4</v>
      </c>
      <c r="K794" s="3">
        <v>4</v>
      </c>
      <c r="L794" s="3">
        <v>12.82</v>
      </c>
      <c r="M794" s="3">
        <v>3.2</v>
      </c>
      <c r="N794" s="3">
        <v>6.8</v>
      </c>
      <c r="O794" s="3">
        <v>4</v>
      </c>
      <c r="P794" s="3"/>
      <c r="Q794" s="3">
        <v>170</v>
      </c>
      <c r="R794" s="3"/>
      <c r="S794" s="3"/>
      <c r="T794" s="3"/>
      <c r="U794" s="3"/>
      <c r="V794" s="3"/>
      <c r="W794" s="3"/>
      <c r="X794" s="3" t="s">
        <v>138</v>
      </c>
      <c r="Y794" s="3" t="s">
        <v>1271</v>
      </c>
    </row>
    <row r="795" spans="1:25" ht="15" customHeight="1" x14ac:dyDescent="0.3">
      <c r="A795" s="5">
        <v>45896</v>
      </c>
      <c r="B795" s="25">
        <v>29</v>
      </c>
      <c r="C795" s="3" t="s">
        <v>38</v>
      </c>
      <c r="D795" s="3" t="s">
        <v>355</v>
      </c>
      <c r="E795" s="3">
        <v>2</v>
      </c>
      <c r="F795" s="3">
        <v>103</v>
      </c>
      <c r="G795" s="6" t="s">
        <v>163</v>
      </c>
      <c r="H795" s="3" t="s">
        <v>928</v>
      </c>
      <c r="I795" s="6" t="s">
        <v>793</v>
      </c>
      <c r="J795" s="3">
        <v>5</v>
      </c>
      <c r="K795" s="3">
        <v>5</v>
      </c>
      <c r="L795" s="3">
        <v>14.8</v>
      </c>
      <c r="M795" s="3">
        <v>3.7</v>
      </c>
      <c r="N795" s="3">
        <v>6.8</v>
      </c>
      <c r="O795" s="3">
        <v>6.5</v>
      </c>
      <c r="P795" s="3">
        <v>25</v>
      </c>
      <c r="Q795" s="3">
        <v>165</v>
      </c>
      <c r="R795" s="3"/>
      <c r="S795" s="3"/>
      <c r="T795" s="3"/>
      <c r="U795" s="3"/>
      <c r="V795" s="3"/>
      <c r="W795" s="3"/>
      <c r="X795" s="3" t="s">
        <v>79</v>
      </c>
      <c r="Y795" s="3" t="s">
        <v>254</v>
      </c>
    </row>
    <row r="796" spans="1:25" ht="15" customHeight="1" x14ac:dyDescent="0.3">
      <c r="A796" s="5">
        <v>45896</v>
      </c>
      <c r="B796" s="25">
        <v>29</v>
      </c>
      <c r="C796" s="3" t="s">
        <v>38</v>
      </c>
      <c r="D796" s="3" t="s">
        <v>355</v>
      </c>
      <c r="E796" s="3">
        <v>2</v>
      </c>
      <c r="F796" s="3">
        <v>104</v>
      </c>
      <c r="G796" s="6" t="s">
        <v>169</v>
      </c>
      <c r="H796" s="3" t="s">
        <v>1177</v>
      </c>
      <c r="I796" s="6" t="s">
        <v>793</v>
      </c>
      <c r="J796" s="3">
        <v>9</v>
      </c>
      <c r="K796" s="3">
        <v>9</v>
      </c>
      <c r="L796" s="3">
        <v>12.72</v>
      </c>
      <c r="M796" s="3">
        <v>2.8</v>
      </c>
      <c r="N796" s="3">
        <v>5.7</v>
      </c>
      <c r="O796" s="3">
        <v>5</v>
      </c>
      <c r="P796" s="3"/>
      <c r="Q796" s="3">
        <v>170</v>
      </c>
      <c r="R796" s="3"/>
      <c r="S796" s="3"/>
      <c r="T796" s="3"/>
      <c r="U796" s="3"/>
      <c r="V796" s="3"/>
      <c r="W796" s="3"/>
      <c r="X796" s="3" t="s">
        <v>251</v>
      </c>
      <c r="Y796" s="3" t="s">
        <v>84</v>
      </c>
    </row>
    <row r="797" spans="1:25" ht="15" customHeight="1" x14ac:dyDescent="0.3">
      <c r="A797" s="5">
        <v>45896</v>
      </c>
      <c r="B797" s="25">
        <v>29</v>
      </c>
      <c r="C797" s="3" t="s">
        <v>38</v>
      </c>
      <c r="D797" s="3" t="s">
        <v>355</v>
      </c>
      <c r="E797" s="3">
        <v>2</v>
      </c>
      <c r="F797" s="3">
        <v>162</v>
      </c>
      <c r="G797" s="6" t="s">
        <v>1222</v>
      </c>
      <c r="H797" s="3" t="s">
        <v>1223</v>
      </c>
      <c r="I797" s="6" t="s">
        <v>483</v>
      </c>
      <c r="J797" s="3">
        <v>2</v>
      </c>
      <c r="K797" s="3">
        <v>2</v>
      </c>
      <c r="L797" s="3">
        <v>19.5</v>
      </c>
      <c r="M797" s="3">
        <v>3</v>
      </c>
      <c r="N797" s="3">
        <v>6</v>
      </c>
      <c r="O797" s="3">
        <v>3</v>
      </c>
      <c r="P797" s="3">
        <v>14</v>
      </c>
      <c r="Q797" s="3">
        <v>170</v>
      </c>
      <c r="R797" s="3"/>
      <c r="S797" s="3"/>
      <c r="T797" s="3"/>
      <c r="U797" s="3"/>
      <c r="V797" s="3"/>
      <c r="W797" s="3"/>
      <c r="X797" s="3" t="s">
        <v>288</v>
      </c>
      <c r="Y797" s="3" t="s">
        <v>1108</v>
      </c>
    </row>
    <row r="798" spans="1:25" ht="15" customHeight="1" x14ac:dyDescent="0.3">
      <c r="A798" s="5">
        <v>45896</v>
      </c>
      <c r="B798" s="25">
        <v>29</v>
      </c>
      <c r="C798" s="3" t="s">
        <v>38</v>
      </c>
      <c r="D798" s="3" t="s">
        <v>355</v>
      </c>
      <c r="E798" s="3">
        <v>2</v>
      </c>
      <c r="F798" s="3">
        <v>163</v>
      </c>
      <c r="G798" s="6" t="s">
        <v>1243</v>
      </c>
      <c r="H798" s="3" t="s">
        <v>1244</v>
      </c>
      <c r="I798" s="6" t="s">
        <v>483</v>
      </c>
      <c r="J798" s="3">
        <v>2</v>
      </c>
      <c r="K798" s="3">
        <v>2</v>
      </c>
      <c r="L798" s="3">
        <v>22.49</v>
      </c>
      <c r="M798" s="3">
        <v>5</v>
      </c>
      <c r="N798" s="3">
        <v>9</v>
      </c>
      <c r="O798" s="3">
        <v>3</v>
      </c>
      <c r="P798" s="3">
        <v>34</v>
      </c>
      <c r="Q798" s="3">
        <v>180</v>
      </c>
      <c r="R798" s="3"/>
      <c r="S798" s="3"/>
      <c r="T798" s="3"/>
      <c r="U798" s="3"/>
      <c r="V798" s="3"/>
      <c r="W798" s="3"/>
      <c r="X798" s="3" t="s">
        <v>138</v>
      </c>
      <c r="Y798" s="3" t="s">
        <v>396</v>
      </c>
    </row>
    <row r="799" spans="1:25" ht="15" customHeight="1" x14ac:dyDescent="0.3">
      <c r="A799" s="5">
        <v>45896</v>
      </c>
      <c r="B799" s="25">
        <v>29</v>
      </c>
      <c r="C799" s="3" t="s">
        <v>38</v>
      </c>
      <c r="D799" s="3" t="s">
        <v>355</v>
      </c>
      <c r="E799" s="3">
        <v>2</v>
      </c>
      <c r="F799" s="3">
        <v>164</v>
      </c>
      <c r="G799" s="6" t="s">
        <v>11</v>
      </c>
      <c r="H799" s="3" t="s">
        <v>1178</v>
      </c>
      <c r="I799" s="6" t="s">
        <v>483</v>
      </c>
      <c r="J799" s="3">
        <v>2</v>
      </c>
      <c r="K799" s="3">
        <v>2</v>
      </c>
      <c r="L799" s="3">
        <v>22.8</v>
      </c>
      <c r="M799" s="3">
        <v>6.8</v>
      </c>
      <c r="N799" s="3">
        <v>11</v>
      </c>
      <c r="O799" s="3">
        <v>3.4</v>
      </c>
      <c r="P799" s="3"/>
      <c r="Q799" s="3">
        <v>170</v>
      </c>
      <c r="R799" s="3"/>
      <c r="S799" s="3"/>
      <c r="T799" s="3"/>
      <c r="U799" s="3"/>
      <c r="V799" s="3"/>
      <c r="W799" s="3"/>
      <c r="X799" s="3" t="s">
        <v>138</v>
      </c>
      <c r="Y799" s="3" t="s">
        <v>1018</v>
      </c>
    </row>
    <row r="800" spans="1:25" ht="15" customHeight="1" x14ac:dyDescent="0.3">
      <c r="A800" s="5">
        <v>45896</v>
      </c>
      <c r="B800" s="25">
        <v>29</v>
      </c>
      <c r="C800" s="3" t="s">
        <v>38</v>
      </c>
      <c r="D800" s="3" t="s">
        <v>355</v>
      </c>
      <c r="E800" s="3">
        <v>2</v>
      </c>
      <c r="F800" s="3">
        <v>181</v>
      </c>
      <c r="G800" s="6" t="s">
        <v>1245</v>
      </c>
      <c r="H800" s="3" t="s">
        <v>1246</v>
      </c>
      <c r="I800" s="6" t="s">
        <v>483</v>
      </c>
      <c r="J800" s="3">
        <v>4</v>
      </c>
      <c r="K800" s="3">
        <v>4</v>
      </c>
      <c r="L800" s="3">
        <v>14.3</v>
      </c>
      <c r="M800" s="3">
        <v>4</v>
      </c>
      <c r="N800" s="3">
        <v>6</v>
      </c>
      <c r="O800" s="3">
        <v>2.8</v>
      </c>
      <c r="P800" s="3">
        <v>28</v>
      </c>
      <c r="Q800" s="3">
        <v>180</v>
      </c>
      <c r="R800" s="3"/>
      <c r="S800" s="3"/>
      <c r="T800" s="3"/>
      <c r="U800" s="3"/>
      <c r="V800" s="3"/>
      <c r="W800" s="3"/>
      <c r="X800" s="3" t="s">
        <v>686</v>
      </c>
      <c r="Y800" s="3" t="s">
        <v>153</v>
      </c>
    </row>
    <row r="801" spans="1:25" ht="15" customHeight="1" x14ac:dyDescent="0.3">
      <c r="A801" s="5">
        <v>45896</v>
      </c>
      <c r="B801" s="25">
        <v>29</v>
      </c>
      <c r="C801" s="3" t="s">
        <v>38</v>
      </c>
      <c r="D801" s="3" t="s">
        <v>355</v>
      </c>
      <c r="E801" s="3">
        <v>2</v>
      </c>
      <c r="F801" s="3">
        <v>182</v>
      </c>
      <c r="G801" s="6" t="s">
        <v>1247</v>
      </c>
      <c r="H801" s="3" t="s">
        <v>1248</v>
      </c>
      <c r="I801" s="6" t="s">
        <v>483</v>
      </c>
      <c r="J801" s="3">
        <v>4</v>
      </c>
      <c r="K801" s="3">
        <v>4</v>
      </c>
      <c r="L801" s="3">
        <v>14</v>
      </c>
      <c r="M801" s="3">
        <v>3</v>
      </c>
      <c r="N801" s="3">
        <v>6</v>
      </c>
      <c r="O801" s="3">
        <v>3</v>
      </c>
      <c r="P801" s="3"/>
      <c r="Q801" s="3">
        <v>170</v>
      </c>
      <c r="R801" s="3"/>
      <c r="S801" s="3"/>
      <c r="T801" s="3"/>
      <c r="U801" s="3"/>
      <c r="V801" s="3"/>
      <c r="W801" s="3"/>
      <c r="X801" s="3" t="s">
        <v>82</v>
      </c>
      <c r="Y801" s="3" t="s">
        <v>396</v>
      </c>
    </row>
    <row r="802" spans="1:25" ht="15" customHeight="1" x14ac:dyDescent="0.3">
      <c r="A802" s="5">
        <v>45896</v>
      </c>
      <c r="B802" s="25">
        <v>29</v>
      </c>
      <c r="C802" s="3" t="s">
        <v>38</v>
      </c>
      <c r="D802" s="3" t="s">
        <v>355</v>
      </c>
      <c r="E802" s="3">
        <v>2</v>
      </c>
      <c r="F802" s="3">
        <v>171</v>
      </c>
      <c r="G802" s="6" t="s">
        <v>1225</v>
      </c>
      <c r="H802" s="3" t="s">
        <v>1226</v>
      </c>
      <c r="I802" s="6" t="s">
        <v>483</v>
      </c>
      <c r="J802" s="3">
        <v>7</v>
      </c>
      <c r="K802" s="3">
        <v>7</v>
      </c>
      <c r="L802" s="3">
        <v>19.8</v>
      </c>
      <c r="M802" s="3">
        <v>4.0999999999999996</v>
      </c>
      <c r="N802" s="3">
        <v>11</v>
      </c>
      <c r="O802" s="3">
        <v>6</v>
      </c>
      <c r="P802" s="3">
        <v>60</v>
      </c>
      <c r="Q802" s="3">
        <v>170</v>
      </c>
      <c r="R802" s="3"/>
      <c r="S802" s="3"/>
      <c r="T802" s="3"/>
      <c r="U802" s="3"/>
      <c r="V802" s="3"/>
      <c r="W802" s="3"/>
      <c r="X802" s="3" t="s">
        <v>901</v>
      </c>
      <c r="Y802" s="3" t="s">
        <v>87</v>
      </c>
    </row>
    <row r="803" spans="1:25" ht="15" customHeight="1" x14ac:dyDescent="0.3">
      <c r="A803" s="5">
        <v>45896</v>
      </c>
      <c r="B803" s="25">
        <v>29</v>
      </c>
      <c r="C803" s="3" t="s">
        <v>38</v>
      </c>
      <c r="D803" s="3" t="s">
        <v>355</v>
      </c>
      <c r="E803" s="3">
        <v>2</v>
      </c>
      <c r="F803" s="3">
        <v>173</v>
      </c>
      <c r="G803" s="6" t="s">
        <v>1119</v>
      </c>
      <c r="H803" s="3" t="s">
        <v>1120</v>
      </c>
      <c r="I803" s="6" t="s">
        <v>483</v>
      </c>
      <c r="J803" s="3">
        <v>5</v>
      </c>
      <c r="K803" s="3">
        <v>5</v>
      </c>
      <c r="L803" s="3">
        <v>16.27</v>
      </c>
      <c r="M803" s="3">
        <v>1</v>
      </c>
      <c r="N803" s="3">
        <v>11</v>
      </c>
      <c r="O803" s="3">
        <v>7</v>
      </c>
      <c r="P803" s="3"/>
      <c r="Q803" s="3">
        <v>170</v>
      </c>
      <c r="R803" s="3"/>
      <c r="S803" s="3"/>
      <c r="T803" s="3"/>
      <c r="U803" s="3"/>
      <c r="V803" s="3"/>
      <c r="W803" s="3"/>
      <c r="X803" s="3" t="s">
        <v>288</v>
      </c>
      <c r="Y803" s="3" t="s">
        <v>1272</v>
      </c>
    </row>
    <row r="804" spans="1:25" ht="15" customHeight="1" x14ac:dyDescent="0.3">
      <c r="A804" s="5">
        <v>45896</v>
      </c>
      <c r="B804" s="25">
        <v>29</v>
      </c>
      <c r="C804" s="3" t="s">
        <v>38</v>
      </c>
      <c r="D804" s="3" t="s">
        <v>355</v>
      </c>
      <c r="E804" s="3">
        <v>2</v>
      </c>
      <c r="F804" s="3">
        <v>175</v>
      </c>
      <c r="G804" s="6" t="s">
        <v>1249</v>
      </c>
      <c r="H804" s="3" t="s">
        <v>1250</v>
      </c>
      <c r="I804" s="6" t="s">
        <v>483</v>
      </c>
      <c r="J804" s="3">
        <v>5</v>
      </c>
      <c r="K804" s="3">
        <v>5</v>
      </c>
      <c r="L804" s="3">
        <v>12.76</v>
      </c>
      <c r="M804" s="3">
        <v>0.25</v>
      </c>
      <c r="N804" s="3">
        <v>7</v>
      </c>
      <c r="O804" s="3">
        <v>6</v>
      </c>
      <c r="P804" s="3" t="s">
        <v>1262</v>
      </c>
      <c r="Q804" s="3">
        <v>165</v>
      </c>
      <c r="R804" s="3"/>
      <c r="S804" s="3"/>
      <c r="T804" s="3"/>
      <c r="U804" s="3"/>
      <c r="V804" s="3"/>
      <c r="W804" s="3"/>
      <c r="X804" s="3" t="s">
        <v>79</v>
      </c>
      <c r="Y804" s="3" t="s">
        <v>84</v>
      </c>
    </row>
    <row r="805" spans="1:25" ht="15" customHeight="1" x14ac:dyDescent="0.3">
      <c r="A805" s="5">
        <v>45896</v>
      </c>
      <c r="B805" s="25">
        <v>29</v>
      </c>
      <c r="C805" s="3" t="s">
        <v>38</v>
      </c>
      <c r="D805" s="3" t="s">
        <v>355</v>
      </c>
      <c r="E805" s="3">
        <v>2</v>
      </c>
      <c r="F805" s="3">
        <v>176</v>
      </c>
      <c r="G805" s="6" t="s">
        <v>1074</v>
      </c>
      <c r="H805" s="3" t="s">
        <v>1203</v>
      </c>
      <c r="I805" s="6" t="s">
        <v>483</v>
      </c>
      <c r="J805" s="3">
        <v>5</v>
      </c>
      <c r="K805" s="3">
        <v>5</v>
      </c>
      <c r="L805" s="3">
        <v>18.14</v>
      </c>
      <c r="M805" s="3">
        <v>2.5</v>
      </c>
      <c r="N805" s="3">
        <v>12</v>
      </c>
      <c r="O805" s="3">
        <v>7.8</v>
      </c>
      <c r="P805" s="3" t="s">
        <v>1004</v>
      </c>
      <c r="Q805" s="3">
        <v>165</v>
      </c>
      <c r="R805" s="3"/>
      <c r="S805" s="3"/>
      <c r="T805" s="3"/>
      <c r="U805" s="3"/>
      <c r="V805" s="3"/>
      <c r="W805" s="3"/>
      <c r="X805" s="3" t="s">
        <v>253</v>
      </c>
      <c r="Y805" s="3" t="s">
        <v>80</v>
      </c>
    </row>
    <row r="806" spans="1:25" ht="15" customHeight="1" x14ac:dyDescent="0.3">
      <c r="A806" s="5">
        <v>45896</v>
      </c>
      <c r="B806" s="25">
        <v>29</v>
      </c>
      <c r="C806" s="3" t="s">
        <v>38</v>
      </c>
      <c r="D806" s="3" t="s">
        <v>355</v>
      </c>
      <c r="E806" s="3">
        <v>2</v>
      </c>
      <c r="F806" s="3">
        <v>131</v>
      </c>
      <c r="G806" s="6" t="s">
        <v>1251</v>
      </c>
      <c r="H806" s="3" t="s">
        <v>1252</v>
      </c>
      <c r="I806" s="6" t="s">
        <v>483</v>
      </c>
      <c r="J806" s="3">
        <v>3</v>
      </c>
      <c r="K806" s="3">
        <v>3</v>
      </c>
      <c r="L806" s="3">
        <v>17.649999999999999</v>
      </c>
      <c r="M806" s="3">
        <v>4.5</v>
      </c>
      <c r="N806" s="3">
        <v>7.9</v>
      </c>
      <c r="O806" s="3">
        <v>6</v>
      </c>
      <c r="P806" s="3"/>
      <c r="Q806" s="3">
        <v>175</v>
      </c>
      <c r="R806" s="3"/>
      <c r="S806" s="3"/>
      <c r="T806" s="3"/>
      <c r="U806" s="3"/>
      <c r="V806" s="3"/>
      <c r="W806" s="3"/>
      <c r="X806" s="3" t="s">
        <v>398</v>
      </c>
      <c r="Y806" s="3" t="s">
        <v>1273</v>
      </c>
    </row>
    <row r="807" spans="1:25" ht="15" customHeight="1" x14ac:dyDescent="0.3">
      <c r="A807" s="5">
        <v>45896</v>
      </c>
      <c r="B807" s="25">
        <v>29</v>
      </c>
      <c r="C807" s="3" t="s">
        <v>38</v>
      </c>
      <c r="D807" s="3" t="s">
        <v>355</v>
      </c>
      <c r="E807" s="3">
        <v>2</v>
      </c>
      <c r="F807" s="3">
        <v>132</v>
      </c>
      <c r="G807" s="6" t="s">
        <v>781</v>
      </c>
      <c r="H807" s="3" t="s">
        <v>1253</v>
      </c>
      <c r="I807" s="6" t="s">
        <v>483</v>
      </c>
      <c r="J807" s="3">
        <v>3</v>
      </c>
      <c r="K807" s="3">
        <v>3</v>
      </c>
      <c r="L807" s="3">
        <v>21.73</v>
      </c>
      <c r="M807" s="3">
        <v>4.2</v>
      </c>
      <c r="N807" s="3">
        <v>12</v>
      </c>
      <c r="O807" s="3">
        <v>5.5</v>
      </c>
      <c r="P807" s="3"/>
      <c r="Q807" s="3">
        <v>175</v>
      </c>
      <c r="R807" s="3"/>
      <c r="S807" s="3"/>
      <c r="T807" s="3"/>
      <c r="U807" s="3"/>
      <c r="V807" s="3"/>
      <c r="W807" s="3"/>
      <c r="X807" s="3" t="s">
        <v>87</v>
      </c>
      <c r="Y807" s="3" t="s">
        <v>924</v>
      </c>
    </row>
    <row r="808" spans="1:25" ht="15" customHeight="1" x14ac:dyDescent="0.3">
      <c r="A808" s="5">
        <v>45896</v>
      </c>
      <c r="B808" s="25">
        <v>29</v>
      </c>
      <c r="C808" s="3" t="s">
        <v>38</v>
      </c>
      <c r="D808" s="3" t="s">
        <v>355</v>
      </c>
      <c r="E808" s="3">
        <v>2</v>
      </c>
      <c r="F808" s="3">
        <v>135</v>
      </c>
      <c r="G808" s="6" t="s">
        <v>1254</v>
      </c>
      <c r="H808" s="3" t="s">
        <v>1255</v>
      </c>
      <c r="I808" s="6" t="s">
        <v>483</v>
      </c>
      <c r="J808" s="3">
        <v>2</v>
      </c>
      <c r="K808" s="3">
        <v>2</v>
      </c>
      <c r="L808" s="3">
        <v>18.18</v>
      </c>
      <c r="M808" s="3">
        <v>4</v>
      </c>
      <c r="N808" s="3">
        <v>8</v>
      </c>
      <c r="O808" s="3">
        <v>5</v>
      </c>
      <c r="P808" s="3"/>
      <c r="Q808" s="3">
        <v>180</v>
      </c>
      <c r="R808" s="3"/>
      <c r="S808" s="3"/>
      <c r="T808" s="3"/>
      <c r="U808" s="3"/>
      <c r="V808" s="3"/>
      <c r="W808" s="3"/>
      <c r="X808" s="3" t="s">
        <v>89</v>
      </c>
      <c r="Y808" s="3" t="s">
        <v>399</v>
      </c>
    </row>
    <row r="809" spans="1:25" ht="15" customHeight="1" x14ac:dyDescent="0.3">
      <c r="A809" s="5">
        <v>45896</v>
      </c>
      <c r="B809" s="25">
        <v>29</v>
      </c>
      <c r="C809" s="3" t="s">
        <v>38</v>
      </c>
      <c r="D809" s="3" t="s">
        <v>355</v>
      </c>
      <c r="E809" s="3">
        <v>2</v>
      </c>
      <c r="F809" s="3">
        <v>203</v>
      </c>
      <c r="G809" s="6" t="s">
        <v>23</v>
      </c>
      <c r="H809" s="3" t="s">
        <v>1256</v>
      </c>
      <c r="I809" s="6" t="s">
        <v>111</v>
      </c>
      <c r="J809" s="3">
        <v>8</v>
      </c>
      <c r="K809" s="3">
        <v>8</v>
      </c>
      <c r="L809" s="3">
        <v>17.3</v>
      </c>
      <c r="M809" s="3">
        <v>8</v>
      </c>
      <c r="N809" s="3">
        <v>3</v>
      </c>
      <c r="O809" s="3"/>
      <c r="P809" s="3"/>
      <c r="Q809" s="3"/>
      <c r="R809" s="3" t="s">
        <v>73</v>
      </c>
      <c r="S809" s="3" t="s">
        <v>1265</v>
      </c>
      <c r="T809" s="3">
        <v>1</v>
      </c>
      <c r="U809" s="3">
        <v>20</v>
      </c>
      <c r="V809" s="3">
        <v>25</v>
      </c>
      <c r="W809" s="3">
        <v>90</v>
      </c>
      <c r="X809" s="3" t="s">
        <v>1268</v>
      </c>
      <c r="Y809" s="6" t="s">
        <v>1274</v>
      </c>
    </row>
    <row r="810" spans="1:25" ht="15" customHeight="1" x14ac:dyDescent="0.3">
      <c r="A810" s="5">
        <v>45896</v>
      </c>
      <c r="B810" s="25">
        <v>29</v>
      </c>
      <c r="C810" s="3" t="s">
        <v>38</v>
      </c>
      <c r="D810" s="3" t="s">
        <v>355</v>
      </c>
      <c r="E810" s="3">
        <v>2</v>
      </c>
      <c r="F810" s="3">
        <v>205</v>
      </c>
      <c r="G810" s="6" t="s">
        <v>235</v>
      </c>
      <c r="H810" s="3" t="s">
        <v>1155</v>
      </c>
      <c r="I810" s="6" t="s">
        <v>111</v>
      </c>
      <c r="J810" s="3">
        <v>4</v>
      </c>
      <c r="K810" s="23">
        <v>2</v>
      </c>
      <c r="L810" s="3">
        <v>21.3</v>
      </c>
      <c r="M810" s="3">
        <v>8</v>
      </c>
      <c r="N810" s="3">
        <v>2</v>
      </c>
      <c r="O810" s="3"/>
      <c r="P810" s="3"/>
      <c r="Q810" s="3"/>
      <c r="R810" s="3" t="s">
        <v>487</v>
      </c>
      <c r="S810" s="3" t="s">
        <v>203</v>
      </c>
      <c r="T810" s="3">
        <v>1</v>
      </c>
      <c r="U810" s="3">
        <v>5</v>
      </c>
      <c r="V810" s="3">
        <v>10</v>
      </c>
      <c r="W810" s="3">
        <v>140</v>
      </c>
      <c r="X810" s="3" t="s">
        <v>391</v>
      </c>
      <c r="Y810" s="3"/>
    </row>
    <row r="811" spans="1:25" ht="15" customHeight="1" x14ac:dyDescent="0.3">
      <c r="A811" s="5">
        <v>45896</v>
      </c>
      <c r="B811" s="25">
        <v>29</v>
      </c>
      <c r="C811" s="3" t="s">
        <v>38</v>
      </c>
      <c r="D811" s="3" t="s">
        <v>355</v>
      </c>
      <c r="E811" s="3">
        <v>2</v>
      </c>
      <c r="F811" s="3">
        <v>206</v>
      </c>
      <c r="G811" s="6" t="s">
        <v>373</v>
      </c>
      <c r="H811" s="3" t="s">
        <v>1183</v>
      </c>
      <c r="I811" s="6" t="s">
        <v>111</v>
      </c>
      <c r="J811" s="3">
        <v>12</v>
      </c>
      <c r="K811" s="23">
        <v>11</v>
      </c>
      <c r="L811" s="3">
        <v>25.3</v>
      </c>
      <c r="M811" s="3">
        <v>15</v>
      </c>
      <c r="N811" s="3">
        <v>1.2</v>
      </c>
      <c r="O811" s="3"/>
      <c r="P811" s="3"/>
      <c r="Q811" s="3"/>
      <c r="R811" s="3" t="s">
        <v>66</v>
      </c>
      <c r="S811" s="3" t="s">
        <v>1266</v>
      </c>
      <c r="T811" s="3">
        <v>0.5</v>
      </c>
      <c r="U811" s="3">
        <v>31</v>
      </c>
      <c r="V811" s="3">
        <v>45</v>
      </c>
      <c r="W811" s="3">
        <v>125</v>
      </c>
      <c r="X811" s="3" t="s">
        <v>648</v>
      </c>
      <c r="Y811" s="3" t="s">
        <v>1275</v>
      </c>
    </row>
    <row r="812" spans="1:25" ht="15" customHeight="1" x14ac:dyDescent="0.3">
      <c r="A812" s="5">
        <v>45896</v>
      </c>
      <c r="B812" s="25">
        <v>29</v>
      </c>
      <c r="C812" s="3" t="s">
        <v>38</v>
      </c>
      <c r="D812" s="3" t="s">
        <v>355</v>
      </c>
      <c r="E812" s="3">
        <v>2</v>
      </c>
      <c r="F812" s="3">
        <v>207</v>
      </c>
      <c r="G812" s="6" t="s">
        <v>476</v>
      </c>
      <c r="H812" s="3" t="s">
        <v>1156</v>
      </c>
      <c r="I812" s="6" t="s">
        <v>111</v>
      </c>
      <c r="J812" s="3">
        <v>12</v>
      </c>
      <c r="K812" s="23">
        <v>6</v>
      </c>
      <c r="L812" s="3">
        <v>34.14</v>
      </c>
      <c r="M812" s="3">
        <v>15</v>
      </c>
      <c r="N812" s="3">
        <v>3.1</v>
      </c>
      <c r="O812" s="3"/>
      <c r="P812" s="3"/>
      <c r="Q812" s="3"/>
      <c r="R812" s="3" t="s">
        <v>726</v>
      </c>
      <c r="S812" s="3" t="s">
        <v>491</v>
      </c>
      <c r="T812" s="3">
        <v>2.5</v>
      </c>
      <c r="U812" s="3">
        <v>25</v>
      </c>
      <c r="V812" s="3">
        <v>35</v>
      </c>
      <c r="W812" s="3">
        <v>140</v>
      </c>
      <c r="X812" s="3" t="s">
        <v>1269</v>
      </c>
      <c r="Y812" s="3" t="s">
        <v>1200</v>
      </c>
    </row>
    <row r="813" spans="1:25" ht="15" customHeight="1" x14ac:dyDescent="0.3">
      <c r="A813" s="5">
        <v>45896</v>
      </c>
      <c r="B813" s="25">
        <v>29</v>
      </c>
      <c r="C813" s="3" t="s">
        <v>38</v>
      </c>
      <c r="D813" s="3" t="s">
        <v>355</v>
      </c>
      <c r="E813" s="3">
        <v>2</v>
      </c>
      <c r="F813" s="3">
        <v>208</v>
      </c>
      <c r="G813" s="6" t="s">
        <v>791</v>
      </c>
      <c r="H813" s="3" t="s">
        <v>1257</v>
      </c>
      <c r="I813" s="6" t="s">
        <v>111</v>
      </c>
      <c r="J813" s="3">
        <v>4</v>
      </c>
      <c r="K813" s="23">
        <v>3</v>
      </c>
      <c r="L813" s="3">
        <v>24.6</v>
      </c>
      <c r="M813" s="3">
        <v>11</v>
      </c>
      <c r="N813" s="3">
        <v>3.4</v>
      </c>
      <c r="O813" s="3"/>
      <c r="P813" s="3"/>
      <c r="Q813" s="3"/>
      <c r="R813" s="3" t="s">
        <v>63</v>
      </c>
      <c r="S813" s="3" t="s">
        <v>726</v>
      </c>
      <c r="T813" s="3">
        <v>2</v>
      </c>
      <c r="U813" s="3">
        <v>15</v>
      </c>
      <c r="V813" s="3">
        <v>20</v>
      </c>
      <c r="W813" s="3">
        <v>140</v>
      </c>
      <c r="X813" s="3" t="s">
        <v>1197</v>
      </c>
      <c r="Y813" s="3" t="s">
        <v>1276</v>
      </c>
    </row>
    <row r="814" spans="1:25" ht="15" customHeight="1" x14ac:dyDescent="0.3">
      <c r="A814" s="5">
        <v>45896</v>
      </c>
      <c r="B814" s="25">
        <v>29</v>
      </c>
      <c r="C814" s="3" t="s">
        <v>38</v>
      </c>
      <c r="D814" s="3" t="s">
        <v>355</v>
      </c>
      <c r="E814" s="3">
        <v>2</v>
      </c>
      <c r="F814" s="3">
        <v>210</v>
      </c>
      <c r="G814" s="6" t="s">
        <v>412</v>
      </c>
      <c r="H814" s="3" t="s">
        <v>1229</v>
      </c>
      <c r="I814" s="6" t="s">
        <v>111</v>
      </c>
      <c r="J814" s="3">
        <v>4</v>
      </c>
      <c r="K814" s="3">
        <v>4</v>
      </c>
      <c r="L814" s="3">
        <v>22</v>
      </c>
      <c r="M814" s="3">
        <v>8</v>
      </c>
      <c r="N814" s="3">
        <v>4</v>
      </c>
      <c r="O814" s="3"/>
      <c r="P814" s="3"/>
      <c r="Q814" s="3"/>
      <c r="R814" s="3" t="s">
        <v>447</v>
      </c>
      <c r="S814" s="3" t="s">
        <v>1211</v>
      </c>
      <c r="T814" s="3">
        <v>1</v>
      </c>
      <c r="U814" s="3">
        <v>20</v>
      </c>
      <c r="V814" s="3">
        <v>30</v>
      </c>
      <c r="W814" s="3">
        <v>100</v>
      </c>
      <c r="X814" s="3" t="s">
        <v>1198</v>
      </c>
      <c r="Y814" s="3" t="s">
        <v>1277</v>
      </c>
    </row>
    <row r="815" spans="1:25" ht="15" customHeight="1" x14ac:dyDescent="0.3">
      <c r="A815" s="5">
        <v>45896</v>
      </c>
      <c r="B815" s="25">
        <v>29</v>
      </c>
      <c r="C815" s="3" t="s">
        <v>38</v>
      </c>
      <c r="D815" s="3" t="s">
        <v>355</v>
      </c>
      <c r="E815" s="3">
        <v>2</v>
      </c>
      <c r="F815" s="3">
        <v>301</v>
      </c>
      <c r="G815" s="6" t="s">
        <v>30</v>
      </c>
      <c r="H815" s="3" t="s">
        <v>194</v>
      </c>
      <c r="I815" s="6" t="s">
        <v>793</v>
      </c>
      <c r="J815" s="3">
        <v>8</v>
      </c>
      <c r="K815" s="23">
        <v>5</v>
      </c>
      <c r="L815" s="3">
        <v>23.5</v>
      </c>
      <c r="M815" s="3">
        <v>5</v>
      </c>
      <c r="N815" s="3">
        <v>5.5</v>
      </c>
      <c r="O815" s="3"/>
      <c r="P815" s="3"/>
      <c r="Q815" s="3"/>
      <c r="R815" s="3" t="s">
        <v>1263</v>
      </c>
      <c r="S815" s="3" t="s">
        <v>1267</v>
      </c>
      <c r="T815" s="3">
        <v>1.5</v>
      </c>
      <c r="U815" s="3">
        <v>25</v>
      </c>
      <c r="V815" s="3">
        <v>35</v>
      </c>
      <c r="W815" s="3">
        <v>130</v>
      </c>
      <c r="X815" s="3" t="s">
        <v>253</v>
      </c>
      <c r="Y815" s="3" t="s">
        <v>1278</v>
      </c>
    </row>
    <row r="816" spans="1:25" ht="15" customHeight="1" x14ac:dyDescent="0.3">
      <c r="A816" s="5">
        <v>45896</v>
      </c>
      <c r="B816" s="25">
        <v>29</v>
      </c>
      <c r="C816" s="3" t="s">
        <v>38</v>
      </c>
      <c r="D816" s="3" t="s">
        <v>355</v>
      </c>
      <c r="E816" s="3">
        <v>2</v>
      </c>
      <c r="F816" s="3">
        <v>303</v>
      </c>
      <c r="G816" s="6" t="s">
        <v>1258</v>
      </c>
      <c r="H816" s="3" t="s">
        <v>1259</v>
      </c>
      <c r="I816" s="6" t="s">
        <v>793</v>
      </c>
      <c r="J816" s="3">
        <v>8</v>
      </c>
      <c r="K816" s="23">
        <v>7</v>
      </c>
      <c r="L816" s="3">
        <v>54.7</v>
      </c>
      <c r="M816" s="3">
        <v>30</v>
      </c>
      <c r="N816" s="3">
        <v>8</v>
      </c>
      <c r="O816" s="3"/>
      <c r="P816" s="3"/>
      <c r="Q816" s="3"/>
      <c r="R816" s="3" t="s">
        <v>1264</v>
      </c>
      <c r="S816" s="3" t="s">
        <v>1053</v>
      </c>
      <c r="T816" s="3">
        <v>3</v>
      </c>
      <c r="U816" s="3">
        <v>30</v>
      </c>
      <c r="V816" s="3">
        <v>50</v>
      </c>
      <c r="W816" s="3">
        <v>135</v>
      </c>
      <c r="X816" s="3" t="s">
        <v>1270</v>
      </c>
      <c r="Y816" s="3" t="s">
        <v>1279</v>
      </c>
    </row>
    <row r="817" spans="1:25" ht="15" customHeight="1" x14ac:dyDescent="0.3">
      <c r="A817" s="5">
        <v>45896</v>
      </c>
      <c r="B817" s="25">
        <v>29</v>
      </c>
      <c r="C817" s="3" t="s">
        <v>38</v>
      </c>
      <c r="D817" s="3" t="s">
        <v>355</v>
      </c>
      <c r="E817" s="3">
        <v>2</v>
      </c>
      <c r="F817" s="3">
        <v>501</v>
      </c>
      <c r="G817" s="6" t="s">
        <v>1260</v>
      </c>
      <c r="H817" s="3" t="s">
        <v>1261</v>
      </c>
      <c r="I817" s="6" t="s">
        <v>110</v>
      </c>
      <c r="J817" s="3">
        <v>6</v>
      </c>
      <c r="K817" s="3">
        <v>6</v>
      </c>
      <c r="L817" s="3">
        <v>17.62</v>
      </c>
      <c r="M817" s="3"/>
      <c r="N817" s="3"/>
      <c r="O817" s="3">
        <v>12</v>
      </c>
      <c r="P817" s="3"/>
      <c r="Q817" s="3"/>
      <c r="R817" s="3"/>
      <c r="S817" s="3"/>
      <c r="T817" s="3"/>
      <c r="U817" s="3"/>
      <c r="V817" s="3"/>
      <c r="W817" s="3">
        <v>300</v>
      </c>
      <c r="X817" s="3" t="s">
        <v>151</v>
      </c>
      <c r="Y817" s="3"/>
    </row>
    <row r="818" spans="1:25" ht="15" customHeight="1" x14ac:dyDescent="0.3">
      <c r="A818" s="5">
        <v>45896</v>
      </c>
      <c r="B818" s="25">
        <v>29</v>
      </c>
      <c r="C818" s="3" t="s">
        <v>38</v>
      </c>
      <c r="D818" s="3" t="s">
        <v>355</v>
      </c>
      <c r="E818" s="3">
        <v>2</v>
      </c>
      <c r="F818" s="3">
        <v>502</v>
      </c>
      <c r="G818" s="6" t="s">
        <v>889</v>
      </c>
      <c r="H818" s="3" t="s">
        <v>890</v>
      </c>
      <c r="I818" s="6" t="s">
        <v>110</v>
      </c>
      <c r="J818" s="3">
        <v>4</v>
      </c>
      <c r="K818" s="3">
        <v>4</v>
      </c>
      <c r="L818" s="3">
        <v>17.62</v>
      </c>
      <c r="M818" s="3"/>
      <c r="N818" s="3"/>
      <c r="O818" s="3">
        <v>10.5</v>
      </c>
      <c r="P818" s="3"/>
      <c r="Q818" s="3"/>
      <c r="R818" s="3"/>
      <c r="S818" s="3"/>
      <c r="T818" s="3"/>
      <c r="U818" s="3"/>
      <c r="V818" s="3"/>
      <c r="W818" s="3">
        <v>350</v>
      </c>
      <c r="X818" s="3" t="s">
        <v>1216</v>
      </c>
      <c r="Y818" s="3"/>
    </row>
    <row r="819" spans="1:25" ht="15" customHeight="1" x14ac:dyDescent="0.3">
      <c r="A819" s="27">
        <v>45897</v>
      </c>
      <c r="B819" s="25">
        <v>29</v>
      </c>
      <c r="C819" s="3" t="s">
        <v>38</v>
      </c>
      <c r="D819" s="3" t="s">
        <v>355</v>
      </c>
      <c r="E819" s="3">
        <v>2</v>
      </c>
      <c r="F819" s="3">
        <v>101</v>
      </c>
      <c r="G819" s="6" t="s">
        <v>6</v>
      </c>
      <c r="H819" s="3" t="s">
        <v>1242</v>
      </c>
      <c r="I819" s="6" t="s">
        <v>793</v>
      </c>
      <c r="J819" s="3">
        <v>4</v>
      </c>
      <c r="K819" s="3">
        <v>4</v>
      </c>
      <c r="L819" s="3">
        <v>13.85</v>
      </c>
      <c r="M819" s="3">
        <v>3.2</v>
      </c>
      <c r="N819" s="3">
        <v>5.8</v>
      </c>
      <c r="O819" s="3">
        <v>4</v>
      </c>
      <c r="P819" s="3"/>
      <c r="Q819" s="3">
        <v>170</v>
      </c>
      <c r="R819" s="3"/>
      <c r="S819" s="3"/>
      <c r="T819" s="3"/>
      <c r="U819" s="3"/>
      <c r="V819" s="3"/>
      <c r="W819" s="3"/>
      <c r="X819" s="3" t="s">
        <v>138</v>
      </c>
      <c r="Y819" s="3" t="s">
        <v>1271</v>
      </c>
    </row>
    <row r="820" spans="1:25" ht="15" customHeight="1" x14ac:dyDescent="0.3">
      <c r="A820" s="27">
        <v>45897</v>
      </c>
      <c r="B820" s="25">
        <v>29</v>
      </c>
      <c r="C820" s="3" t="s">
        <v>38</v>
      </c>
      <c r="D820" s="3" t="s">
        <v>355</v>
      </c>
      <c r="E820" s="3">
        <v>2</v>
      </c>
      <c r="F820" s="3">
        <v>103</v>
      </c>
      <c r="G820" s="6" t="s">
        <v>163</v>
      </c>
      <c r="H820" s="3" t="s">
        <v>928</v>
      </c>
      <c r="I820" s="6" t="s">
        <v>793</v>
      </c>
      <c r="J820" s="3">
        <v>5</v>
      </c>
      <c r="K820" s="3">
        <v>5</v>
      </c>
      <c r="L820" s="3">
        <v>14.8</v>
      </c>
      <c r="M820" s="3">
        <v>3.7</v>
      </c>
      <c r="N820" s="3">
        <v>6.8</v>
      </c>
      <c r="O820" s="3">
        <v>6.5</v>
      </c>
      <c r="P820" s="3">
        <v>25</v>
      </c>
      <c r="Q820" s="3">
        <v>165</v>
      </c>
      <c r="R820" s="3"/>
      <c r="S820" s="3"/>
      <c r="T820" s="3"/>
      <c r="U820" s="3"/>
      <c r="V820" s="3"/>
      <c r="W820" s="3"/>
      <c r="X820" s="3" t="s">
        <v>79</v>
      </c>
      <c r="Y820" s="3" t="s">
        <v>254</v>
      </c>
    </row>
    <row r="821" spans="1:25" ht="15" customHeight="1" x14ac:dyDescent="0.3">
      <c r="A821" s="27">
        <v>45897</v>
      </c>
      <c r="B821" s="25">
        <v>29</v>
      </c>
      <c r="C821" s="3" t="s">
        <v>38</v>
      </c>
      <c r="D821" s="3" t="s">
        <v>355</v>
      </c>
      <c r="E821" s="3">
        <v>2</v>
      </c>
      <c r="F821" s="3">
        <v>104</v>
      </c>
      <c r="G821" s="6" t="s">
        <v>169</v>
      </c>
      <c r="H821" s="3" t="s">
        <v>1177</v>
      </c>
      <c r="I821" s="6" t="s">
        <v>793</v>
      </c>
      <c r="J821" s="3">
        <v>9</v>
      </c>
      <c r="K821" s="3">
        <v>9</v>
      </c>
      <c r="L821" s="3">
        <v>12.73</v>
      </c>
      <c r="M821" s="3">
        <v>2.8</v>
      </c>
      <c r="N821" s="3">
        <v>5.7</v>
      </c>
      <c r="O821" s="3">
        <v>5</v>
      </c>
      <c r="P821" s="3"/>
      <c r="Q821" s="3">
        <v>170</v>
      </c>
      <c r="R821" s="3"/>
      <c r="S821" s="3"/>
      <c r="T821" s="3"/>
      <c r="U821" s="3"/>
      <c r="V821" s="3"/>
      <c r="W821" s="3"/>
      <c r="X821" s="3" t="s">
        <v>251</v>
      </c>
      <c r="Y821" s="3" t="s">
        <v>84</v>
      </c>
    </row>
    <row r="822" spans="1:25" ht="15" customHeight="1" x14ac:dyDescent="0.3">
      <c r="A822" s="27">
        <v>45897</v>
      </c>
      <c r="B822" s="25">
        <v>29</v>
      </c>
      <c r="C822" s="3" t="s">
        <v>38</v>
      </c>
      <c r="D822" s="3" t="s">
        <v>355</v>
      </c>
      <c r="E822" s="3">
        <v>2</v>
      </c>
      <c r="F822" s="3">
        <v>162</v>
      </c>
      <c r="G822" s="6" t="s">
        <v>1222</v>
      </c>
      <c r="H822" s="3" t="s">
        <v>1223</v>
      </c>
      <c r="I822" s="6" t="s">
        <v>483</v>
      </c>
      <c r="J822" s="3">
        <v>2</v>
      </c>
      <c r="K822" s="3">
        <v>2</v>
      </c>
      <c r="L822" s="3">
        <v>19.5</v>
      </c>
      <c r="M822" s="3">
        <v>3</v>
      </c>
      <c r="N822" s="3">
        <v>6</v>
      </c>
      <c r="O822" s="3">
        <v>3</v>
      </c>
      <c r="P822" s="3">
        <v>13</v>
      </c>
      <c r="Q822" s="3">
        <v>170</v>
      </c>
      <c r="R822" s="3"/>
      <c r="S822" s="3"/>
      <c r="T822" s="3"/>
      <c r="U822" s="3"/>
      <c r="V822" s="3"/>
      <c r="W822" s="3"/>
      <c r="X822" s="3" t="s">
        <v>288</v>
      </c>
      <c r="Y822" s="3" t="s">
        <v>1108</v>
      </c>
    </row>
    <row r="823" spans="1:25" ht="15" customHeight="1" x14ac:dyDescent="0.3">
      <c r="A823" s="27">
        <v>45897</v>
      </c>
      <c r="B823" s="25">
        <v>29</v>
      </c>
      <c r="C823" s="3" t="s">
        <v>38</v>
      </c>
      <c r="D823" s="3" t="s">
        <v>355</v>
      </c>
      <c r="E823" s="3">
        <v>2</v>
      </c>
      <c r="F823" s="3">
        <v>163</v>
      </c>
      <c r="G823" s="6" t="s">
        <v>1243</v>
      </c>
      <c r="H823" s="3" t="s">
        <v>1244</v>
      </c>
      <c r="I823" s="6" t="s">
        <v>483</v>
      </c>
      <c r="J823" s="3">
        <v>2</v>
      </c>
      <c r="K823" s="3">
        <v>2</v>
      </c>
      <c r="L823" s="3">
        <v>22.5</v>
      </c>
      <c r="M823" s="3">
        <v>5</v>
      </c>
      <c r="N823" s="3">
        <v>9</v>
      </c>
      <c r="O823" s="3">
        <v>3</v>
      </c>
      <c r="P823" s="3">
        <v>37</v>
      </c>
      <c r="Q823" s="3">
        <v>180</v>
      </c>
      <c r="R823" s="3"/>
      <c r="S823" s="3"/>
      <c r="T823" s="3"/>
      <c r="U823" s="3"/>
      <c r="V823" s="3"/>
      <c r="W823" s="3"/>
      <c r="X823" s="3" t="s">
        <v>84</v>
      </c>
      <c r="Y823" s="3" t="s">
        <v>1289</v>
      </c>
    </row>
    <row r="824" spans="1:25" ht="15" customHeight="1" x14ac:dyDescent="0.3">
      <c r="A824" s="27">
        <v>45897</v>
      </c>
      <c r="B824" s="25">
        <v>29</v>
      </c>
      <c r="C824" s="3" t="s">
        <v>38</v>
      </c>
      <c r="D824" s="3" t="s">
        <v>355</v>
      </c>
      <c r="E824" s="3">
        <v>2</v>
      </c>
      <c r="F824" s="3">
        <v>164</v>
      </c>
      <c r="G824" s="6" t="s">
        <v>11</v>
      </c>
      <c r="H824" s="3" t="s">
        <v>1178</v>
      </c>
      <c r="I824" s="6" t="s">
        <v>483</v>
      </c>
      <c r="J824" s="3">
        <v>2</v>
      </c>
      <c r="K824" s="3">
        <v>2</v>
      </c>
      <c r="L824" s="3">
        <v>22.8</v>
      </c>
      <c r="M824" s="3">
        <v>6.8</v>
      </c>
      <c r="N824" s="3">
        <v>11</v>
      </c>
      <c r="O824" s="3">
        <v>3.4</v>
      </c>
      <c r="P824" s="3"/>
      <c r="Q824" s="3">
        <v>170</v>
      </c>
      <c r="R824" s="3"/>
      <c r="S824" s="3"/>
      <c r="T824" s="3"/>
      <c r="U824" s="3"/>
      <c r="V824" s="3"/>
      <c r="W824" s="3"/>
      <c r="X824" s="3" t="s">
        <v>138</v>
      </c>
      <c r="Y824" s="3" t="s">
        <v>1018</v>
      </c>
    </row>
    <row r="825" spans="1:25" ht="15" customHeight="1" x14ac:dyDescent="0.3">
      <c r="A825" s="27">
        <v>45897</v>
      </c>
      <c r="B825" s="25">
        <v>29</v>
      </c>
      <c r="C825" s="3" t="s">
        <v>38</v>
      </c>
      <c r="D825" s="3" t="s">
        <v>355</v>
      </c>
      <c r="E825" s="3">
        <v>2</v>
      </c>
      <c r="F825" s="3">
        <v>181</v>
      </c>
      <c r="G825" s="6" t="s">
        <v>1245</v>
      </c>
      <c r="H825" s="3" t="s">
        <v>1246</v>
      </c>
      <c r="I825" s="6" t="s">
        <v>483</v>
      </c>
      <c r="J825" s="3">
        <v>4</v>
      </c>
      <c r="K825" s="3">
        <v>4</v>
      </c>
      <c r="L825" s="3">
        <v>14.95</v>
      </c>
      <c r="M825" s="3">
        <v>4</v>
      </c>
      <c r="N825" s="3">
        <v>3.5</v>
      </c>
      <c r="O825" s="3">
        <v>2.9</v>
      </c>
      <c r="P825" s="3">
        <v>20</v>
      </c>
      <c r="Q825" s="3">
        <v>180</v>
      </c>
      <c r="R825" s="3"/>
      <c r="S825" s="3"/>
      <c r="T825" s="3"/>
      <c r="U825" s="3"/>
      <c r="V825" s="3"/>
      <c r="W825" s="3"/>
      <c r="X825" s="3" t="s">
        <v>686</v>
      </c>
      <c r="Y825" s="3" t="s">
        <v>153</v>
      </c>
    </row>
    <row r="826" spans="1:25" ht="15" customHeight="1" x14ac:dyDescent="0.3">
      <c r="A826" s="27">
        <v>45897</v>
      </c>
      <c r="B826" s="25">
        <v>29</v>
      </c>
      <c r="C826" s="3" t="s">
        <v>38</v>
      </c>
      <c r="D826" s="3" t="s">
        <v>355</v>
      </c>
      <c r="E826" s="3">
        <v>2</v>
      </c>
      <c r="F826" s="3">
        <v>401</v>
      </c>
      <c r="G826" s="6" t="s">
        <v>844</v>
      </c>
      <c r="H826" s="3" t="s">
        <v>1224</v>
      </c>
      <c r="I826" s="6" t="s">
        <v>483</v>
      </c>
      <c r="J826" s="3">
        <v>1</v>
      </c>
      <c r="K826" s="3">
        <v>1</v>
      </c>
      <c r="L826" s="3">
        <v>11.86</v>
      </c>
      <c r="M826" s="3"/>
      <c r="N826" s="3"/>
      <c r="O826" s="3">
        <v>4</v>
      </c>
      <c r="P826" s="3"/>
      <c r="Q826" s="3"/>
      <c r="R826" s="3"/>
      <c r="S826" s="3"/>
      <c r="T826" s="3"/>
      <c r="U826" s="3"/>
      <c r="V826" s="3"/>
      <c r="W826" s="3"/>
      <c r="X826" s="3" t="s">
        <v>1286</v>
      </c>
      <c r="Y826" s="3"/>
    </row>
    <row r="827" spans="1:25" ht="15" customHeight="1" x14ac:dyDescent="0.3">
      <c r="A827" s="27">
        <v>45897</v>
      </c>
      <c r="B827" s="25">
        <v>29</v>
      </c>
      <c r="C827" s="3" t="s">
        <v>38</v>
      </c>
      <c r="D827" s="3" t="s">
        <v>355</v>
      </c>
      <c r="E827" s="3">
        <v>2</v>
      </c>
      <c r="F827" s="3">
        <v>405</v>
      </c>
      <c r="G827" s="6" t="s">
        <v>14</v>
      </c>
      <c r="H827" s="3" t="s">
        <v>1280</v>
      </c>
      <c r="I827" s="6" t="s">
        <v>483</v>
      </c>
      <c r="J827" s="3">
        <v>2</v>
      </c>
      <c r="K827" s="3">
        <v>2</v>
      </c>
      <c r="L827" s="3">
        <v>8.1</v>
      </c>
      <c r="M827" s="3"/>
      <c r="N827" s="3"/>
      <c r="O827" s="3">
        <v>2.5</v>
      </c>
      <c r="P827" s="3"/>
      <c r="Q827" s="3"/>
      <c r="R827" s="3"/>
      <c r="S827" s="3"/>
      <c r="T827" s="3"/>
      <c r="U827" s="3"/>
      <c r="V827" s="3"/>
      <c r="W827" s="3"/>
      <c r="X827" s="3" t="s">
        <v>1287</v>
      </c>
      <c r="Y827" s="3"/>
    </row>
    <row r="828" spans="1:25" ht="15" customHeight="1" x14ac:dyDescent="0.3">
      <c r="A828" s="27">
        <v>45897</v>
      </c>
      <c r="B828" s="25">
        <v>29</v>
      </c>
      <c r="C828" s="3" t="s">
        <v>38</v>
      </c>
      <c r="D828" s="3" t="s">
        <v>355</v>
      </c>
      <c r="E828" s="3">
        <v>2</v>
      </c>
      <c r="F828" s="3">
        <v>172</v>
      </c>
      <c r="G828" s="6" t="s">
        <v>15</v>
      </c>
      <c r="H828" s="3" t="s">
        <v>1281</v>
      </c>
      <c r="I828" s="6" t="s">
        <v>483</v>
      </c>
      <c r="J828" s="3">
        <v>4</v>
      </c>
      <c r="K828" s="3">
        <v>4</v>
      </c>
      <c r="L828" s="3">
        <v>14.84</v>
      </c>
      <c r="M828" s="3">
        <v>0.75</v>
      </c>
      <c r="N828" s="3">
        <v>9.3000000000000007</v>
      </c>
      <c r="O828" s="3">
        <v>7</v>
      </c>
      <c r="P828" s="3" t="s">
        <v>1284</v>
      </c>
      <c r="Q828" s="3">
        <v>160</v>
      </c>
      <c r="R828" s="3"/>
      <c r="S828" s="3"/>
      <c r="T828" s="3"/>
      <c r="U828" s="3"/>
      <c r="V828" s="3"/>
      <c r="W828" s="3"/>
      <c r="X828" s="3" t="s">
        <v>1105</v>
      </c>
      <c r="Y828" s="3" t="s">
        <v>80</v>
      </c>
    </row>
    <row r="829" spans="1:25" ht="15" customHeight="1" x14ac:dyDescent="0.3">
      <c r="A829" s="27">
        <v>45897</v>
      </c>
      <c r="B829" s="25">
        <v>29</v>
      </c>
      <c r="C829" s="3" t="s">
        <v>38</v>
      </c>
      <c r="D829" s="3" t="s">
        <v>355</v>
      </c>
      <c r="E829" s="3">
        <v>2</v>
      </c>
      <c r="F829" s="3">
        <v>175</v>
      </c>
      <c r="G829" s="6" t="s">
        <v>1249</v>
      </c>
      <c r="H829" s="3" t="s">
        <v>1250</v>
      </c>
      <c r="I829" s="6" t="s">
        <v>483</v>
      </c>
      <c r="J829" s="3">
        <v>5</v>
      </c>
      <c r="K829" s="3">
        <v>5</v>
      </c>
      <c r="L829" s="3">
        <v>12.77</v>
      </c>
      <c r="M829" s="3">
        <v>0.25</v>
      </c>
      <c r="N829" s="3">
        <v>7</v>
      </c>
      <c r="O829" s="3">
        <v>6</v>
      </c>
      <c r="P829" s="3" t="s">
        <v>1285</v>
      </c>
      <c r="Q829" s="3">
        <v>165</v>
      </c>
      <c r="R829" s="3"/>
      <c r="S829" s="3"/>
      <c r="T829" s="3"/>
      <c r="U829" s="3"/>
      <c r="V829" s="3"/>
      <c r="W829" s="3"/>
      <c r="X829" s="3" t="s">
        <v>79</v>
      </c>
      <c r="Y829" s="3" t="s">
        <v>84</v>
      </c>
    </row>
    <row r="830" spans="1:25" ht="15" customHeight="1" x14ac:dyDescent="0.3">
      <c r="A830" s="27">
        <v>45897</v>
      </c>
      <c r="B830" s="25">
        <v>29</v>
      </c>
      <c r="C830" s="3" t="s">
        <v>38</v>
      </c>
      <c r="D830" s="3" t="s">
        <v>355</v>
      </c>
      <c r="E830" s="3">
        <v>2</v>
      </c>
      <c r="F830" s="3">
        <v>176</v>
      </c>
      <c r="G830" s="6" t="s">
        <v>1074</v>
      </c>
      <c r="H830" s="3" t="s">
        <v>1203</v>
      </c>
      <c r="I830" s="6" t="s">
        <v>483</v>
      </c>
      <c r="J830" s="3">
        <v>5</v>
      </c>
      <c r="K830" s="3">
        <v>5</v>
      </c>
      <c r="L830" s="3">
        <v>18.14</v>
      </c>
      <c r="M830" s="3">
        <v>2.5</v>
      </c>
      <c r="N830" s="3">
        <v>12</v>
      </c>
      <c r="O830" s="3">
        <v>7.8</v>
      </c>
      <c r="P830" s="3" t="s">
        <v>1004</v>
      </c>
      <c r="Q830" s="3">
        <v>165</v>
      </c>
      <c r="R830" s="3"/>
      <c r="S830" s="3"/>
      <c r="T830" s="3"/>
      <c r="U830" s="3"/>
      <c r="V830" s="3"/>
      <c r="W830" s="3"/>
      <c r="X830" s="3" t="s">
        <v>253</v>
      </c>
      <c r="Y830" s="3" t="s">
        <v>80</v>
      </c>
    </row>
    <row r="831" spans="1:25" ht="15" customHeight="1" x14ac:dyDescent="0.3">
      <c r="A831" s="27">
        <v>45897</v>
      </c>
      <c r="B831" s="25">
        <v>29</v>
      </c>
      <c r="C831" s="3" t="s">
        <v>38</v>
      </c>
      <c r="D831" s="3" t="s">
        <v>355</v>
      </c>
      <c r="E831" s="3">
        <v>2</v>
      </c>
      <c r="F831" s="3">
        <v>132</v>
      </c>
      <c r="G831" s="6" t="s">
        <v>781</v>
      </c>
      <c r="H831" s="3" t="s">
        <v>1253</v>
      </c>
      <c r="I831" s="6" t="s">
        <v>483</v>
      </c>
      <c r="J831" s="3">
        <v>3</v>
      </c>
      <c r="K831" s="3">
        <v>3</v>
      </c>
      <c r="L831" s="3">
        <v>21.5</v>
      </c>
      <c r="M831" s="3">
        <v>4.2</v>
      </c>
      <c r="N831" s="3">
        <v>11.85</v>
      </c>
      <c r="O831" s="3">
        <v>5.7</v>
      </c>
      <c r="P831" s="3"/>
      <c r="Q831" s="3">
        <v>175</v>
      </c>
      <c r="R831" s="3"/>
      <c r="S831" s="3"/>
      <c r="T831" s="3"/>
      <c r="U831" s="3"/>
      <c r="V831" s="3"/>
      <c r="W831" s="3"/>
      <c r="X831" s="3" t="s">
        <v>84</v>
      </c>
      <c r="Y831" s="3" t="s">
        <v>1290</v>
      </c>
    </row>
    <row r="832" spans="1:25" ht="15" customHeight="1" x14ac:dyDescent="0.3">
      <c r="A832" s="27">
        <v>45897</v>
      </c>
      <c r="B832" s="25">
        <v>29</v>
      </c>
      <c r="C832" s="3" t="s">
        <v>38</v>
      </c>
      <c r="D832" s="3" t="s">
        <v>355</v>
      </c>
      <c r="E832" s="3">
        <v>2</v>
      </c>
      <c r="F832" s="3">
        <v>135</v>
      </c>
      <c r="G832" s="6" t="s">
        <v>1254</v>
      </c>
      <c r="H832" s="3" t="s">
        <v>1255</v>
      </c>
      <c r="I832" s="6" t="s">
        <v>483</v>
      </c>
      <c r="J832" s="3">
        <v>2</v>
      </c>
      <c r="K832" s="3">
        <v>2</v>
      </c>
      <c r="L832" s="3">
        <v>18.170000000000002</v>
      </c>
      <c r="M832" s="3">
        <v>4</v>
      </c>
      <c r="N832" s="3">
        <v>8</v>
      </c>
      <c r="O832" s="3">
        <v>5</v>
      </c>
      <c r="P832" s="3"/>
      <c r="Q832" s="3">
        <v>180</v>
      </c>
      <c r="R832" s="3"/>
      <c r="S832" s="3"/>
      <c r="T832" s="3"/>
      <c r="U832" s="3"/>
      <c r="V832" s="3"/>
      <c r="W832" s="3"/>
      <c r="X832" s="3" t="s">
        <v>89</v>
      </c>
      <c r="Y832" s="3" t="s">
        <v>399</v>
      </c>
    </row>
    <row r="833" spans="1:25" ht="15" customHeight="1" x14ac:dyDescent="0.3">
      <c r="A833" s="27">
        <v>45897</v>
      </c>
      <c r="B833" s="25">
        <v>29</v>
      </c>
      <c r="C833" s="3" t="s">
        <v>38</v>
      </c>
      <c r="D833" s="3" t="s">
        <v>355</v>
      </c>
      <c r="E833" s="3">
        <v>2</v>
      </c>
      <c r="F833" s="3">
        <v>206</v>
      </c>
      <c r="G833" s="6" t="s">
        <v>373</v>
      </c>
      <c r="H833" s="3" t="s">
        <v>1183</v>
      </c>
      <c r="I833" s="6" t="s">
        <v>111</v>
      </c>
      <c r="J833" s="3">
        <v>12</v>
      </c>
      <c r="K833" s="23">
        <v>11</v>
      </c>
      <c r="L833" s="3">
        <v>23.8</v>
      </c>
      <c r="M833" s="3">
        <v>15</v>
      </c>
      <c r="N833" s="3">
        <v>1.2</v>
      </c>
      <c r="O833" s="3"/>
      <c r="P833" s="3"/>
      <c r="Q833" s="3"/>
      <c r="R833" s="3" t="s">
        <v>1266</v>
      </c>
      <c r="S833" s="3" t="s">
        <v>1266</v>
      </c>
      <c r="T833" s="3">
        <v>0.5</v>
      </c>
      <c r="U833" s="3">
        <v>31</v>
      </c>
      <c r="V833" s="3">
        <v>45</v>
      </c>
      <c r="W833" s="3">
        <v>125</v>
      </c>
      <c r="X833" s="3" t="s">
        <v>648</v>
      </c>
      <c r="Y833" s="3" t="s">
        <v>1291</v>
      </c>
    </row>
    <row r="834" spans="1:25" ht="15" customHeight="1" x14ac:dyDescent="0.3">
      <c r="A834" s="27">
        <v>45897</v>
      </c>
      <c r="B834" s="25">
        <v>29</v>
      </c>
      <c r="C834" s="3" t="s">
        <v>38</v>
      </c>
      <c r="D834" s="3" t="s">
        <v>355</v>
      </c>
      <c r="E834" s="3">
        <v>2</v>
      </c>
      <c r="F834" s="3">
        <v>207</v>
      </c>
      <c r="G834" s="6" t="s">
        <v>476</v>
      </c>
      <c r="H834" s="3" t="s">
        <v>1156</v>
      </c>
      <c r="I834" s="6" t="s">
        <v>111</v>
      </c>
      <c r="J834" s="3">
        <v>12</v>
      </c>
      <c r="K834" s="23">
        <v>6</v>
      </c>
      <c r="L834" s="3">
        <v>34.090000000000003</v>
      </c>
      <c r="M834" s="3">
        <v>15</v>
      </c>
      <c r="N834" s="3">
        <v>3.1</v>
      </c>
      <c r="O834" s="3"/>
      <c r="P834" s="3"/>
      <c r="Q834" s="3"/>
      <c r="R834" s="3" t="s">
        <v>726</v>
      </c>
      <c r="S834" s="3" t="s">
        <v>491</v>
      </c>
      <c r="T834" s="3">
        <v>2.5</v>
      </c>
      <c r="U834" s="3">
        <v>25</v>
      </c>
      <c r="V834" s="3">
        <v>35</v>
      </c>
      <c r="W834" s="3">
        <v>140</v>
      </c>
      <c r="X834" s="3" t="s">
        <v>1058</v>
      </c>
      <c r="Y834" s="3" t="s">
        <v>1200</v>
      </c>
    </row>
    <row r="835" spans="1:25" ht="15" customHeight="1" x14ac:dyDescent="0.3">
      <c r="A835" s="27">
        <v>45897</v>
      </c>
      <c r="B835" s="25">
        <v>29</v>
      </c>
      <c r="C835" s="3" t="s">
        <v>38</v>
      </c>
      <c r="D835" s="3" t="s">
        <v>355</v>
      </c>
      <c r="E835" s="3">
        <v>2</v>
      </c>
      <c r="F835" s="3">
        <v>208</v>
      </c>
      <c r="G835" s="6" t="s">
        <v>791</v>
      </c>
      <c r="H835" s="3" t="s">
        <v>1257</v>
      </c>
      <c r="I835" s="6" t="s">
        <v>111</v>
      </c>
      <c r="J835" s="3">
        <v>4</v>
      </c>
      <c r="K835" s="23">
        <v>3</v>
      </c>
      <c r="L835" s="3">
        <v>24.44</v>
      </c>
      <c r="M835" s="3">
        <v>11</v>
      </c>
      <c r="N835" s="3">
        <v>3.4</v>
      </c>
      <c r="O835" s="3"/>
      <c r="P835" s="3"/>
      <c r="Q835" s="3"/>
      <c r="R835" s="3" t="s">
        <v>63</v>
      </c>
      <c r="S835" s="3" t="s">
        <v>726</v>
      </c>
      <c r="T835" s="3">
        <v>2</v>
      </c>
      <c r="U835" s="3">
        <v>15</v>
      </c>
      <c r="V835" s="3">
        <v>20</v>
      </c>
      <c r="W835" s="3">
        <v>140</v>
      </c>
      <c r="X835" s="3" t="s">
        <v>1197</v>
      </c>
      <c r="Y835" s="3" t="s">
        <v>1276</v>
      </c>
    </row>
    <row r="836" spans="1:25" ht="15" customHeight="1" x14ac:dyDescent="0.3">
      <c r="A836" s="27">
        <v>45897</v>
      </c>
      <c r="B836" s="25">
        <v>29</v>
      </c>
      <c r="C836" s="3" t="s">
        <v>38</v>
      </c>
      <c r="D836" s="3" t="s">
        <v>355</v>
      </c>
      <c r="E836" s="3">
        <v>2</v>
      </c>
      <c r="F836" s="3">
        <v>303</v>
      </c>
      <c r="G836" s="6" t="s">
        <v>1258</v>
      </c>
      <c r="H836" s="3" t="s">
        <v>1259</v>
      </c>
      <c r="I836" s="6" t="s">
        <v>793</v>
      </c>
      <c r="J836" s="3">
        <v>8</v>
      </c>
      <c r="K836" s="23">
        <v>7</v>
      </c>
      <c r="L836" s="3">
        <v>54.7</v>
      </c>
      <c r="M836" s="3">
        <v>30</v>
      </c>
      <c r="N836" s="3">
        <v>8</v>
      </c>
      <c r="O836" s="3"/>
      <c r="P836" s="3"/>
      <c r="Q836" s="3"/>
      <c r="R836" s="3" t="s">
        <v>68</v>
      </c>
      <c r="S836" s="3" t="s">
        <v>1053</v>
      </c>
      <c r="T836" s="3">
        <v>3</v>
      </c>
      <c r="U836" s="3">
        <v>30</v>
      </c>
      <c r="V836" s="3">
        <v>50</v>
      </c>
      <c r="W836" s="3">
        <v>135</v>
      </c>
      <c r="X836" s="3" t="s">
        <v>1288</v>
      </c>
      <c r="Y836" s="3" t="s">
        <v>1292</v>
      </c>
    </row>
    <row r="837" spans="1:25" ht="15" customHeight="1" x14ac:dyDescent="0.3">
      <c r="A837" s="27">
        <v>45897</v>
      </c>
      <c r="B837" s="25">
        <v>29</v>
      </c>
      <c r="C837" s="3" t="s">
        <v>38</v>
      </c>
      <c r="D837" s="3" t="s">
        <v>355</v>
      </c>
      <c r="E837" s="3">
        <v>2</v>
      </c>
      <c r="F837" s="3">
        <v>501</v>
      </c>
      <c r="G837" s="6" t="s">
        <v>1260</v>
      </c>
      <c r="H837" s="3" t="s">
        <v>1261</v>
      </c>
      <c r="I837" s="6" t="s">
        <v>110</v>
      </c>
      <c r="J837" s="3">
        <v>6</v>
      </c>
      <c r="K837" s="3">
        <v>6</v>
      </c>
      <c r="L837" s="3">
        <v>17.62</v>
      </c>
      <c r="M837" s="3"/>
      <c r="N837" s="3"/>
      <c r="O837" s="3">
        <v>12</v>
      </c>
      <c r="P837" s="3"/>
      <c r="Q837" s="3"/>
      <c r="R837" s="3"/>
      <c r="S837" s="3"/>
      <c r="T837" s="3"/>
      <c r="U837" s="3"/>
      <c r="V837" s="3"/>
      <c r="W837" s="3">
        <v>300</v>
      </c>
      <c r="X837" s="3" t="s">
        <v>151</v>
      </c>
      <c r="Y837" s="3"/>
    </row>
    <row r="838" spans="1:25" ht="15" customHeight="1" x14ac:dyDescent="0.3">
      <c r="A838" s="27">
        <v>45897</v>
      </c>
      <c r="B838" s="25">
        <v>29</v>
      </c>
      <c r="C838" s="3" t="s">
        <v>38</v>
      </c>
      <c r="D838" s="3" t="s">
        <v>355</v>
      </c>
      <c r="E838" s="3">
        <v>2</v>
      </c>
      <c r="F838" s="3">
        <v>102</v>
      </c>
      <c r="G838" s="6" t="s">
        <v>1282</v>
      </c>
      <c r="H838" s="3" t="s">
        <v>1283</v>
      </c>
      <c r="I838" s="6" t="s">
        <v>793</v>
      </c>
      <c r="J838" s="3">
        <v>5</v>
      </c>
      <c r="K838" s="3">
        <v>5</v>
      </c>
      <c r="L838" s="3">
        <v>19.5</v>
      </c>
      <c r="M838" s="3">
        <v>5</v>
      </c>
      <c r="N838" s="3">
        <v>10</v>
      </c>
      <c r="O838" s="3">
        <v>8</v>
      </c>
      <c r="P838" s="3">
        <v>50</v>
      </c>
      <c r="Q838" s="3">
        <v>170</v>
      </c>
      <c r="R838" s="3"/>
      <c r="S838" s="3"/>
      <c r="T838" s="3"/>
      <c r="U838" s="3"/>
      <c r="V838" s="3"/>
      <c r="W838" s="3"/>
      <c r="X838" s="3" t="s">
        <v>288</v>
      </c>
      <c r="Y838" s="3" t="s">
        <v>580</v>
      </c>
    </row>
    <row r="839" spans="1:25" ht="15" customHeight="1" x14ac:dyDescent="0.3">
      <c r="A839" s="5">
        <v>45898</v>
      </c>
      <c r="B839" s="25">
        <v>29</v>
      </c>
      <c r="C839" s="3" t="s">
        <v>38</v>
      </c>
      <c r="D839" s="3" t="s">
        <v>355</v>
      </c>
      <c r="E839" s="3">
        <v>2</v>
      </c>
      <c r="F839" s="3">
        <v>101</v>
      </c>
      <c r="G839" s="6" t="s">
        <v>6</v>
      </c>
      <c r="H839" s="3" t="s">
        <v>1242</v>
      </c>
      <c r="I839" s="6" t="s">
        <v>793</v>
      </c>
      <c r="J839" s="3">
        <v>4</v>
      </c>
      <c r="K839" s="3">
        <v>4</v>
      </c>
      <c r="L839" s="3">
        <v>13.15</v>
      </c>
      <c r="M839" s="3">
        <v>3.2</v>
      </c>
      <c r="N839" s="3">
        <v>5.8</v>
      </c>
      <c r="O839" s="3">
        <v>4</v>
      </c>
      <c r="P839" s="3"/>
      <c r="Q839" s="3">
        <v>170</v>
      </c>
      <c r="R839" s="3"/>
      <c r="S839" s="3"/>
      <c r="T839" s="3"/>
      <c r="U839" s="3"/>
      <c r="V839" s="3"/>
      <c r="W839" s="3"/>
      <c r="X839" s="3" t="s">
        <v>138</v>
      </c>
      <c r="Y839" s="3" t="s">
        <v>1271</v>
      </c>
    </row>
    <row r="840" spans="1:25" ht="15" customHeight="1" x14ac:dyDescent="0.3">
      <c r="A840" s="5">
        <v>45898</v>
      </c>
      <c r="B840" s="25">
        <v>29</v>
      </c>
      <c r="C840" s="3" t="s">
        <v>38</v>
      </c>
      <c r="D840" s="3" t="s">
        <v>355</v>
      </c>
      <c r="E840" s="3">
        <v>2</v>
      </c>
      <c r="F840" s="3">
        <v>103</v>
      </c>
      <c r="G840" s="6" t="s">
        <v>163</v>
      </c>
      <c r="H840" s="3" t="s">
        <v>928</v>
      </c>
      <c r="I840" s="6" t="s">
        <v>793</v>
      </c>
      <c r="J840" s="3">
        <v>5</v>
      </c>
      <c r="K840" s="3">
        <v>5</v>
      </c>
      <c r="L840" s="3">
        <v>14.81</v>
      </c>
      <c r="M840" s="3">
        <v>3.7</v>
      </c>
      <c r="N840" s="3">
        <v>6.8</v>
      </c>
      <c r="O840" s="3">
        <v>6.5</v>
      </c>
      <c r="P840" s="3">
        <v>25</v>
      </c>
      <c r="Q840" s="3">
        <v>165</v>
      </c>
      <c r="R840" s="3"/>
      <c r="S840" s="3"/>
      <c r="T840" s="3"/>
      <c r="U840" s="3"/>
      <c r="V840" s="3"/>
      <c r="W840" s="3"/>
      <c r="X840" s="3" t="s">
        <v>84</v>
      </c>
      <c r="Y840" s="3" t="s">
        <v>254</v>
      </c>
    </row>
    <row r="841" spans="1:25" ht="15" customHeight="1" x14ac:dyDescent="0.3">
      <c r="A841" s="5">
        <v>45898</v>
      </c>
      <c r="B841" s="25">
        <v>29</v>
      </c>
      <c r="C841" s="3" t="s">
        <v>38</v>
      </c>
      <c r="D841" s="3" t="s">
        <v>355</v>
      </c>
      <c r="E841" s="3">
        <v>2</v>
      </c>
      <c r="F841" s="3">
        <v>161</v>
      </c>
      <c r="G841" s="6" t="s">
        <v>274</v>
      </c>
      <c r="H841" s="3" t="s">
        <v>1221</v>
      </c>
      <c r="I841" s="6" t="s">
        <v>483</v>
      </c>
      <c r="J841" s="3">
        <v>2</v>
      </c>
      <c r="K841" s="3">
        <v>2</v>
      </c>
      <c r="L841" s="3">
        <v>18</v>
      </c>
      <c r="M841" s="3">
        <v>5.5</v>
      </c>
      <c r="N841" s="3">
        <v>8</v>
      </c>
      <c r="O841" s="3">
        <v>2.4</v>
      </c>
      <c r="P841" s="3">
        <v>30</v>
      </c>
      <c r="Q841" s="3">
        <v>180</v>
      </c>
      <c r="R841" s="3"/>
      <c r="S841" s="3"/>
      <c r="T841" s="3"/>
      <c r="U841" s="3"/>
      <c r="V841" s="3"/>
      <c r="W841" s="3"/>
      <c r="X841" s="3" t="s">
        <v>207</v>
      </c>
      <c r="Y841" s="3" t="s">
        <v>153</v>
      </c>
    </row>
    <row r="842" spans="1:25" ht="15" customHeight="1" x14ac:dyDescent="0.3">
      <c r="A842" s="5">
        <v>45898</v>
      </c>
      <c r="B842" s="25">
        <v>29</v>
      </c>
      <c r="C842" s="3" t="s">
        <v>38</v>
      </c>
      <c r="D842" s="3" t="s">
        <v>355</v>
      </c>
      <c r="E842" s="3">
        <v>2</v>
      </c>
      <c r="F842" s="3">
        <v>162</v>
      </c>
      <c r="G842" s="6" t="s">
        <v>1222</v>
      </c>
      <c r="H842" s="3" t="s">
        <v>1223</v>
      </c>
      <c r="I842" s="6" t="s">
        <v>483</v>
      </c>
      <c r="J842" s="3">
        <v>2</v>
      </c>
      <c r="K842" s="3">
        <v>2</v>
      </c>
      <c r="L842" s="3">
        <v>19.5</v>
      </c>
      <c r="M842" s="3">
        <v>3</v>
      </c>
      <c r="N842" s="3">
        <v>6</v>
      </c>
      <c r="O842" s="3">
        <v>3</v>
      </c>
      <c r="P842" s="3">
        <v>14</v>
      </c>
      <c r="Q842" s="3">
        <v>170</v>
      </c>
      <c r="R842" s="3"/>
      <c r="S842" s="3"/>
      <c r="T842" s="3"/>
      <c r="U842" s="3"/>
      <c r="V842" s="3"/>
      <c r="W842" s="3"/>
      <c r="X842" s="3" t="s">
        <v>288</v>
      </c>
      <c r="Y842" s="3" t="s">
        <v>1108</v>
      </c>
    </row>
    <row r="843" spans="1:25" ht="15" customHeight="1" x14ac:dyDescent="0.3">
      <c r="A843" s="5">
        <v>45898</v>
      </c>
      <c r="B843" s="25">
        <v>29</v>
      </c>
      <c r="C843" s="3" t="s">
        <v>38</v>
      </c>
      <c r="D843" s="3" t="s">
        <v>355</v>
      </c>
      <c r="E843" s="3">
        <v>2</v>
      </c>
      <c r="F843" s="3">
        <v>163</v>
      </c>
      <c r="G843" s="6" t="s">
        <v>1243</v>
      </c>
      <c r="H843" s="3" t="s">
        <v>1244</v>
      </c>
      <c r="I843" s="6" t="s">
        <v>483</v>
      </c>
      <c r="J843" s="3">
        <v>2</v>
      </c>
      <c r="K843" s="3">
        <v>2</v>
      </c>
      <c r="L843" s="3">
        <v>22.5</v>
      </c>
      <c r="M843" s="3">
        <v>5</v>
      </c>
      <c r="N843" s="3">
        <v>9</v>
      </c>
      <c r="O843" s="3">
        <v>3</v>
      </c>
      <c r="P843" s="3">
        <v>39</v>
      </c>
      <c r="Q843" s="3">
        <v>180</v>
      </c>
      <c r="R843" s="3"/>
      <c r="S843" s="3"/>
      <c r="T843" s="3"/>
      <c r="U843" s="3"/>
      <c r="V843" s="3"/>
      <c r="W843" s="3"/>
      <c r="X843" s="3" t="s">
        <v>84</v>
      </c>
      <c r="Y843" s="3" t="s">
        <v>1317</v>
      </c>
    </row>
    <row r="844" spans="1:25" ht="15" customHeight="1" x14ac:dyDescent="0.3">
      <c r="A844" s="5">
        <v>45898</v>
      </c>
      <c r="B844" s="25">
        <v>29</v>
      </c>
      <c r="C844" s="3" t="s">
        <v>38</v>
      </c>
      <c r="D844" s="3" t="s">
        <v>355</v>
      </c>
      <c r="E844" s="3">
        <v>2</v>
      </c>
      <c r="F844" s="3">
        <v>182</v>
      </c>
      <c r="G844" s="6" t="s">
        <v>1293</v>
      </c>
      <c r="H844" s="3" t="s">
        <v>1294</v>
      </c>
      <c r="I844" s="6" t="s">
        <v>483</v>
      </c>
      <c r="J844" s="3">
        <v>4</v>
      </c>
      <c r="K844" s="3">
        <v>4</v>
      </c>
      <c r="L844" s="3">
        <v>14</v>
      </c>
      <c r="M844" s="3">
        <v>3</v>
      </c>
      <c r="N844" s="3">
        <v>6</v>
      </c>
      <c r="O844" s="3">
        <v>3</v>
      </c>
      <c r="P844" s="3"/>
      <c r="Q844" s="3">
        <v>160</v>
      </c>
      <c r="R844" s="3"/>
      <c r="S844" s="3"/>
      <c r="T844" s="3"/>
      <c r="U844" s="3"/>
      <c r="V844" s="3"/>
      <c r="W844" s="3"/>
      <c r="X844" s="3" t="s">
        <v>82</v>
      </c>
      <c r="Y844" s="3" t="s">
        <v>396</v>
      </c>
    </row>
    <row r="845" spans="1:25" ht="15" customHeight="1" x14ac:dyDescent="0.3">
      <c r="A845" s="5">
        <v>45898</v>
      </c>
      <c r="B845" s="25">
        <v>29</v>
      </c>
      <c r="C845" s="3" t="s">
        <v>38</v>
      </c>
      <c r="D845" s="3" t="s">
        <v>355</v>
      </c>
      <c r="E845" s="3">
        <v>2</v>
      </c>
      <c r="F845" s="3">
        <v>401</v>
      </c>
      <c r="G845" s="6" t="s">
        <v>844</v>
      </c>
      <c r="H845" s="3" t="s">
        <v>1224</v>
      </c>
      <c r="I845" s="6" t="s">
        <v>483</v>
      </c>
      <c r="J845" s="3">
        <v>1</v>
      </c>
      <c r="K845" s="3">
        <v>1</v>
      </c>
      <c r="L845" s="3">
        <v>12.53</v>
      </c>
      <c r="M845" s="3"/>
      <c r="N845" s="3"/>
      <c r="O845" s="3">
        <v>4</v>
      </c>
      <c r="P845" s="3"/>
      <c r="Q845" s="3"/>
      <c r="R845" s="3"/>
      <c r="S845" s="3"/>
      <c r="T845" s="3"/>
      <c r="U845" s="3"/>
      <c r="V845" s="3"/>
      <c r="W845" s="3"/>
      <c r="X845" s="3" t="s">
        <v>1286</v>
      </c>
      <c r="Y845" s="3"/>
    </row>
    <row r="846" spans="1:25" ht="15" customHeight="1" x14ac:dyDescent="0.3">
      <c r="A846" s="5">
        <v>45898</v>
      </c>
      <c r="B846" s="25">
        <v>29</v>
      </c>
      <c r="C846" s="3" t="s">
        <v>38</v>
      </c>
      <c r="D846" s="3" t="s">
        <v>355</v>
      </c>
      <c r="E846" s="3">
        <v>2</v>
      </c>
      <c r="F846" s="3">
        <v>405</v>
      </c>
      <c r="G846" s="6" t="s">
        <v>1295</v>
      </c>
      <c r="H846" s="3" t="s">
        <v>1296</v>
      </c>
      <c r="I846" s="6" t="s">
        <v>483</v>
      </c>
      <c r="J846" s="3">
        <v>2</v>
      </c>
      <c r="K846" s="3">
        <v>2</v>
      </c>
      <c r="L846" s="3">
        <v>8.1999999999999993</v>
      </c>
      <c r="M846" s="3"/>
      <c r="N846" s="3"/>
      <c r="O846" s="3">
        <v>2.5</v>
      </c>
      <c r="P846" s="3"/>
      <c r="Q846" s="3"/>
      <c r="R846" s="3"/>
      <c r="S846" s="3"/>
      <c r="T846" s="3"/>
      <c r="U846" s="3"/>
      <c r="V846" s="3"/>
      <c r="W846" s="3"/>
      <c r="X846" s="3" t="s">
        <v>1312</v>
      </c>
      <c r="Y846" s="3"/>
    </row>
    <row r="847" spans="1:25" ht="15" customHeight="1" x14ac:dyDescent="0.3">
      <c r="A847" s="5">
        <v>45898</v>
      </c>
      <c r="B847" s="25">
        <v>29</v>
      </c>
      <c r="C847" s="3" t="s">
        <v>38</v>
      </c>
      <c r="D847" s="3" t="s">
        <v>355</v>
      </c>
      <c r="E847" s="3">
        <v>2</v>
      </c>
      <c r="F847" s="3">
        <v>172</v>
      </c>
      <c r="G847" s="6" t="s">
        <v>15</v>
      </c>
      <c r="H847" s="3" t="s">
        <v>1281</v>
      </c>
      <c r="I847" s="6" t="s">
        <v>483</v>
      </c>
      <c r="J847" s="3">
        <v>4</v>
      </c>
      <c r="K847" s="3">
        <v>4</v>
      </c>
      <c r="L847" s="3">
        <v>14.76</v>
      </c>
      <c r="M847" s="3">
        <v>0.7</v>
      </c>
      <c r="N847" s="3">
        <v>9.3000000000000007</v>
      </c>
      <c r="O847" s="3">
        <v>7</v>
      </c>
      <c r="P847" s="3" t="s">
        <v>1307</v>
      </c>
      <c r="Q847" s="3">
        <v>160</v>
      </c>
      <c r="R847" s="3"/>
      <c r="S847" s="3"/>
      <c r="T847" s="3"/>
      <c r="U847" s="3"/>
      <c r="V847" s="3"/>
      <c r="W847" s="3"/>
      <c r="X847" s="3" t="s">
        <v>1105</v>
      </c>
      <c r="Y847" s="3" t="s">
        <v>80</v>
      </c>
    </row>
    <row r="848" spans="1:25" ht="15" customHeight="1" x14ac:dyDescent="0.3">
      <c r="A848" s="5">
        <v>45898</v>
      </c>
      <c r="B848" s="25">
        <v>29</v>
      </c>
      <c r="C848" s="3" t="s">
        <v>38</v>
      </c>
      <c r="D848" s="3" t="s">
        <v>355</v>
      </c>
      <c r="E848" s="3">
        <v>2</v>
      </c>
      <c r="F848" s="3">
        <v>173</v>
      </c>
      <c r="G848" s="6" t="s">
        <v>1297</v>
      </c>
      <c r="H848" s="3" t="s">
        <v>1298</v>
      </c>
      <c r="I848" s="6" t="s">
        <v>483</v>
      </c>
      <c r="J848" s="3">
        <v>5</v>
      </c>
      <c r="K848" s="3">
        <v>5</v>
      </c>
      <c r="L848" s="3">
        <v>13.87</v>
      </c>
      <c r="M848" s="3">
        <v>0.5</v>
      </c>
      <c r="N848" s="3">
        <v>8.6</v>
      </c>
      <c r="O848" s="3">
        <v>5.75</v>
      </c>
      <c r="P848" s="3" t="s">
        <v>1308</v>
      </c>
      <c r="Q848" s="3">
        <v>170</v>
      </c>
      <c r="R848" s="3"/>
      <c r="S848" s="3"/>
      <c r="T848" s="3"/>
      <c r="U848" s="3"/>
      <c r="V848" s="3"/>
      <c r="W848" s="3"/>
      <c r="X848" s="3" t="s">
        <v>288</v>
      </c>
      <c r="Y848" s="3" t="s">
        <v>1318</v>
      </c>
    </row>
    <row r="849" spans="1:25" ht="15" customHeight="1" x14ac:dyDescent="0.3">
      <c r="A849" s="5">
        <v>45898</v>
      </c>
      <c r="B849" s="25">
        <v>29</v>
      </c>
      <c r="C849" s="3" t="s">
        <v>38</v>
      </c>
      <c r="D849" s="3" t="s">
        <v>355</v>
      </c>
      <c r="E849" s="3">
        <v>2</v>
      </c>
      <c r="F849" s="3">
        <v>175</v>
      </c>
      <c r="G849" s="6" t="s">
        <v>1249</v>
      </c>
      <c r="H849" s="3" t="s">
        <v>1250</v>
      </c>
      <c r="I849" s="6" t="s">
        <v>483</v>
      </c>
      <c r="J849" s="3">
        <v>5</v>
      </c>
      <c r="K849" s="3">
        <v>5</v>
      </c>
      <c r="L849" s="3">
        <v>12.71</v>
      </c>
      <c r="M849" s="3">
        <v>0.25</v>
      </c>
      <c r="N849" s="3">
        <v>7</v>
      </c>
      <c r="O849" s="3">
        <v>6</v>
      </c>
      <c r="P849" s="3" t="s">
        <v>1285</v>
      </c>
      <c r="Q849" s="3">
        <v>165</v>
      </c>
      <c r="R849" s="3"/>
      <c r="S849" s="3"/>
      <c r="T849" s="3"/>
      <c r="U849" s="3"/>
      <c r="V849" s="3"/>
      <c r="W849" s="3"/>
      <c r="X849" s="3" t="s">
        <v>79</v>
      </c>
      <c r="Y849" s="3" t="s">
        <v>84</v>
      </c>
    </row>
    <row r="850" spans="1:25" ht="15" customHeight="1" x14ac:dyDescent="0.3">
      <c r="A850" s="5">
        <v>45898</v>
      </c>
      <c r="B850" s="25">
        <v>29</v>
      </c>
      <c r="C850" s="3" t="s">
        <v>38</v>
      </c>
      <c r="D850" s="3" t="s">
        <v>355</v>
      </c>
      <c r="E850" s="3">
        <v>2</v>
      </c>
      <c r="F850" s="3">
        <v>176</v>
      </c>
      <c r="G850" s="6" t="s">
        <v>1149</v>
      </c>
      <c r="H850" s="3" t="s">
        <v>1299</v>
      </c>
      <c r="I850" s="6" t="s">
        <v>483</v>
      </c>
      <c r="J850" s="3">
        <v>5</v>
      </c>
      <c r="K850" s="3">
        <v>5</v>
      </c>
      <c r="L850" s="3">
        <v>18.12</v>
      </c>
      <c r="M850" s="3">
        <v>2.5</v>
      </c>
      <c r="N850" s="3">
        <v>12</v>
      </c>
      <c r="O850" s="3">
        <v>7.8</v>
      </c>
      <c r="P850" s="3" t="s">
        <v>1004</v>
      </c>
      <c r="Q850" s="3">
        <v>170</v>
      </c>
      <c r="R850" s="3"/>
      <c r="S850" s="3"/>
      <c r="T850" s="3"/>
      <c r="U850" s="3"/>
      <c r="V850" s="3"/>
      <c r="W850" s="3"/>
      <c r="X850" s="3" t="s">
        <v>1313</v>
      </c>
      <c r="Y850" s="3" t="s">
        <v>80</v>
      </c>
    </row>
    <row r="851" spans="1:25" ht="15" customHeight="1" x14ac:dyDescent="0.3">
      <c r="A851" s="5">
        <v>45898</v>
      </c>
      <c r="B851" s="25">
        <v>29</v>
      </c>
      <c r="C851" s="3" t="s">
        <v>38</v>
      </c>
      <c r="D851" s="3" t="s">
        <v>355</v>
      </c>
      <c r="E851" s="3">
        <v>2</v>
      </c>
      <c r="F851" s="3">
        <v>131</v>
      </c>
      <c r="G851" s="6" t="s">
        <v>1300</v>
      </c>
      <c r="H851" s="3" t="s">
        <v>1301</v>
      </c>
      <c r="I851" s="6" t="s">
        <v>483</v>
      </c>
      <c r="J851" s="3">
        <v>3</v>
      </c>
      <c r="K851" s="3">
        <v>3</v>
      </c>
      <c r="L851" s="3">
        <v>18.62</v>
      </c>
      <c r="M851" s="3">
        <v>5</v>
      </c>
      <c r="N851" s="3">
        <v>8.5</v>
      </c>
      <c r="O851" s="3">
        <v>5.5</v>
      </c>
      <c r="P851" s="3"/>
      <c r="Q851" s="3">
        <v>175</v>
      </c>
      <c r="R851" s="3"/>
      <c r="S851" s="3"/>
      <c r="T851" s="3"/>
      <c r="U851" s="3"/>
      <c r="V851" s="3"/>
      <c r="W851" s="3"/>
      <c r="X851" s="3" t="s">
        <v>1314</v>
      </c>
      <c r="Y851" s="3" t="s">
        <v>1273</v>
      </c>
    </row>
    <row r="852" spans="1:25" ht="15" customHeight="1" x14ac:dyDescent="0.3">
      <c r="A852" s="5">
        <v>45898</v>
      </c>
      <c r="B852" s="25">
        <v>29</v>
      </c>
      <c r="C852" s="3" t="s">
        <v>38</v>
      </c>
      <c r="D852" s="3" t="s">
        <v>355</v>
      </c>
      <c r="E852" s="3">
        <v>2</v>
      </c>
      <c r="F852" s="3">
        <v>132</v>
      </c>
      <c r="G852" s="6" t="s">
        <v>781</v>
      </c>
      <c r="H852" s="3" t="s">
        <v>1253</v>
      </c>
      <c r="I852" s="6" t="s">
        <v>483</v>
      </c>
      <c r="J852" s="3">
        <v>3</v>
      </c>
      <c r="K852" s="3">
        <v>3</v>
      </c>
      <c r="L852" s="3">
        <v>21.5</v>
      </c>
      <c r="M852" s="3">
        <v>4.2</v>
      </c>
      <c r="N852" s="3">
        <v>11.85</v>
      </c>
      <c r="O852" s="3">
        <v>5.7</v>
      </c>
      <c r="P852" s="3"/>
      <c r="Q852" s="3">
        <v>175</v>
      </c>
      <c r="R852" s="3"/>
      <c r="S852" s="3"/>
      <c r="T852" s="3"/>
      <c r="U852" s="3"/>
      <c r="V852" s="3"/>
      <c r="W852" s="3"/>
      <c r="X852" s="3" t="s">
        <v>84</v>
      </c>
      <c r="Y852" s="3" t="s">
        <v>1290</v>
      </c>
    </row>
    <row r="853" spans="1:25" ht="15" customHeight="1" x14ac:dyDescent="0.3">
      <c r="A853" s="5">
        <v>45898</v>
      </c>
      <c r="B853" s="25">
        <v>29</v>
      </c>
      <c r="C853" s="3" t="s">
        <v>38</v>
      </c>
      <c r="D853" s="3" t="s">
        <v>355</v>
      </c>
      <c r="E853" s="3">
        <v>2</v>
      </c>
      <c r="F853" s="3">
        <v>135</v>
      </c>
      <c r="G853" s="6" t="s">
        <v>1254</v>
      </c>
      <c r="H853" s="3" t="s">
        <v>1255</v>
      </c>
      <c r="I853" s="6" t="s">
        <v>483</v>
      </c>
      <c r="J853" s="3">
        <v>2</v>
      </c>
      <c r="K853" s="3">
        <v>2</v>
      </c>
      <c r="L853" s="3">
        <v>18.18</v>
      </c>
      <c r="M853" s="3">
        <v>4</v>
      </c>
      <c r="N853" s="3">
        <v>8</v>
      </c>
      <c r="O853" s="3">
        <v>5</v>
      </c>
      <c r="P853" s="3"/>
      <c r="Q853" s="3">
        <v>180</v>
      </c>
      <c r="R853" s="3"/>
      <c r="S853" s="3"/>
      <c r="T853" s="3"/>
      <c r="U853" s="3"/>
      <c r="V853" s="3"/>
      <c r="W853" s="3"/>
      <c r="X853" s="3" t="s">
        <v>89</v>
      </c>
      <c r="Y853" s="3" t="s">
        <v>399</v>
      </c>
    </row>
    <row r="854" spans="1:25" ht="15" customHeight="1" x14ac:dyDescent="0.3">
      <c r="A854" s="5">
        <v>45898</v>
      </c>
      <c r="B854" s="25">
        <v>29</v>
      </c>
      <c r="C854" s="3" t="s">
        <v>38</v>
      </c>
      <c r="D854" s="3" t="s">
        <v>355</v>
      </c>
      <c r="E854" s="3">
        <v>2</v>
      </c>
      <c r="F854" s="3">
        <v>202</v>
      </c>
      <c r="G854" s="6" t="s">
        <v>938</v>
      </c>
      <c r="H854" s="3" t="s">
        <v>1302</v>
      </c>
      <c r="I854" s="6" t="s">
        <v>111</v>
      </c>
      <c r="J854" s="3">
        <v>8</v>
      </c>
      <c r="K854" s="23">
        <v>6</v>
      </c>
      <c r="L854" s="3">
        <v>24.1</v>
      </c>
      <c r="M854" s="3">
        <v>8</v>
      </c>
      <c r="N854" s="3">
        <v>3</v>
      </c>
      <c r="O854" s="3"/>
      <c r="P854" s="3"/>
      <c r="Q854" s="3"/>
      <c r="R854" s="3" t="s">
        <v>71</v>
      </c>
      <c r="S854" s="3" t="s">
        <v>1132</v>
      </c>
      <c r="T854" s="3">
        <v>1</v>
      </c>
      <c r="U854" s="3">
        <v>20</v>
      </c>
      <c r="V854" s="3">
        <v>25</v>
      </c>
      <c r="W854" s="3">
        <v>140</v>
      </c>
      <c r="X854" s="3" t="s">
        <v>958</v>
      </c>
      <c r="Y854" s="3" t="s">
        <v>1319</v>
      </c>
    </row>
    <row r="855" spans="1:25" ht="15" customHeight="1" x14ac:dyDescent="0.3">
      <c r="A855" s="5">
        <v>45898</v>
      </c>
      <c r="B855" s="25">
        <v>29</v>
      </c>
      <c r="C855" s="3" t="s">
        <v>38</v>
      </c>
      <c r="D855" s="3" t="s">
        <v>355</v>
      </c>
      <c r="E855" s="3">
        <v>2</v>
      </c>
      <c r="F855" s="3">
        <v>203</v>
      </c>
      <c r="G855" s="6" t="s">
        <v>23</v>
      </c>
      <c r="H855" s="3" t="s">
        <v>1256</v>
      </c>
      <c r="I855" s="6" t="s">
        <v>111</v>
      </c>
      <c r="J855" s="3">
        <v>8</v>
      </c>
      <c r="K855" s="3">
        <v>8</v>
      </c>
      <c r="L855" s="3">
        <v>17.100000000000001</v>
      </c>
      <c r="M855" s="3">
        <v>8</v>
      </c>
      <c r="N855" s="3">
        <v>3</v>
      </c>
      <c r="O855" s="3"/>
      <c r="P855" s="3"/>
      <c r="Q855" s="3"/>
      <c r="R855" s="3" t="s">
        <v>1309</v>
      </c>
      <c r="S855" s="3" t="s">
        <v>1131</v>
      </c>
      <c r="T855" s="3">
        <v>1</v>
      </c>
      <c r="U855" s="3">
        <v>20</v>
      </c>
      <c r="V855" s="3">
        <v>25</v>
      </c>
      <c r="W855" s="3">
        <v>90</v>
      </c>
      <c r="X855" s="3" t="s">
        <v>1268</v>
      </c>
      <c r="Y855" s="6" t="s">
        <v>1320</v>
      </c>
    </row>
    <row r="856" spans="1:25" ht="15" customHeight="1" x14ac:dyDescent="0.3">
      <c r="A856" s="5">
        <v>45898</v>
      </c>
      <c r="B856" s="25">
        <v>29</v>
      </c>
      <c r="C856" s="3" t="s">
        <v>38</v>
      </c>
      <c r="D856" s="3" t="s">
        <v>355</v>
      </c>
      <c r="E856" s="3">
        <v>2</v>
      </c>
      <c r="F856" s="3">
        <v>204</v>
      </c>
      <c r="G856" s="6" t="s">
        <v>1206</v>
      </c>
      <c r="H856" s="3" t="s">
        <v>1303</v>
      </c>
      <c r="I856" s="6" t="s">
        <v>111</v>
      </c>
      <c r="J856" s="3">
        <v>16</v>
      </c>
      <c r="K856" s="23">
        <v>10</v>
      </c>
      <c r="L856" s="3">
        <v>28.8</v>
      </c>
      <c r="M856" s="3">
        <v>18</v>
      </c>
      <c r="N856" s="3">
        <v>2.2999999999999998</v>
      </c>
      <c r="O856" s="3"/>
      <c r="P856" s="3"/>
      <c r="Q856" s="3"/>
      <c r="R856" s="3" t="s">
        <v>386</v>
      </c>
      <c r="S856" s="3" t="s">
        <v>1311</v>
      </c>
      <c r="T856" s="3">
        <v>0.9</v>
      </c>
      <c r="U856" s="3">
        <v>20</v>
      </c>
      <c r="V856" s="3">
        <v>15</v>
      </c>
      <c r="W856" s="3">
        <v>85</v>
      </c>
      <c r="X856" s="3" t="s">
        <v>1315</v>
      </c>
      <c r="Y856" s="3"/>
    </row>
    <row r="857" spans="1:25" ht="15" customHeight="1" x14ac:dyDescent="0.3">
      <c r="A857" s="5">
        <v>45898</v>
      </c>
      <c r="B857" s="25">
        <v>29</v>
      </c>
      <c r="C857" s="3" t="s">
        <v>38</v>
      </c>
      <c r="D857" s="3" t="s">
        <v>355</v>
      </c>
      <c r="E857" s="3">
        <v>2</v>
      </c>
      <c r="F857" s="3">
        <v>206</v>
      </c>
      <c r="G857" s="6" t="s">
        <v>24</v>
      </c>
      <c r="H857" s="3" t="s">
        <v>1304</v>
      </c>
      <c r="I857" s="6" t="s">
        <v>111</v>
      </c>
      <c r="J857" s="3">
        <v>12</v>
      </c>
      <c r="K857" s="23">
        <v>11</v>
      </c>
      <c r="L857" s="3">
        <v>23.8</v>
      </c>
      <c r="M857" s="3">
        <v>15</v>
      </c>
      <c r="N857" s="3">
        <v>1.2</v>
      </c>
      <c r="O857" s="3"/>
      <c r="P857" s="3"/>
      <c r="Q857" s="3"/>
      <c r="R857" s="3" t="s">
        <v>1266</v>
      </c>
      <c r="S857" s="3" t="s">
        <v>1266</v>
      </c>
      <c r="T857" s="3">
        <v>0.5</v>
      </c>
      <c r="U857" s="3">
        <v>31</v>
      </c>
      <c r="V857" s="3">
        <v>45</v>
      </c>
      <c r="W857" s="3">
        <v>125</v>
      </c>
      <c r="X857" s="3" t="s">
        <v>648</v>
      </c>
      <c r="Y857" s="6" t="s">
        <v>1321</v>
      </c>
    </row>
    <row r="858" spans="1:25" ht="15" customHeight="1" x14ac:dyDescent="0.3">
      <c r="A858" s="5">
        <v>45898</v>
      </c>
      <c r="B858" s="25">
        <v>29</v>
      </c>
      <c r="C858" s="3" t="s">
        <v>38</v>
      </c>
      <c r="D858" s="3" t="s">
        <v>355</v>
      </c>
      <c r="E858" s="3">
        <v>2</v>
      </c>
      <c r="F858" s="3">
        <v>207</v>
      </c>
      <c r="G858" s="6" t="s">
        <v>476</v>
      </c>
      <c r="H858" s="3" t="s">
        <v>1156</v>
      </c>
      <c r="I858" s="6" t="s">
        <v>111</v>
      </c>
      <c r="J858" s="3">
        <v>12</v>
      </c>
      <c r="K858" s="23">
        <v>6</v>
      </c>
      <c r="L858" s="3">
        <v>34.01</v>
      </c>
      <c r="M858" s="3">
        <v>15</v>
      </c>
      <c r="N858" s="3">
        <v>3.1</v>
      </c>
      <c r="O858" s="3"/>
      <c r="P858" s="3"/>
      <c r="Q858" s="3"/>
      <c r="R858" s="3" t="s">
        <v>726</v>
      </c>
      <c r="S858" s="3" t="s">
        <v>491</v>
      </c>
      <c r="T858" s="3">
        <v>2.5</v>
      </c>
      <c r="U858" s="3">
        <v>25</v>
      </c>
      <c r="V858" s="3">
        <v>35</v>
      </c>
      <c r="W858" s="3">
        <v>140</v>
      </c>
      <c r="X858" s="3" t="s">
        <v>1058</v>
      </c>
      <c r="Y858" s="3" t="s">
        <v>1200</v>
      </c>
    </row>
    <row r="859" spans="1:25" ht="15" customHeight="1" x14ac:dyDescent="0.3">
      <c r="A859" s="5">
        <v>45898</v>
      </c>
      <c r="B859" s="25">
        <v>29</v>
      </c>
      <c r="C859" s="3" t="s">
        <v>38</v>
      </c>
      <c r="D859" s="3" t="s">
        <v>355</v>
      </c>
      <c r="E859" s="3">
        <v>2</v>
      </c>
      <c r="F859" s="3">
        <v>208</v>
      </c>
      <c r="G859" s="6" t="s">
        <v>791</v>
      </c>
      <c r="H859" s="3" t="s">
        <v>1257</v>
      </c>
      <c r="I859" s="6" t="s">
        <v>111</v>
      </c>
      <c r="J859" s="3">
        <v>4</v>
      </c>
      <c r="K859" s="23">
        <v>3</v>
      </c>
      <c r="L859" s="3">
        <v>24.59</v>
      </c>
      <c r="M859" s="3">
        <v>11</v>
      </c>
      <c r="N859" s="3">
        <v>3.4</v>
      </c>
      <c r="O859" s="3"/>
      <c r="P859" s="3"/>
      <c r="Q859" s="3"/>
      <c r="R859" s="3" t="s">
        <v>63</v>
      </c>
      <c r="S859" s="3" t="s">
        <v>726</v>
      </c>
      <c r="T859" s="3">
        <v>2</v>
      </c>
      <c r="U859" s="3">
        <v>15</v>
      </c>
      <c r="V859" s="3">
        <v>20</v>
      </c>
      <c r="W859" s="3">
        <v>140</v>
      </c>
      <c r="X859" s="3" t="s">
        <v>1197</v>
      </c>
      <c r="Y859" s="3" t="s">
        <v>1276</v>
      </c>
    </row>
    <row r="860" spans="1:25" ht="15" customHeight="1" x14ac:dyDescent="0.3">
      <c r="A860" s="5">
        <v>45898</v>
      </c>
      <c r="B860" s="25">
        <v>29</v>
      </c>
      <c r="C860" s="3" t="s">
        <v>38</v>
      </c>
      <c r="D860" s="3" t="s">
        <v>355</v>
      </c>
      <c r="E860" s="3">
        <v>2</v>
      </c>
      <c r="F860" s="3">
        <v>210</v>
      </c>
      <c r="G860" s="6" t="s">
        <v>1305</v>
      </c>
      <c r="H860" s="3" t="s">
        <v>1306</v>
      </c>
      <c r="I860" s="6" t="s">
        <v>111</v>
      </c>
      <c r="J860" s="3">
        <v>4</v>
      </c>
      <c r="K860" s="3">
        <v>4</v>
      </c>
      <c r="L860" s="3">
        <v>21.5</v>
      </c>
      <c r="M860" s="3">
        <v>7.5</v>
      </c>
      <c r="N860" s="3">
        <v>4</v>
      </c>
      <c r="O860" s="3"/>
      <c r="P860" s="3"/>
      <c r="Q860" s="3"/>
      <c r="R860" s="3" t="s">
        <v>867</v>
      </c>
      <c r="S860" s="3" t="s">
        <v>1211</v>
      </c>
      <c r="T860" s="3">
        <v>1</v>
      </c>
      <c r="U860" s="3">
        <v>20</v>
      </c>
      <c r="V860" s="3">
        <v>330</v>
      </c>
      <c r="W860" s="3">
        <v>100</v>
      </c>
      <c r="X860" s="3" t="s">
        <v>1316</v>
      </c>
      <c r="Y860" s="3" t="s">
        <v>1322</v>
      </c>
    </row>
    <row r="861" spans="1:25" ht="15" customHeight="1" x14ac:dyDescent="0.3">
      <c r="A861" s="5">
        <v>45898</v>
      </c>
      <c r="B861" s="25">
        <v>29</v>
      </c>
      <c r="C861" s="3" t="s">
        <v>38</v>
      </c>
      <c r="D861" s="3" t="s">
        <v>355</v>
      </c>
      <c r="E861" s="3">
        <v>2</v>
      </c>
      <c r="F861" s="3">
        <v>301</v>
      </c>
      <c r="G861" s="6" t="s">
        <v>30</v>
      </c>
      <c r="H861" s="3" t="s">
        <v>194</v>
      </c>
      <c r="I861" s="6" t="s">
        <v>793</v>
      </c>
      <c r="J861" s="3">
        <v>8</v>
      </c>
      <c r="K861" s="23">
        <v>5</v>
      </c>
      <c r="L861" s="3">
        <v>26.7</v>
      </c>
      <c r="M861" s="3">
        <v>8</v>
      </c>
      <c r="N861" s="3">
        <v>5.5</v>
      </c>
      <c r="O861" s="3"/>
      <c r="P861" s="3"/>
      <c r="Q861" s="3">
        <v>145</v>
      </c>
      <c r="R861" s="3" t="s">
        <v>1310</v>
      </c>
      <c r="S861" s="3" t="s">
        <v>1267</v>
      </c>
      <c r="T861" s="3">
        <v>1.5</v>
      </c>
      <c r="U861" s="3">
        <v>25</v>
      </c>
      <c r="V861" s="3">
        <v>35</v>
      </c>
      <c r="W861" s="3">
        <v>130</v>
      </c>
      <c r="X861" s="3" t="s">
        <v>253</v>
      </c>
      <c r="Y861" s="3" t="s">
        <v>1323</v>
      </c>
    </row>
    <row r="862" spans="1:25" ht="15" customHeight="1" x14ac:dyDescent="0.3">
      <c r="A862" s="5">
        <v>45898</v>
      </c>
      <c r="B862" s="25">
        <v>29</v>
      </c>
      <c r="C862" s="3" t="s">
        <v>38</v>
      </c>
      <c r="D862" s="3" t="s">
        <v>355</v>
      </c>
      <c r="E862" s="3">
        <v>2</v>
      </c>
      <c r="F862" s="3">
        <v>303</v>
      </c>
      <c r="G862" s="6" t="s">
        <v>1258</v>
      </c>
      <c r="H862" s="3" t="s">
        <v>1259</v>
      </c>
      <c r="I862" s="6" t="s">
        <v>793</v>
      </c>
      <c r="J862" s="3">
        <v>8</v>
      </c>
      <c r="K862" s="23">
        <v>7</v>
      </c>
      <c r="L862" s="3">
        <v>54.7</v>
      </c>
      <c r="M862" s="3">
        <v>30</v>
      </c>
      <c r="N862" s="3">
        <v>8</v>
      </c>
      <c r="O862" s="3"/>
      <c r="P862" s="3"/>
      <c r="Q862" s="3">
        <v>170</v>
      </c>
      <c r="R862" s="3" t="s">
        <v>851</v>
      </c>
      <c r="S862" s="3" t="s">
        <v>1053</v>
      </c>
      <c r="T862" s="3">
        <v>3</v>
      </c>
      <c r="U862" s="3">
        <v>30</v>
      </c>
      <c r="V862" s="3">
        <v>50</v>
      </c>
      <c r="W862" s="3">
        <v>135</v>
      </c>
      <c r="X862" s="3" t="s">
        <v>1288</v>
      </c>
      <c r="Y862" s="3" t="s">
        <v>1324</v>
      </c>
    </row>
    <row r="863" spans="1:25" ht="15" customHeight="1" x14ac:dyDescent="0.3">
      <c r="A863" s="5">
        <v>45898</v>
      </c>
      <c r="B863" s="25">
        <v>29</v>
      </c>
      <c r="C863" s="3" t="s">
        <v>38</v>
      </c>
      <c r="D863" s="3" t="s">
        <v>355</v>
      </c>
      <c r="E863" s="3">
        <v>2</v>
      </c>
      <c r="F863" s="3">
        <v>501</v>
      </c>
      <c r="G863" s="6" t="s">
        <v>1260</v>
      </c>
      <c r="H863" s="3" t="s">
        <v>1261</v>
      </c>
      <c r="I863" s="6" t="s">
        <v>110</v>
      </c>
      <c r="J863" s="3">
        <v>6</v>
      </c>
      <c r="K863" s="3">
        <v>6</v>
      </c>
      <c r="L863" s="3">
        <v>17.62</v>
      </c>
      <c r="M863" s="3"/>
      <c r="N863" s="3"/>
      <c r="O863" s="3">
        <v>11</v>
      </c>
      <c r="P863" s="3"/>
      <c r="Q863" s="3"/>
      <c r="R863" s="3"/>
      <c r="S863" s="3"/>
      <c r="T863" s="3"/>
      <c r="U863" s="3"/>
      <c r="V863" s="3"/>
      <c r="W863" s="3">
        <v>300</v>
      </c>
      <c r="X863" s="3" t="s">
        <v>151</v>
      </c>
      <c r="Y863" s="3"/>
    </row>
    <row r="864" spans="1:25" ht="15" customHeight="1" x14ac:dyDescent="0.3">
      <c r="A864" s="5">
        <v>45898</v>
      </c>
      <c r="B864" s="25">
        <v>29</v>
      </c>
      <c r="C864" s="3" t="s">
        <v>38</v>
      </c>
      <c r="D864" s="3" t="s">
        <v>355</v>
      </c>
      <c r="E864" s="3">
        <v>2</v>
      </c>
      <c r="F864" s="3">
        <v>102</v>
      </c>
      <c r="G864" s="6" t="s">
        <v>1282</v>
      </c>
      <c r="H864" s="3" t="s">
        <v>1283</v>
      </c>
      <c r="I864" s="6" t="s">
        <v>793</v>
      </c>
      <c r="J864" s="3">
        <v>5</v>
      </c>
      <c r="K864" s="3">
        <v>5</v>
      </c>
      <c r="L864" s="3">
        <v>19.02</v>
      </c>
      <c r="M864" s="3">
        <v>5</v>
      </c>
      <c r="N864" s="3">
        <v>9.5</v>
      </c>
      <c r="O864" s="3">
        <v>8</v>
      </c>
      <c r="P864" s="3">
        <v>35</v>
      </c>
      <c r="Q864" s="3">
        <v>170</v>
      </c>
      <c r="R864" s="3"/>
      <c r="S864" s="3"/>
      <c r="T864" s="3"/>
      <c r="U864" s="3"/>
      <c r="V864" s="3"/>
      <c r="W864" s="3"/>
      <c r="X864" s="3" t="s">
        <v>288</v>
      </c>
      <c r="Y864" s="3" t="s">
        <v>580</v>
      </c>
    </row>
    <row r="865" spans="1:25" ht="15" customHeight="1" x14ac:dyDescent="0.3">
      <c r="A865" s="27">
        <v>45901</v>
      </c>
      <c r="B865" s="25">
        <v>29</v>
      </c>
      <c r="C865" s="3" t="s">
        <v>38</v>
      </c>
      <c r="D865" s="3" t="s">
        <v>545</v>
      </c>
      <c r="E865" s="3">
        <v>2</v>
      </c>
      <c r="F865" s="3">
        <v>103</v>
      </c>
      <c r="G865" s="6" t="s">
        <v>163</v>
      </c>
      <c r="H865" s="3" t="s">
        <v>928</v>
      </c>
      <c r="I865" s="6" t="s">
        <v>793</v>
      </c>
      <c r="J865" s="3">
        <v>5</v>
      </c>
      <c r="K865" s="3">
        <v>5</v>
      </c>
      <c r="L865" s="3">
        <v>14.95</v>
      </c>
      <c r="M865" s="3">
        <v>3.8</v>
      </c>
      <c r="N865" s="3">
        <v>6.8</v>
      </c>
      <c r="O865" s="3">
        <v>6.5</v>
      </c>
      <c r="P865" s="3">
        <v>25</v>
      </c>
      <c r="Q865" s="3">
        <v>165</v>
      </c>
      <c r="R865" s="3"/>
      <c r="S865" s="3"/>
      <c r="T865" s="3"/>
      <c r="U865" s="3"/>
      <c r="V865" s="3"/>
      <c r="W865" s="3"/>
      <c r="X865" s="3" t="s">
        <v>79</v>
      </c>
      <c r="Y865" s="3" t="s">
        <v>254</v>
      </c>
    </row>
    <row r="866" spans="1:25" ht="15" customHeight="1" x14ac:dyDescent="0.3">
      <c r="A866" s="27">
        <v>45901</v>
      </c>
      <c r="B866" s="25">
        <v>29</v>
      </c>
      <c r="C866" s="3" t="s">
        <v>38</v>
      </c>
      <c r="D866" s="3" t="s">
        <v>545</v>
      </c>
      <c r="E866" s="3">
        <v>2</v>
      </c>
      <c r="F866" s="3">
        <v>104</v>
      </c>
      <c r="G866" s="6" t="s">
        <v>403</v>
      </c>
      <c r="H866" s="3" t="s">
        <v>1325</v>
      </c>
      <c r="I866" s="6" t="s">
        <v>793</v>
      </c>
      <c r="J866" s="3">
        <v>9</v>
      </c>
      <c r="K866" s="23">
        <v>8</v>
      </c>
      <c r="L866" s="3">
        <v>15</v>
      </c>
      <c r="M866" s="3">
        <v>1.5</v>
      </c>
      <c r="N866" s="3">
        <v>6.5</v>
      </c>
      <c r="O866" s="3">
        <v>6.5</v>
      </c>
      <c r="P866" s="3"/>
      <c r="Q866" s="3">
        <v>170</v>
      </c>
      <c r="R866" s="3"/>
      <c r="S866" s="3"/>
      <c r="T866" s="3"/>
      <c r="U866" s="3"/>
      <c r="V866" s="3"/>
      <c r="W866" s="3"/>
      <c r="X866" s="3" t="s">
        <v>1344</v>
      </c>
      <c r="Y866" s="3" t="s">
        <v>84</v>
      </c>
    </row>
    <row r="867" spans="1:25" ht="15" customHeight="1" x14ac:dyDescent="0.3">
      <c r="A867" s="27">
        <v>45901</v>
      </c>
      <c r="B867" s="25">
        <v>29</v>
      </c>
      <c r="C867" s="3" t="s">
        <v>38</v>
      </c>
      <c r="D867" s="3" t="s">
        <v>545</v>
      </c>
      <c r="E867" s="3">
        <v>2</v>
      </c>
      <c r="F867" s="3">
        <v>161</v>
      </c>
      <c r="G867" s="6" t="s">
        <v>274</v>
      </c>
      <c r="H867" s="3" t="s">
        <v>1221</v>
      </c>
      <c r="I867" s="6" t="s">
        <v>483</v>
      </c>
      <c r="J867" s="3">
        <v>2</v>
      </c>
      <c r="K867" s="3">
        <v>2</v>
      </c>
      <c r="L867" s="3">
        <v>18.149999999999999</v>
      </c>
      <c r="M867" s="3">
        <v>6.5</v>
      </c>
      <c r="N867" s="3">
        <v>7</v>
      </c>
      <c r="O867" s="3">
        <v>2.2999999999999998</v>
      </c>
      <c r="P867" s="3">
        <v>31</v>
      </c>
      <c r="Q867" s="3">
        <v>180</v>
      </c>
      <c r="R867" s="3"/>
      <c r="S867" s="3"/>
      <c r="T867" s="3"/>
      <c r="U867" s="3"/>
      <c r="V867" s="3"/>
      <c r="W867" s="3"/>
      <c r="X867" s="3" t="s">
        <v>207</v>
      </c>
      <c r="Y867" s="3" t="s">
        <v>153</v>
      </c>
    </row>
    <row r="868" spans="1:25" ht="15" customHeight="1" x14ac:dyDescent="0.3">
      <c r="A868" s="27">
        <v>45901</v>
      </c>
      <c r="B868" s="25">
        <v>29</v>
      </c>
      <c r="C868" s="3" t="s">
        <v>38</v>
      </c>
      <c r="D868" s="3" t="s">
        <v>545</v>
      </c>
      <c r="E868" s="3">
        <v>2</v>
      </c>
      <c r="F868" s="3">
        <v>164</v>
      </c>
      <c r="G868" s="6" t="s">
        <v>11</v>
      </c>
      <c r="H868" s="3" t="s">
        <v>1178</v>
      </c>
      <c r="I868" s="6" t="s">
        <v>483</v>
      </c>
      <c r="J868" s="3">
        <v>2</v>
      </c>
      <c r="K868" s="3">
        <v>2</v>
      </c>
      <c r="L868" s="3">
        <v>22.8</v>
      </c>
      <c r="M868" s="3">
        <v>6.8</v>
      </c>
      <c r="N868" s="3">
        <v>11</v>
      </c>
      <c r="O868" s="3">
        <v>3.4</v>
      </c>
      <c r="P868" s="3"/>
      <c r="Q868" s="3">
        <v>170</v>
      </c>
      <c r="R868" s="3"/>
      <c r="S868" s="3"/>
      <c r="T868" s="3"/>
      <c r="U868" s="3"/>
      <c r="V868" s="3"/>
      <c r="W868" s="3"/>
      <c r="X868" s="3" t="s">
        <v>138</v>
      </c>
      <c r="Y868" s="3" t="s">
        <v>1018</v>
      </c>
    </row>
    <row r="869" spans="1:25" ht="15" customHeight="1" x14ac:dyDescent="0.3">
      <c r="A869" s="27">
        <v>45901</v>
      </c>
      <c r="B869" s="25">
        <v>29</v>
      </c>
      <c r="C869" s="3" t="s">
        <v>38</v>
      </c>
      <c r="D869" s="3" t="s">
        <v>545</v>
      </c>
      <c r="E869" s="3">
        <v>2</v>
      </c>
      <c r="F869" s="3">
        <v>181</v>
      </c>
      <c r="G869" s="6" t="s">
        <v>1245</v>
      </c>
      <c r="H869" s="3" t="s">
        <v>1246</v>
      </c>
      <c r="I869" s="6" t="s">
        <v>483</v>
      </c>
      <c r="J869" s="3">
        <v>4</v>
      </c>
      <c r="K869" s="3">
        <v>4</v>
      </c>
      <c r="L869" s="3">
        <v>15</v>
      </c>
      <c r="M869" s="3">
        <v>4</v>
      </c>
      <c r="N869" s="3">
        <v>3.5</v>
      </c>
      <c r="O869" s="3">
        <v>2.9</v>
      </c>
      <c r="P869" s="3">
        <v>29</v>
      </c>
      <c r="Q869" s="3">
        <v>180</v>
      </c>
      <c r="R869" s="3"/>
      <c r="S869" s="3"/>
      <c r="T869" s="3"/>
      <c r="U869" s="3"/>
      <c r="V869" s="3"/>
      <c r="W869" s="3"/>
      <c r="X869" s="3" t="s">
        <v>686</v>
      </c>
      <c r="Y869" s="3" t="s">
        <v>153</v>
      </c>
    </row>
    <row r="870" spans="1:25" ht="15" customHeight="1" x14ac:dyDescent="0.3">
      <c r="A870" s="27">
        <v>45901</v>
      </c>
      <c r="B870" s="25">
        <v>29</v>
      </c>
      <c r="C870" s="3" t="s">
        <v>38</v>
      </c>
      <c r="D870" s="3" t="s">
        <v>545</v>
      </c>
      <c r="E870" s="3">
        <v>2</v>
      </c>
      <c r="F870" s="3">
        <v>182</v>
      </c>
      <c r="G870" s="6" t="s">
        <v>785</v>
      </c>
      <c r="H870" s="3" t="s">
        <v>1326</v>
      </c>
      <c r="I870" s="6" t="s">
        <v>483</v>
      </c>
      <c r="J870" s="3">
        <v>4</v>
      </c>
      <c r="K870" s="3">
        <v>4</v>
      </c>
      <c r="L870" s="3">
        <v>14</v>
      </c>
      <c r="M870" s="3">
        <v>3</v>
      </c>
      <c r="N870" s="3">
        <v>6</v>
      </c>
      <c r="O870" s="3">
        <v>3</v>
      </c>
      <c r="P870" s="3">
        <v>31</v>
      </c>
      <c r="Q870" s="3">
        <v>170</v>
      </c>
      <c r="R870" s="3"/>
      <c r="S870" s="3"/>
      <c r="T870" s="3"/>
      <c r="U870" s="3"/>
      <c r="V870" s="3"/>
      <c r="W870" s="3"/>
      <c r="X870" s="3" t="s">
        <v>82</v>
      </c>
      <c r="Y870" s="3" t="s">
        <v>396</v>
      </c>
    </row>
    <row r="871" spans="1:25" ht="15" customHeight="1" x14ac:dyDescent="0.3">
      <c r="A871" s="27">
        <v>45901</v>
      </c>
      <c r="B871" s="25">
        <v>29</v>
      </c>
      <c r="C871" s="3" t="s">
        <v>38</v>
      </c>
      <c r="D871" s="3" t="s">
        <v>545</v>
      </c>
      <c r="E871" s="3">
        <v>2</v>
      </c>
      <c r="F871" s="3">
        <v>401</v>
      </c>
      <c r="G871" s="6" t="s">
        <v>844</v>
      </c>
      <c r="H871" s="3" t="s">
        <v>1224</v>
      </c>
      <c r="I871" s="6" t="s">
        <v>483</v>
      </c>
      <c r="J871" s="3">
        <v>1</v>
      </c>
      <c r="K871" s="3">
        <v>1</v>
      </c>
      <c r="L871" s="3">
        <v>12.49</v>
      </c>
      <c r="M871" s="3"/>
      <c r="N871" s="3"/>
      <c r="O871" s="3">
        <v>4</v>
      </c>
      <c r="P871" s="3"/>
      <c r="Q871" s="3">
        <v>175</v>
      </c>
      <c r="R871" s="3"/>
      <c r="S871" s="3"/>
      <c r="T871" s="3"/>
      <c r="U871" s="3"/>
      <c r="V871" s="3"/>
      <c r="W871" s="3"/>
      <c r="X871" s="3" t="s">
        <v>1345</v>
      </c>
      <c r="Y871" s="3"/>
    </row>
    <row r="872" spans="1:25" ht="15" customHeight="1" x14ac:dyDescent="0.3">
      <c r="A872" s="27">
        <v>45901</v>
      </c>
      <c r="B872" s="25">
        <v>29</v>
      </c>
      <c r="C872" s="3" t="s">
        <v>38</v>
      </c>
      <c r="D872" s="3" t="s">
        <v>545</v>
      </c>
      <c r="E872" s="3">
        <v>2</v>
      </c>
      <c r="F872" s="3">
        <v>404</v>
      </c>
      <c r="G872" s="6" t="s">
        <v>983</v>
      </c>
      <c r="H872" s="3" t="s">
        <v>984</v>
      </c>
      <c r="I872" s="6" t="s">
        <v>483</v>
      </c>
      <c r="J872" s="3">
        <v>2</v>
      </c>
      <c r="K872" s="3">
        <v>2</v>
      </c>
      <c r="L872" s="3">
        <v>7.4</v>
      </c>
      <c r="M872" s="3"/>
      <c r="N872" s="3"/>
      <c r="O872" s="3">
        <v>2.5</v>
      </c>
      <c r="P872" s="3"/>
      <c r="Q872" s="3">
        <v>160</v>
      </c>
      <c r="R872" s="3"/>
      <c r="S872" s="3"/>
      <c r="T872" s="3"/>
      <c r="U872" s="3"/>
      <c r="V872" s="3"/>
      <c r="W872" s="3"/>
      <c r="X872" s="3" t="s">
        <v>1346</v>
      </c>
      <c r="Y872" s="3"/>
    </row>
    <row r="873" spans="1:25" ht="15" customHeight="1" x14ac:dyDescent="0.3">
      <c r="A873" s="27">
        <v>45901</v>
      </c>
      <c r="B873" s="25">
        <v>29</v>
      </c>
      <c r="C873" s="3" t="s">
        <v>38</v>
      </c>
      <c r="D873" s="3" t="s">
        <v>545</v>
      </c>
      <c r="E873" s="3">
        <v>2</v>
      </c>
      <c r="F873" s="3">
        <v>171</v>
      </c>
      <c r="G873" s="6" t="s">
        <v>1327</v>
      </c>
      <c r="H873" s="3" t="s">
        <v>1328</v>
      </c>
      <c r="I873" s="6" t="s">
        <v>483</v>
      </c>
      <c r="J873" s="3">
        <v>4</v>
      </c>
      <c r="K873" s="3">
        <v>4</v>
      </c>
      <c r="L873" s="3">
        <v>18.48</v>
      </c>
      <c r="M873" s="3">
        <v>2.7</v>
      </c>
      <c r="N873" s="3">
        <v>10.8</v>
      </c>
      <c r="O873" s="3">
        <v>6.8</v>
      </c>
      <c r="P873" s="3"/>
      <c r="Q873" s="3">
        <v>170</v>
      </c>
      <c r="R873" s="3"/>
      <c r="S873" s="3"/>
      <c r="T873" s="3"/>
      <c r="U873" s="3"/>
      <c r="V873" s="3"/>
      <c r="W873" s="3"/>
      <c r="X873" s="3" t="s">
        <v>901</v>
      </c>
      <c r="Y873" s="3" t="s">
        <v>1356</v>
      </c>
    </row>
    <row r="874" spans="1:25" ht="15" customHeight="1" x14ac:dyDescent="0.3">
      <c r="A874" s="27">
        <v>45901</v>
      </c>
      <c r="B874" s="25">
        <v>29</v>
      </c>
      <c r="C874" s="3" t="s">
        <v>38</v>
      </c>
      <c r="D874" s="3" t="s">
        <v>545</v>
      </c>
      <c r="E874" s="3">
        <v>2</v>
      </c>
      <c r="F874" s="3">
        <v>172</v>
      </c>
      <c r="G874" s="6" t="s">
        <v>472</v>
      </c>
      <c r="H874" s="3" t="s">
        <v>1329</v>
      </c>
      <c r="I874" s="6" t="s">
        <v>483</v>
      </c>
      <c r="J874" s="3">
        <v>4</v>
      </c>
      <c r="K874" s="3">
        <v>4</v>
      </c>
      <c r="L874" s="3">
        <v>16.34</v>
      </c>
      <c r="M874" s="3">
        <v>0.5</v>
      </c>
      <c r="N874" s="3">
        <v>11</v>
      </c>
      <c r="O874" s="3">
        <v>7</v>
      </c>
      <c r="P874" s="3" t="s">
        <v>1339</v>
      </c>
      <c r="Q874" s="3">
        <v>170</v>
      </c>
      <c r="R874" s="3"/>
      <c r="S874" s="3"/>
      <c r="T874" s="3"/>
      <c r="U874" s="3"/>
      <c r="V874" s="3"/>
      <c r="W874" s="3"/>
      <c r="X874" s="3" t="s">
        <v>1105</v>
      </c>
      <c r="Y874" s="3" t="s">
        <v>80</v>
      </c>
    </row>
    <row r="875" spans="1:25" ht="15" customHeight="1" x14ac:dyDescent="0.3">
      <c r="A875" s="27">
        <v>45901</v>
      </c>
      <c r="B875" s="25">
        <v>29</v>
      </c>
      <c r="C875" s="3" t="s">
        <v>38</v>
      </c>
      <c r="D875" s="3" t="s">
        <v>545</v>
      </c>
      <c r="E875" s="3">
        <v>2</v>
      </c>
      <c r="F875" s="3">
        <v>174</v>
      </c>
      <c r="G875" s="6" t="s">
        <v>310</v>
      </c>
      <c r="H875" s="3" t="s">
        <v>1330</v>
      </c>
      <c r="I875" s="6" t="s">
        <v>483</v>
      </c>
      <c r="J875" s="3">
        <v>3</v>
      </c>
      <c r="K875" s="3">
        <v>3</v>
      </c>
      <c r="L875" s="3">
        <v>18</v>
      </c>
      <c r="M875" s="3">
        <v>3</v>
      </c>
      <c r="N875" s="3">
        <v>10</v>
      </c>
      <c r="O875" s="3">
        <v>6</v>
      </c>
      <c r="P875" s="3"/>
      <c r="Q875" s="3">
        <v>175</v>
      </c>
      <c r="R875" s="3"/>
      <c r="S875" s="3"/>
      <c r="T875" s="3"/>
      <c r="U875" s="3"/>
      <c r="V875" s="3"/>
      <c r="W875" s="3"/>
      <c r="X875" s="3" t="s">
        <v>1347</v>
      </c>
      <c r="Y875" s="3" t="s">
        <v>84</v>
      </c>
    </row>
    <row r="876" spans="1:25" ht="15" customHeight="1" x14ac:dyDescent="0.3">
      <c r="A876" s="27">
        <v>45901</v>
      </c>
      <c r="B876" s="25">
        <v>29</v>
      </c>
      <c r="C876" s="3" t="s">
        <v>38</v>
      </c>
      <c r="D876" s="3" t="s">
        <v>545</v>
      </c>
      <c r="E876" s="3">
        <v>2</v>
      </c>
      <c r="F876" s="3">
        <v>176</v>
      </c>
      <c r="G876" s="6" t="s">
        <v>1149</v>
      </c>
      <c r="H876" s="3" t="s">
        <v>1299</v>
      </c>
      <c r="I876" s="6" t="s">
        <v>483</v>
      </c>
      <c r="J876" s="3">
        <v>5</v>
      </c>
      <c r="K876" s="3">
        <v>5</v>
      </c>
      <c r="L876" s="3">
        <v>17.88</v>
      </c>
      <c r="M876" s="3">
        <v>2.2000000000000002</v>
      </c>
      <c r="N876" s="3">
        <v>12</v>
      </c>
      <c r="O876" s="3">
        <v>7.8</v>
      </c>
      <c r="P876" s="3" t="s">
        <v>1004</v>
      </c>
      <c r="Q876" s="3">
        <v>175</v>
      </c>
      <c r="R876" s="3"/>
      <c r="S876" s="3"/>
      <c r="T876" s="3"/>
      <c r="U876" s="3"/>
      <c r="V876" s="3"/>
      <c r="W876" s="3"/>
      <c r="X876" s="3" t="s">
        <v>253</v>
      </c>
      <c r="Y876" s="3" t="s">
        <v>80</v>
      </c>
    </row>
    <row r="877" spans="1:25" ht="15" customHeight="1" x14ac:dyDescent="0.3">
      <c r="A877" s="27">
        <v>45901</v>
      </c>
      <c r="B877" s="25">
        <v>29</v>
      </c>
      <c r="C877" s="3" t="s">
        <v>38</v>
      </c>
      <c r="D877" s="3" t="s">
        <v>545</v>
      </c>
      <c r="E877" s="3">
        <v>2</v>
      </c>
      <c r="F877" s="3">
        <v>131</v>
      </c>
      <c r="G877" s="6" t="s">
        <v>1300</v>
      </c>
      <c r="H877" s="3" t="s">
        <v>1301</v>
      </c>
      <c r="I877" s="6" t="s">
        <v>483</v>
      </c>
      <c r="J877" s="3">
        <v>3</v>
      </c>
      <c r="K877" s="3">
        <v>3</v>
      </c>
      <c r="L877" s="3">
        <v>18.62</v>
      </c>
      <c r="M877" s="3">
        <v>5</v>
      </c>
      <c r="N877" s="3">
        <v>8.5</v>
      </c>
      <c r="O877" s="3">
        <v>5.5</v>
      </c>
      <c r="P877" s="3"/>
      <c r="Q877" s="3"/>
      <c r="R877" s="3"/>
      <c r="S877" s="3"/>
      <c r="T877" s="3"/>
      <c r="U877" s="3"/>
      <c r="V877" s="3"/>
      <c r="W877" s="3"/>
      <c r="X877" s="3" t="s">
        <v>1314</v>
      </c>
      <c r="Y877" s="3" t="s">
        <v>1273</v>
      </c>
    </row>
    <row r="878" spans="1:25" ht="15" customHeight="1" x14ac:dyDescent="0.3">
      <c r="A878" s="27">
        <v>45901</v>
      </c>
      <c r="B878" s="25">
        <v>29</v>
      </c>
      <c r="C878" s="3" t="s">
        <v>38</v>
      </c>
      <c r="D878" s="3" t="s">
        <v>545</v>
      </c>
      <c r="E878" s="3">
        <v>2</v>
      </c>
      <c r="F878" s="3">
        <v>132</v>
      </c>
      <c r="G878" s="6" t="s">
        <v>781</v>
      </c>
      <c r="H878" s="3" t="s">
        <v>1253</v>
      </c>
      <c r="I878" s="6" t="s">
        <v>483</v>
      </c>
      <c r="J878" s="3">
        <v>3</v>
      </c>
      <c r="K878" s="3">
        <v>3</v>
      </c>
      <c r="L878" s="3">
        <v>21.59</v>
      </c>
      <c r="M878" s="3">
        <v>4.2</v>
      </c>
      <c r="N878" s="3">
        <v>11.85</v>
      </c>
      <c r="O878" s="3">
        <v>5.7</v>
      </c>
      <c r="P878" s="3"/>
      <c r="Q878" s="3"/>
      <c r="R878" s="3"/>
      <c r="S878" s="3"/>
      <c r="T878" s="3"/>
      <c r="U878" s="3"/>
      <c r="V878" s="3"/>
      <c r="W878" s="3"/>
      <c r="X878" s="3" t="s">
        <v>1348</v>
      </c>
      <c r="Y878" s="3" t="s">
        <v>1290</v>
      </c>
    </row>
    <row r="879" spans="1:25" ht="15" customHeight="1" x14ac:dyDescent="0.3">
      <c r="A879" s="27">
        <v>45901</v>
      </c>
      <c r="B879" s="25">
        <v>29</v>
      </c>
      <c r="C879" s="3" t="s">
        <v>38</v>
      </c>
      <c r="D879" s="3" t="s">
        <v>545</v>
      </c>
      <c r="E879" s="3">
        <v>2</v>
      </c>
      <c r="F879" s="3">
        <v>201</v>
      </c>
      <c r="G879" s="6" t="s">
        <v>1331</v>
      </c>
      <c r="H879" s="3" t="s">
        <v>1332</v>
      </c>
      <c r="I879" s="6" t="s">
        <v>112</v>
      </c>
      <c r="J879" s="3">
        <v>24</v>
      </c>
      <c r="K879" s="23">
        <v>20</v>
      </c>
      <c r="L879" s="3">
        <v>24.6</v>
      </c>
      <c r="M879" s="3">
        <v>13</v>
      </c>
      <c r="N879" s="3">
        <v>3</v>
      </c>
      <c r="O879" s="3"/>
      <c r="P879" s="3"/>
      <c r="Q879" s="3"/>
      <c r="R879" s="3" t="s">
        <v>315</v>
      </c>
      <c r="S879" s="3" t="s">
        <v>63</v>
      </c>
      <c r="T879" s="3">
        <v>0.8</v>
      </c>
      <c r="U879" s="3">
        <v>20</v>
      </c>
      <c r="V879" s="3">
        <v>25</v>
      </c>
      <c r="W879" s="3">
        <v>130</v>
      </c>
      <c r="X879" s="3" t="s">
        <v>1349</v>
      </c>
      <c r="Y879" s="3"/>
    </row>
    <row r="880" spans="1:25" ht="15" customHeight="1" x14ac:dyDescent="0.3">
      <c r="A880" s="27">
        <v>45901</v>
      </c>
      <c r="B880" s="25">
        <v>29</v>
      </c>
      <c r="C880" s="3" t="s">
        <v>38</v>
      </c>
      <c r="D880" s="3" t="s">
        <v>545</v>
      </c>
      <c r="E880" s="3">
        <v>2</v>
      </c>
      <c r="F880" s="3">
        <v>202</v>
      </c>
      <c r="G880" s="6" t="s">
        <v>1333</v>
      </c>
      <c r="H880" s="3" t="s">
        <v>1302</v>
      </c>
      <c r="I880" s="6" t="s">
        <v>110</v>
      </c>
      <c r="J880" s="3">
        <v>8</v>
      </c>
      <c r="K880" s="3">
        <v>8</v>
      </c>
      <c r="L880" s="3">
        <v>25.5</v>
      </c>
      <c r="M880" s="3">
        <v>14</v>
      </c>
      <c r="N880" s="3">
        <v>1.5</v>
      </c>
      <c r="O880" s="3"/>
      <c r="P880" s="3"/>
      <c r="Q880" s="3"/>
      <c r="R880" s="3" t="s">
        <v>318</v>
      </c>
      <c r="S880" s="3" t="s">
        <v>1343</v>
      </c>
      <c r="T880" s="3">
        <v>1.5</v>
      </c>
      <c r="U880" s="3">
        <v>20</v>
      </c>
      <c r="V880" s="3">
        <v>40</v>
      </c>
      <c r="W880" s="3">
        <v>140</v>
      </c>
      <c r="X880" s="3" t="s">
        <v>1350</v>
      </c>
      <c r="Y880" s="3"/>
    </row>
    <row r="881" spans="1:25" ht="15" customHeight="1" x14ac:dyDescent="0.3">
      <c r="A881" s="27">
        <v>45901</v>
      </c>
      <c r="B881" s="25">
        <v>29</v>
      </c>
      <c r="C881" s="3" t="s">
        <v>38</v>
      </c>
      <c r="D881" s="3" t="s">
        <v>545</v>
      </c>
      <c r="E881" s="3">
        <v>2</v>
      </c>
      <c r="F881" s="3">
        <v>203</v>
      </c>
      <c r="G881" s="6" t="s">
        <v>23</v>
      </c>
      <c r="H881" s="3" t="s">
        <v>1256</v>
      </c>
      <c r="I881" s="6" t="s">
        <v>111</v>
      </c>
      <c r="J881" s="3">
        <v>8</v>
      </c>
      <c r="K881" s="3">
        <v>8</v>
      </c>
      <c r="L881" s="3">
        <v>17.2</v>
      </c>
      <c r="M881" s="3">
        <v>8</v>
      </c>
      <c r="N881" s="3">
        <v>3</v>
      </c>
      <c r="O881" s="3"/>
      <c r="P881" s="3"/>
      <c r="Q881" s="3"/>
      <c r="R881" s="3" t="s">
        <v>1264</v>
      </c>
      <c r="S881" s="3" t="s">
        <v>203</v>
      </c>
      <c r="T881" s="3">
        <v>1</v>
      </c>
      <c r="U881" s="3">
        <v>20</v>
      </c>
      <c r="V881" s="3">
        <v>25</v>
      </c>
      <c r="W881" s="3">
        <v>90</v>
      </c>
      <c r="X881" s="3" t="s">
        <v>1351</v>
      </c>
      <c r="Y881" s="6" t="s">
        <v>1357</v>
      </c>
    </row>
    <row r="882" spans="1:25" ht="15" customHeight="1" x14ac:dyDescent="0.3">
      <c r="A882" s="27">
        <v>45901</v>
      </c>
      <c r="B882" s="25">
        <v>29</v>
      </c>
      <c r="C882" s="3" t="s">
        <v>38</v>
      </c>
      <c r="D882" s="3" t="s">
        <v>545</v>
      </c>
      <c r="E882" s="3">
        <v>2</v>
      </c>
      <c r="F882" s="3">
        <v>204</v>
      </c>
      <c r="G882" s="6" t="s">
        <v>1334</v>
      </c>
      <c r="H882" s="3" t="s">
        <v>1335</v>
      </c>
      <c r="I882" s="6" t="s">
        <v>112</v>
      </c>
      <c r="J882" s="3">
        <v>8</v>
      </c>
      <c r="K882" s="3">
        <v>8</v>
      </c>
      <c r="L882" s="3">
        <v>21.4</v>
      </c>
      <c r="M882" s="3">
        <v>10</v>
      </c>
      <c r="N882" s="3">
        <v>3</v>
      </c>
      <c r="O882" s="3"/>
      <c r="P882" s="3"/>
      <c r="Q882" s="3"/>
      <c r="R882" s="3" t="s">
        <v>853</v>
      </c>
      <c r="S882" s="3" t="s">
        <v>133</v>
      </c>
      <c r="T882" s="3">
        <v>1</v>
      </c>
      <c r="U882" s="3">
        <v>20</v>
      </c>
      <c r="V882" s="3">
        <v>25</v>
      </c>
      <c r="W882" s="3">
        <v>105</v>
      </c>
      <c r="X882" s="3" t="s">
        <v>1352</v>
      </c>
      <c r="Y882" s="3"/>
    </row>
    <row r="883" spans="1:25" ht="15" customHeight="1" x14ac:dyDescent="0.3">
      <c r="A883" s="27">
        <v>45901</v>
      </c>
      <c r="B883" s="25">
        <v>29</v>
      </c>
      <c r="C883" s="3" t="s">
        <v>38</v>
      </c>
      <c r="D883" s="3" t="s">
        <v>545</v>
      </c>
      <c r="E883" s="3">
        <v>2</v>
      </c>
      <c r="F883" s="3">
        <v>206</v>
      </c>
      <c r="G883" s="6" t="s">
        <v>24</v>
      </c>
      <c r="H883" s="3" t="s">
        <v>1304</v>
      </c>
      <c r="I883" s="6" t="s">
        <v>111</v>
      </c>
      <c r="J883" s="3">
        <v>12</v>
      </c>
      <c r="K883" s="23">
        <v>11</v>
      </c>
      <c r="L883" s="3">
        <v>26.8</v>
      </c>
      <c r="M883" s="3">
        <v>18</v>
      </c>
      <c r="N883" s="3">
        <v>1.2</v>
      </c>
      <c r="O883" s="3"/>
      <c r="P883" s="3"/>
      <c r="Q883" s="3"/>
      <c r="R883" s="3" t="s">
        <v>1340</v>
      </c>
      <c r="S883" s="3" t="s">
        <v>1266</v>
      </c>
      <c r="T883" s="3">
        <v>0.5</v>
      </c>
      <c r="U883" s="3">
        <v>33</v>
      </c>
      <c r="V883" s="3">
        <v>45</v>
      </c>
      <c r="W883" s="3">
        <v>125</v>
      </c>
      <c r="X883" s="3" t="s">
        <v>1353</v>
      </c>
      <c r="Y883" s="6" t="s">
        <v>1358</v>
      </c>
    </row>
    <row r="884" spans="1:25" ht="15" customHeight="1" x14ac:dyDescent="0.3">
      <c r="A884" s="27">
        <v>45901</v>
      </c>
      <c r="B884" s="25">
        <v>29</v>
      </c>
      <c r="C884" s="3" t="s">
        <v>38</v>
      </c>
      <c r="D884" s="3" t="s">
        <v>545</v>
      </c>
      <c r="E884" s="3">
        <v>2</v>
      </c>
      <c r="F884" s="3">
        <v>207</v>
      </c>
      <c r="G884" s="6" t="s">
        <v>476</v>
      </c>
      <c r="H884" s="3" t="s">
        <v>1156</v>
      </c>
      <c r="I884" s="6" t="s">
        <v>111</v>
      </c>
      <c r="J884" s="3">
        <v>12</v>
      </c>
      <c r="K884" s="23">
        <v>7</v>
      </c>
      <c r="L884" s="3">
        <v>34.130000000000003</v>
      </c>
      <c r="M884" s="3">
        <v>15</v>
      </c>
      <c r="N884" s="3">
        <v>3.15</v>
      </c>
      <c r="O884" s="3"/>
      <c r="P884" s="3"/>
      <c r="Q884" s="3"/>
      <c r="R884" s="3" t="s">
        <v>726</v>
      </c>
      <c r="S884" s="3" t="s">
        <v>491</v>
      </c>
      <c r="T884" s="3">
        <v>2.5</v>
      </c>
      <c r="U884" s="3">
        <v>25</v>
      </c>
      <c r="V884" s="3">
        <v>35</v>
      </c>
      <c r="W884" s="3">
        <v>140</v>
      </c>
      <c r="X884" s="3" t="s">
        <v>1058</v>
      </c>
      <c r="Y884" s="6" t="s">
        <v>1359</v>
      </c>
    </row>
    <row r="885" spans="1:25" ht="15" customHeight="1" x14ac:dyDescent="0.3">
      <c r="A885" s="27">
        <v>45901</v>
      </c>
      <c r="B885" s="25">
        <v>29</v>
      </c>
      <c r="C885" s="3" t="s">
        <v>38</v>
      </c>
      <c r="D885" s="3" t="s">
        <v>545</v>
      </c>
      <c r="E885" s="3">
        <v>2</v>
      </c>
      <c r="F885" s="3">
        <v>208</v>
      </c>
      <c r="G885" s="6" t="s">
        <v>791</v>
      </c>
      <c r="H885" s="3" t="s">
        <v>1257</v>
      </c>
      <c r="I885" s="6" t="s">
        <v>111</v>
      </c>
      <c r="J885" s="3">
        <v>4</v>
      </c>
      <c r="K885" s="23">
        <v>3</v>
      </c>
      <c r="L885" s="3">
        <v>24.1</v>
      </c>
      <c r="M885" s="3">
        <v>11</v>
      </c>
      <c r="N885" s="3">
        <v>3.4</v>
      </c>
      <c r="O885" s="3"/>
      <c r="P885" s="3"/>
      <c r="Q885" s="3"/>
      <c r="R885" s="3" t="s">
        <v>1341</v>
      </c>
      <c r="S885" s="3" t="s">
        <v>726</v>
      </c>
      <c r="T885" s="3">
        <v>2</v>
      </c>
      <c r="U885" s="3">
        <v>15</v>
      </c>
      <c r="V885" s="3">
        <v>20</v>
      </c>
      <c r="W885" s="3">
        <v>140</v>
      </c>
      <c r="X885" s="3" t="s">
        <v>1197</v>
      </c>
      <c r="Y885" s="3" t="s">
        <v>1360</v>
      </c>
    </row>
    <row r="886" spans="1:25" ht="15" customHeight="1" x14ac:dyDescent="0.3">
      <c r="A886" s="27">
        <v>45901</v>
      </c>
      <c r="B886" s="25">
        <v>29</v>
      </c>
      <c r="C886" s="3" t="s">
        <v>38</v>
      </c>
      <c r="D886" s="3" t="s">
        <v>545</v>
      </c>
      <c r="E886" s="3">
        <v>2</v>
      </c>
      <c r="F886" s="3">
        <v>209</v>
      </c>
      <c r="G886" s="6" t="s">
        <v>1336</v>
      </c>
      <c r="H886" s="3" t="s">
        <v>1337</v>
      </c>
      <c r="I886" s="6" t="s">
        <v>111</v>
      </c>
      <c r="J886" s="3">
        <v>12</v>
      </c>
      <c r="K886" s="23">
        <v>9</v>
      </c>
      <c r="L886" s="3">
        <v>25.7</v>
      </c>
      <c r="M886" s="3">
        <v>10</v>
      </c>
      <c r="N886" s="3">
        <v>3</v>
      </c>
      <c r="O886" s="3"/>
      <c r="P886" s="3"/>
      <c r="Q886" s="3"/>
      <c r="R886" s="3" t="s">
        <v>1342</v>
      </c>
      <c r="S886" s="3" t="s">
        <v>1101</v>
      </c>
      <c r="T886" s="3">
        <v>2</v>
      </c>
      <c r="U886" s="3">
        <v>33</v>
      </c>
      <c r="V886" s="3">
        <v>40</v>
      </c>
      <c r="W886" s="3">
        <v>95</v>
      </c>
      <c r="X886" s="3" t="s">
        <v>1354</v>
      </c>
      <c r="Y886" s="3" t="s">
        <v>1361</v>
      </c>
    </row>
    <row r="887" spans="1:25" ht="15" customHeight="1" x14ac:dyDescent="0.3">
      <c r="A887" s="27">
        <v>45901</v>
      </c>
      <c r="B887" s="25">
        <v>29</v>
      </c>
      <c r="C887" s="3" t="s">
        <v>38</v>
      </c>
      <c r="D887" s="3" t="s">
        <v>545</v>
      </c>
      <c r="E887" s="3">
        <v>2</v>
      </c>
      <c r="F887" s="3">
        <v>210</v>
      </c>
      <c r="G887" s="6" t="s">
        <v>191</v>
      </c>
      <c r="H887" s="3" t="s">
        <v>1338</v>
      </c>
      <c r="I887" s="6" t="s">
        <v>111</v>
      </c>
      <c r="J887" s="3">
        <v>4</v>
      </c>
      <c r="K887" s="3">
        <v>4</v>
      </c>
      <c r="L887" s="3">
        <v>22</v>
      </c>
      <c r="M887" s="3">
        <v>8</v>
      </c>
      <c r="N887" s="3">
        <v>4</v>
      </c>
      <c r="O887" s="3"/>
      <c r="P887" s="3"/>
      <c r="Q887" s="3"/>
      <c r="R887" s="3" t="s">
        <v>1006</v>
      </c>
      <c r="S887" s="3" t="s">
        <v>827</v>
      </c>
      <c r="T887" s="3">
        <v>1</v>
      </c>
      <c r="U887" s="3">
        <v>20</v>
      </c>
      <c r="V887" s="3">
        <v>30</v>
      </c>
      <c r="W887" s="3">
        <v>100</v>
      </c>
      <c r="X887" s="3" t="s">
        <v>1355</v>
      </c>
      <c r="Y887" s="3" t="s">
        <v>1362</v>
      </c>
    </row>
    <row r="888" spans="1:25" ht="15" customHeight="1" x14ac:dyDescent="0.3">
      <c r="A888" s="27">
        <v>45901</v>
      </c>
      <c r="B888" s="25">
        <v>29</v>
      </c>
      <c r="C888" s="3" t="s">
        <v>38</v>
      </c>
      <c r="D888" s="3" t="s">
        <v>545</v>
      </c>
      <c r="E888" s="3">
        <v>2</v>
      </c>
      <c r="F888" s="3">
        <v>501</v>
      </c>
      <c r="G888" s="6" t="s">
        <v>1260</v>
      </c>
      <c r="H888" s="3" t="s">
        <v>1261</v>
      </c>
      <c r="I888" s="6" t="s">
        <v>110</v>
      </c>
      <c r="J888" s="3">
        <v>6</v>
      </c>
      <c r="K888" s="3">
        <v>6</v>
      </c>
      <c r="L888" s="3">
        <v>17.62</v>
      </c>
      <c r="M888" s="3"/>
      <c r="N888" s="3"/>
      <c r="O888" s="3">
        <v>11</v>
      </c>
      <c r="P888" s="3"/>
      <c r="Q888" s="3"/>
      <c r="R888" s="3"/>
      <c r="S888" s="3"/>
      <c r="T888" s="3"/>
      <c r="U888" s="3"/>
      <c r="V888" s="3"/>
      <c r="W888" s="3"/>
      <c r="X888" s="3" t="s">
        <v>151</v>
      </c>
      <c r="Y888" s="3"/>
    </row>
    <row r="889" spans="1:25" ht="15" customHeight="1" x14ac:dyDescent="0.3">
      <c r="A889" s="27">
        <v>45901</v>
      </c>
      <c r="B889" s="25">
        <v>29</v>
      </c>
      <c r="C889" s="3" t="s">
        <v>38</v>
      </c>
      <c r="D889" s="3" t="s">
        <v>545</v>
      </c>
      <c r="E889" s="3">
        <v>2</v>
      </c>
      <c r="F889" s="3">
        <v>502</v>
      </c>
      <c r="G889" s="6" t="s">
        <v>889</v>
      </c>
      <c r="H889" s="3" t="s">
        <v>890</v>
      </c>
      <c r="I889" s="6" t="s">
        <v>110</v>
      </c>
      <c r="J889" s="3">
        <v>4</v>
      </c>
      <c r="K889" s="3">
        <v>4</v>
      </c>
      <c r="L889" s="3">
        <v>17.62</v>
      </c>
      <c r="M889" s="3"/>
      <c r="N889" s="3"/>
      <c r="O889" s="3">
        <v>10.5</v>
      </c>
      <c r="P889" s="3"/>
      <c r="Q889" s="3"/>
      <c r="R889" s="3"/>
      <c r="S889" s="3"/>
      <c r="T889" s="3"/>
      <c r="U889" s="3"/>
      <c r="V889" s="3"/>
      <c r="W889" s="3"/>
      <c r="X889" s="3" t="s">
        <v>1216</v>
      </c>
      <c r="Y889" s="3"/>
    </row>
    <row r="890" spans="1:25" ht="15" customHeight="1" x14ac:dyDescent="0.3">
      <c r="A890" s="5">
        <v>45902</v>
      </c>
      <c r="B890" s="25">
        <v>30</v>
      </c>
      <c r="C890" s="3" t="s">
        <v>38</v>
      </c>
      <c r="D890" s="3" t="s">
        <v>545</v>
      </c>
      <c r="E890" s="3">
        <v>2</v>
      </c>
      <c r="F890" s="3">
        <v>102</v>
      </c>
      <c r="G890" s="6" t="s">
        <v>547</v>
      </c>
      <c r="H890" s="3" t="s">
        <v>1363</v>
      </c>
      <c r="I890" s="6" t="s">
        <v>793</v>
      </c>
      <c r="J890" s="3">
        <v>5</v>
      </c>
      <c r="K890" s="3">
        <v>5</v>
      </c>
      <c r="L890" s="3">
        <v>18.79</v>
      </c>
      <c r="M890" s="3">
        <v>5</v>
      </c>
      <c r="N890" s="3">
        <v>9</v>
      </c>
      <c r="O890" s="3">
        <v>7</v>
      </c>
      <c r="P890" s="3">
        <v>35</v>
      </c>
      <c r="Q890" s="3">
        <v>170</v>
      </c>
      <c r="R890" s="3"/>
      <c r="S890" s="3"/>
      <c r="T890" s="3"/>
      <c r="U890" s="3"/>
      <c r="V890" s="3"/>
      <c r="W890" s="3"/>
      <c r="X890" s="3" t="s">
        <v>251</v>
      </c>
      <c r="Y890" s="3" t="s">
        <v>580</v>
      </c>
    </row>
    <row r="891" spans="1:25" ht="15" customHeight="1" x14ac:dyDescent="0.3">
      <c r="A891" s="5">
        <v>45902</v>
      </c>
      <c r="B891" s="25">
        <v>30</v>
      </c>
      <c r="C891" s="3" t="s">
        <v>38</v>
      </c>
      <c r="D891" s="3" t="s">
        <v>545</v>
      </c>
      <c r="E891" s="3">
        <v>2</v>
      </c>
      <c r="F891" s="3">
        <v>103</v>
      </c>
      <c r="G891" s="6" t="s">
        <v>163</v>
      </c>
      <c r="H891" s="3" t="s">
        <v>928</v>
      </c>
      <c r="I891" s="6" t="s">
        <v>793</v>
      </c>
      <c r="J891" s="3">
        <v>5</v>
      </c>
      <c r="K891" s="3">
        <v>5</v>
      </c>
      <c r="L891" s="3">
        <v>14.97</v>
      </c>
      <c r="M891" s="3">
        <v>3.8</v>
      </c>
      <c r="N891" s="3">
        <v>6.8</v>
      </c>
      <c r="O891" s="3">
        <v>6.5</v>
      </c>
      <c r="P891" s="3">
        <v>25</v>
      </c>
      <c r="Q891" s="3">
        <v>165</v>
      </c>
      <c r="R891" s="3"/>
      <c r="S891" s="3"/>
      <c r="T891" s="3"/>
      <c r="U891" s="3"/>
      <c r="V891" s="3"/>
      <c r="W891" s="3"/>
      <c r="X891" s="3" t="s">
        <v>79</v>
      </c>
      <c r="Y891" s="3" t="s">
        <v>254</v>
      </c>
    </row>
    <row r="892" spans="1:25" ht="15" customHeight="1" x14ac:dyDescent="0.3">
      <c r="A892" s="5">
        <v>45902</v>
      </c>
      <c r="B892" s="25">
        <v>30</v>
      </c>
      <c r="C892" s="3" t="s">
        <v>38</v>
      </c>
      <c r="D892" s="3" t="s">
        <v>545</v>
      </c>
      <c r="E892" s="3">
        <v>2</v>
      </c>
      <c r="F892" s="3">
        <v>162</v>
      </c>
      <c r="G892" s="6" t="s">
        <v>1364</v>
      </c>
      <c r="H892" s="3" t="s">
        <v>1365</v>
      </c>
      <c r="I892" s="6" t="s">
        <v>483</v>
      </c>
      <c r="J892" s="3">
        <v>2</v>
      </c>
      <c r="K892" s="3">
        <v>2</v>
      </c>
      <c r="L892" s="3">
        <v>18</v>
      </c>
      <c r="M892" s="3">
        <v>5</v>
      </c>
      <c r="N892" s="3">
        <v>8</v>
      </c>
      <c r="O892" s="3">
        <v>3</v>
      </c>
      <c r="P892" s="3">
        <v>15</v>
      </c>
      <c r="Q892" s="3">
        <v>170</v>
      </c>
      <c r="R892" s="3"/>
      <c r="S892" s="3"/>
      <c r="T892" s="3"/>
      <c r="U892" s="3"/>
      <c r="V892" s="3"/>
      <c r="W892" s="3"/>
      <c r="X892" s="3" t="s">
        <v>288</v>
      </c>
      <c r="Y892" s="3" t="s">
        <v>152</v>
      </c>
    </row>
    <row r="893" spans="1:25" ht="15" customHeight="1" x14ac:dyDescent="0.3">
      <c r="A893" s="5">
        <v>45902</v>
      </c>
      <c r="B893" s="25">
        <v>30</v>
      </c>
      <c r="C893" s="3" t="s">
        <v>38</v>
      </c>
      <c r="D893" s="3" t="s">
        <v>545</v>
      </c>
      <c r="E893" s="3">
        <v>2</v>
      </c>
      <c r="F893" s="3">
        <v>164</v>
      </c>
      <c r="G893" s="6" t="s">
        <v>11</v>
      </c>
      <c r="H893" s="3" t="s">
        <v>1178</v>
      </c>
      <c r="I893" s="6" t="s">
        <v>483</v>
      </c>
      <c r="J893" s="3">
        <v>2</v>
      </c>
      <c r="K893" s="3">
        <v>2</v>
      </c>
      <c r="L893" s="3">
        <v>23.09</v>
      </c>
      <c r="M893" s="3">
        <v>7</v>
      </c>
      <c r="N893" s="3">
        <v>11</v>
      </c>
      <c r="O893" s="3">
        <v>3.4</v>
      </c>
      <c r="P893" s="3"/>
      <c r="Q893" s="3">
        <v>170</v>
      </c>
      <c r="R893" s="3"/>
      <c r="S893" s="3"/>
      <c r="T893" s="3"/>
      <c r="U893" s="3"/>
      <c r="V893" s="3"/>
      <c r="W893" s="3"/>
      <c r="X893" s="3" t="s">
        <v>138</v>
      </c>
      <c r="Y893" s="3" t="s">
        <v>1018</v>
      </c>
    </row>
    <row r="894" spans="1:25" ht="15" customHeight="1" x14ac:dyDescent="0.3">
      <c r="A894" s="5">
        <v>45902</v>
      </c>
      <c r="B894" s="25">
        <v>30</v>
      </c>
      <c r="C894" s="3" t="s">
        <v>38</v>
      </c>
      <c r="D894" s="3" t="s">
        <v>545</v>
      </c>
      <c r="E894" s="3">
        <v>2</v>
      </c>
      <c r="F894" s="3">
        <v>182</v>
      </c>
      <c r="G894" s="6" t="s">
        <v>785</v>
      </c>
      <c r="H894" s="3" t="s">
        <v>1326</v>
      </c>
      <c r="I894" s="6" t="s">
        <v>483</v>
      </c>
      <c r="J894" s="3">
        <v>4</v>
      </c>
      <c r="K894" s="3">
        <v>4</v>
      </c>
      <c r="L894" s="3">
        <v>14</v>
      </c>
      <c r="M894" s="3">
        <v>3</v>
      </c>
      <c r="N894" s="3">
        <v>6</v>
      </c>
      <c r="O894" s="3">
        <v>3</v>
      </c>
      <c r="P894" s="3">
        <v>27</v>
      </c>
      <c r="Q894" s="3">
        <v>170</v>
      </c>
      <c r="R894" s="3"/>
      <c r="S894" s="3"/>
      <c r="T894" s="3"/>
      <c r="U894" s="3"/>
      <c r="V894" s="3"/>
      <c r="W894" s="3"/>
      <c r="X894" s="3" t="s">
        <v>82</v>
      </c>
      <c r="Y894" s="3" t="s">
        <v>396</v>
      </c>
    </row>
    <row r="895" spans="1:25" ht="15" customHeight="1" x14ac:dyDescent="0.3">
      <c r="A895" s="5">
        <v>45902</v>
      </c>
      <c r="B895" s="25">
        <v>30</v>
      </c>
      <c r="C895" s="3" t="s">
        <v>38</v>
      </c>
      <c r="D895" s="3" t="s">
        <v>545</v>
      </c>
      <c r="E895" s="3">
        <v>2</v>
      </c>
      <c r="F895" s="3">
        <v>404</v>
      </c>
      <c r="G895" s="6" t="s">
        <v>983</v>
      </c>
      <c r="H895" s="3" t="s">
        <v>984</v>
      </c>
      <c r="I895" s="6" t="s">
        <v>483</v>
      </c>
      <c r="J895" s="3">
        <v>2</v>
      </c>
      <c r="K895" s="3">
        <v>2</v>
      </c>
      <c r="L895" s="3">
        <v>7.3</v>
      </c>
      <c r="M895" s="3"/>
      <c r="N895" s="3"/>
      <c r="O895" s="3">
        <v>2.5</v>
      </c>
      <c r="P895" s="3"/>
      <c r="Q895" s="3"/>
      <c r="R895" s="3"/>
      <c r="S895" s="3"/>
      <c r="T895" s="3"/>
      <c r="U895" s="3"/>
      <c r="V895" s="3"/>
      <c r="W895" s="3"/>
      <c r="X895" s="3" t="s">
        <v>1380</v>
      </c>
      <c r="Y895" s="3"/>
    </row>
    <row r="896" spans="1:25" ht="15" customHeight="1" x14ac:dyDescent="0.3">
      <c r="A896" s="5">
        <v>45902</v>
      </c>
      <c r="B896" s="25">
        <v>30</v>
      </c>
      <c r="C896" s="3" t="s">
        <v>38</v>
      </c>
      <c r="D896" s="3" t="s">
        <v>545</v>
      </c>
      <c r="E896" s="3">
        <v>2</v>
      </c>
      <c r="F896" s="3">
        <v>405</v>
      </c>
      <c r="G896" s="6" t="s">
        <v>1295</v>
      </c>
      <c r="H896" s="3" t="s">
        <v>1296</v>
      </c>
      <c r="I896" s="6" t="s">
        <v>483</v>
      </c>
      <c r="J896" s="3">
        <v>2</v>
      </c>
      <c r="K896" s="3">
        <v>2</v>
      </c>
      <c r="L896" s="3">
        <v>8.1</v>
      </c>
      <c r="M896" s="3"/>
      <c r="N896" s="3"/>
      <c r="O896" s="3">
        <v>2.5</v>
      </c>
      <c r="P896" s="3"/>
      <c r="Q896" s="3"/>
      <c r="R896" s="3"/>
      <c r="S896" s="3"/>
      <c r="T896" s="3"/>
      <c r="U896" s="3"/>
      <c r="V896" s="3"/>
      <c r="W896" s="3"/>
      <c r="X896" s="3" t="s">
        <v>1381</v>
      </c>
      <c r="Y896" s="3"/>
    </row>
    <row r="897" spans="1:25" ht="15" customHeight="1" x14ac:dyDescent="0.3">
      <c r="A897" s="5">
        <v>45902</v>
      </c>
      <c r="B897" s="25">
        <v>30</v>
      </c>
      <c r="C897" s="3" t="s">
        <v>38</v>
      </c>
      <c r="D897" s="3" t="s">
        <v>545</v>
      </c>
      <c r="E897" s="3">
        <v>2</v>
      </c>
      <c r="F897" s="3">
        <v>172</v>
      </c>
      <c r="G897" s="6" t="s">
        <v>472</v>
      </c>
      <c r="H897" s="3" t="s">
        <v>1329</v>
      </c>
      <c r="I897" s="6" t="s">
        <v>483</v>
      </c>
      <c r="J897" s="3">
        <v>4</v>
      </c>
      <c r="K897" s="3">
        <v>4</v>
      </c>
      <c r="L897" s="3">
        <v>16.510000000000002</v>
      </c>
      <c r="M897" s="3">
        <v>0.5</v>
      </c>
      <c r="N897" s="3">
        <v>11</v>
      </c>
      <c r="O897" s="3">
        <v>7</v>
      </c>
      <c r="P897" s="3" t="s">
        <v>1339</v>
      </c>
      <c r="Q897" s="3">
        <v>160</v>
      </c>
      <c r="R897" s="3"/>
      <c r="S897" s="3"/>
      <c r="T897" s="3"/>
      <c r="U897" s="3"/>
      <c r="V897" s="3"/>
      <c r="W897" s="3"/>
      <c r="X897" s="3" t="s">
        <v>1105</v>
      </c>
      <c r="Y897" s="3" t="s">
        <v>80</v>
      </c>
    </row>
    <row r="898" spans="1:25" ht="15" customHeight="1" x14ac:dyDescent="0.3">
      <c r="A898" s="5">
        <v>45902</v>
      </c>
      <c r="B898" s="25">
        <v>30</v>
      </c>
      <c r="C898" s="3" t="s">
        <v>38</v>
      </c>
      <c r="D898" s="3" t="s">
        <v>545</v>
      </c>
      <c r="E898" s="3">
        <v>2</v>
      </c>
      <c r="F898" s="3">
        <v>173</v>
      </c>
      <c r="G898" s="6" t="s">
        <v>883</v>
      </c>
      <c r="H898" s="3" t="s">
        <v>1366</v>
      </c>
      <c r="I898" s="6" t="s">
        <v>483</v>
      </c>
      <c r="J898" s="3">
        <v>5</v>
      </c>
      <c r="K898" s="3">
        <v>5</v>
      </c>
      <c r="L898" s="3">
        <v>16.39</v>
      </c>
      <c r="M898" s="3">
        <v>0.9</v>
      </c>
      <c r="N898" s="3">
        <v>11</v>
      </c>
      <c r="O898" s="3">
        <v>7</v>
      </c>
      <c r="P898" s="3" t="s">
        <v>1374</v>
      </c>
      <c r="Q898" s="3">
        <v>170</v>
      </c>
      <c r="R898" s="3"/>
      <c r="S898" s="3"/>
      <c r="T898" s="3"/>
      <c r="U898" s="3"/>
      <c r="V898" s="3"/>
      <c r="W898" s="3"/>
      <c r="X898" s="3" t="s">
        <v>288</v>
      </c>
      <c r="Y898" s="3" t="s">
        <v>87</v>
      </c>
    </row>
    <row r="899" spans="1:25" ht="15" customHeight="1" x14ac:dyDescent="0.3">
      <c r="A899" s="5">
        <v>45902</v>
      </c>
      <c r="B899" s="25">
        <v>30</v>
      </c>
      <c r="C899" s="3" t="s">
        <v>38</v>
      </c>
      <c r="D899" s="3" t="s">
        <v>545</v>
      </c>
      <c r="E899" s="3">
        <v>2</v>
      </c>
      <c r="F899" s="3">
        <v>174</v>
      </c>
      <c r="G899" s="6" t="s">
        <v>310</v>
      </c>
      <c r="H899" s="3" t="s">
        <v>1330</v>
      </c>
      <c r="I899" s="6" t="s">
        <v>483</v>
      </c>
      <c r="J899" s="3">
        <v>3</v>
      </c>
      <c r="K899" s="3">
        <v>3</v>
      </c>
      <c r="L899" s="3">
        <v>17.98</v>
      </c>
      <c r="M899" s="3">
        <v>3</v>
      </c>
      <c r="N899" s="3">
        <v>10</v>
      </c>
      <c r="O899" s="3">
        <v>6</v>
      </c>
      <c r="P899" s="3" t="s">
        <v>1375</v>
      </c>
      <c r="Q899" s="3">
        <v>170</v>
      </c>
      <c r="R899" s="3"/>
      <c r="S899" s="3"/>
      <c r="T899" s="3"/>
      <c r="U899" s="3"/>
      <c r="V899" s="3"/>
      <c r="W899" s="3"/>
      <c r="X899" s="3" t="s">
        <v>1347</v>
      </c>
      <c r="Y899" s="3" t="s">
        <v>84</v>
      </c>
    </row>
    <row r="900" spans="1:25" ht="15" customHeight="1" x14ac:dyDescent="0.3">
      <c r="A900" s="5">
        <v>45902</v>
      </c>
      <c r="B900" s="25">
        <v>30</v>
      </c>
      <c r="C900" s="3" t="s">
        <v>38</v>
      </c>
      <c r="D900" s="3" t="s">
        <v>545</v>
      </c>
      <c r="E900" s="3">
        <v>2</v>
      </c>
      <c r="F900" s="3">
        <v>175</v>
      </c>
      <c r="G900" s="6" t="s">
        <v>1367</v>
      </c>
      <c r="H900" s="3" t="s">
        <v>1368</v>
      </c>
      <c r="I900" s="6" t="s">
        <v>483</v>
      </c>
      <c r="J900" s="3">
        <v>5</v>
      </c>
      <c r="K900" s="3">
        <v>5</v>
      </c>
      <c r="L900" s="3">
        <v>12.87</v>
      </c>
      <c r="M900" s="3">
        <v>0.2</v>
      </c>
      <c r="N900" s="3">
        <v>7.25</v>
      </c>
      <c r="O900" s="3">
        <v>6</v>
      </c>
      <c r="P900" s="3" t="s">
        <v>1376</v>
      </c>
      <c r="Q900" s="3">
        <v>165</v>
      </c>
      <c r="R900" s="3"/>
      <c r="S900" s="3"/>
      <c r="T900" s="3"/>
      <c r="U900" s="3"/>
      <c r="V900" s="3"/>
      <c r="W900" s="3"/>
      <c r="X900" s="3" t="s">
        <v>79</v>
      </c>
      <c r="Y900" s="3" t="s">
        <v>84</v>
      </c>
    </row>
    <row r="901" spans="1:25" ht="15" customHeight="1" x14ac:dyDescent="0.3">
      <c r="A901" s="5">
        <v>45902</v>
      </c>
      <c r="B901" s="25">
        <v>30</v>
      </c>
      <c r="C901" s="3" t="s">
        <v>38</v>
      </c>
      <c r="D901" s="3" t="s">
        <v>545</v>
      </c>
      <c r="E901" s="3">
        <v>2</v>
      </c>
      <c r="F901" s="3">
        <v>176</v>
      </c>
      <c r="G901" s="6" t="s">
        <v>1149</v>
      </c>
      <c r="H901" s="3" t="s">
        <v>1299</v>
      </c>
      <c r="I901" s="6" t="s">
        <v>483</v>
      </c>
      <c r="J901" s="3">
        <v>5</v>
      </c>
      <c r="K901" s="3">
        <v>5</v>
      </c>
      <c r="L901" s="3">
        <v>17.829999999999998</v>
      </c>
      <c r="M901" s="3">
        <v>2.2000000000000002</v>
      </c>
      <c r="N901" s="3">
        <v>12</v>
      </c>
      <c r="O901" s="3">
        <v>7.8</v>
      </c>
      <c r="P901" s="3" t="s">
        <v>1004</v>
      </c>
      <c r="Q901" s="3">
        <v>170</v>
      </c>
      <c r="R901" s="3"/>
      <c r="S901" s="3"/>
      <c r="T901" s="3"/>
      <c r="U901" s="3"/>
      <c r="V901" s="3"/>
      <c r="W901" s="3"/>
      <c r="X901" s="3" t="s">
        <v>253</v>
      </c>
      <c r="Y901" s="3" t="s">
        <v>80</v>
      </c>
    </row>
    <row r="902" spans="1:25" ht="15" customHeight="1" x14ac:dyDescent="0.3">
      <c r="A902" s="5">
        <v>45902</v>
      </c>
      <c r="B902" s="25">
        <v>30</v>
      </c>
      <c r="C902" s="3" t="s">
        <v>38</v>
      </c>
      <c r="D902" s="3" t="s">
        <v>545</v>
      </c>
      <c r="E902" s="3">
        <v>2</v>
      </c>
      <c r="F902" s="3">
        <v>177</v>
      </c>
      <c r="G902" s="6" t="s">
        <v>1369</v>
      </c>
      <c r="H902" s="3" t="s">
        <v>1370</v>
      </c>
      <c r="I902" s="6" t="s">
        <v>483</v>
      </c>
      <c r="J902" s="3">
        <v>4</v>
      </c>
      <c r="K902" s="3">
        <v>4</v>
      </c>
      <c r="L902" s="3">
        <v>16.739999999999998</v>
      </c>
      <c r="M902" s="3">
        <v>2</v>
      </c>
      <c r="N902" s="3">
        <v>11</v>
      </c>
      <c r="O902" s="3">
        <v>6</v>
      </c>
      <c r="P902" s="3" t="s">
        <v>1377</v>
      </c>
      <c r="Q902" s="3">
        <v>165</v>
      </c>
      <c r="R902" s="3"/>
      <c r="S902" s="3"/>
      <c r="T902" s="3"/>
      <c r="U902" s="3"/>
      <c r="V902" s="3"/>
      <c r="W902" s="3"/>
      <c r="X902" s="3" t="s">
        <v>79</v>
      </c>
      <c r="Y902" s="3" t="s">
        <v>80</v>
      </c>
    </row>
    <row r="903" spans="1:25" ht="15" customHeight="1" x14ac:dyDescent="0.3">
      <c r="A903" s="5">
        <v>45902</v>
      </c>
      <c r="B903" s="25">
        <v>30</v>
      </c>
      <c r="C903" s="3" t="s">
        <v>38</v>
      </c>
      <c r="D903" s="3" t="s">
        <v>545</v>
      </c>
      <c r="E903" s="3">
        <v>2</v>
      </c>
      <c r="F903" s="3">
        <v>132</v>
      </c>
      <c r="G903" s="6" t="s">
        <v>781</v>
      </c>
      <c r="H903" s="3" t="s">
        <v>1253</v>
      </c>
      <c r="I903" s="6" t="s">
        <v>483</v>
      </c>
      <c r="J903" s="3">
        <v>3</v>
      </c>
      <c r="K903" s="3">
        <v>3</v>
      </c>
      <c r="L903" s="3">
        <v>21.35</v>
      </c>
      <c r="M903" s="3">
        <v>4.5</v>
      </c>
      <c r="N903" s="3">
        <v>11.5</v>
      </c>
      <c r="O903" s="3">
        <v>5.7</v>
      </c>
      <c r="P903" s="3"/>
      <c r="Q903" s="3">
        <v>170</v>
      </c>
      <c r="R903" s="3"/>
      <c r="S903" s="3"/>
      <c r="T903" s="3"/>
      <c r="U903" s="3"/>
      <c r="V903" s="3"/>
      <c r="W903" s="3"/>
      <c r="X903" s="3" t="s">
        <v>1348</v>
      </c>
      <c r="Y903" s="3" t="s">
        <v>1217</v>
      </c>
    </row>
    <row r="904" spans="1:25" ht="15" customHeight="1" x14ac:dyDescent="0.3">
      <c r="A904" s="5">
        <v>45902</v>
      </c>
      <c r="B904" s="25">
        <v>30</v>
      </c>
      <c r="C904" s="3" t="s">
        <v>38</v>
      </c>
      <c r="D904" s="3" t="s">
        <v>545</v>
      </c>
      <c r="E904" s="3">
        <v>2</v>
      </c>
      <c r="F904" s="3">
        <v>135</v>
      </c>
      <c r="G904" s="6" t="s">
        <v>1254</v>
      </c>
      <c r="H904" s="3" t="s">
        <v>1255</v>
      </c>
      <c r="I904" s="6" t="s">
        <v>483</v>
      </c>
      <c r="J904" s="3">
        <v>2</v>
      </c>
      <c r="K904" s="3">
        <v>2</v>
      </c>
      <c r="L904" s="3">
        <v>18.07</v>
      </c>
      <c r="M904" s="3">
        <v>4</v>
      </c>
      <c r="N904" s="3">
        <v>8</v>
      </c>
      <c r="O904" s="3">
        <v>5</v>
      </c>
      <c r="P904" s="3"/>
      <c r="Q904" s="3">
        <v>180</v>
      </c>
      <c r="R904" s="3"/>
      <c r="S904" s="3"/>
      <c r="T904" s="3"/>
      <c r="U904" s="3"/>
      <c r="V904" s="3"/>
      <c r="W904" s="3"/>
      <c r="X904" s="3" t="s">
        <v>89</v>
      </c>
      <c r="Y904" s="3" t="s">
        <v>399</v>
      </c>
    </row>
    <row r="905" spans="1:25" ht="15" customHeight="1" x14ac:dyDescent="0.3">
      <c r="A905" s="5">
        <v>45902</v>
      </c>
      <c r="B905" s="25">
        <v>30</v>
      </c>
      <c r="C905" s="3" t="s">
        <v>38</v>
      </c>
      <c r="D905" s="3" t="s">
        <v>545</v>
      </c>
      <c r="E905" s="3">
        <v>2</v>
      </c>
      <c r="F905" s="3">
        <v>201</v>
      </c>
      <c r="G905" s="6" t="s">
        <v>1331</v>
      </c>
      <c r="H905" s="3" t="s">
        <v>1332</v>
      </c>
      <c r="I905" s="6" t="s">
        <v>112</v>
      </c>
      <c r="J905" s="3">
        <v>24</v>
      </c>
      <c r="K905" s="23">
        <v>20</v>
      </c>
      <c r="L905" s="3">
        <v>25</v>
      </c>
      <c r="M905" s="3">
        <v>13</v>
      </c>
      <c r="N905" s="3">
        <v>3</v>
      </c>
      <c r="O905" s="3"/>
      <c r="P905" s="3"/>
      <c r="Q905" s="3"/>
      <c r="R905" s="3" t="s">
        <v>315</v>
      </c>
      <c r="S905" s="3" t="s">
        <v>71</v>
      </c>
      <c r="T905" s="3">
        <v>0.8</v>
      </c>
      <c r="U905" s="3">
        <v>17</v>
      </c>
      <c r="V905" s="3">
        <v>25</v>
      </c>
      <c r="W905" s="3">
        <v>130</v>
      </c>
      <c r="X905" s="3" t="s">
        <v>1014</v>
      </c>
      <c r="Y905" s="3"/>
    </row>
    <row r="906" spans="1:25" ht="15" customHeight="1" x14ac:dyDescent="0.3">
      <c r="A906" s="5">
        <v>45902</v>
      </c>
      <c r="B906" s="25">
        <v>30</v>
      </c>
      <c r="C906" s="3" t="s">
        <v>38</v>
      </c>
      <c r="D906" s="3" t="s">
        <v>545</v>
      </c>
      <c r="E906" s="3">
        <v>2</v>
      </c>
      <c r="F906" s="3">
        <v>202</v>
      </c>
      <c r="G906" s="6" t="s">
        <v>1333</v>
      </c>
      <c r="H906" s="3" t="s">
        <v>1302</v>
      </c>
      <c r="I906" s="6" t="s">
        <v>110</v>
      </c>
      <c r="J906" s="3">
        <v>8</v>
      </c>
      <c r="K906" s="23">
        <v>7</v>
      </c>
      <c r="L906" s="3">
        <v>25.6</v>
      </c>
      <c r="M906" s="3">
        <v>14</v>
      </c>
      <c r="N906" s="3">
        <v>1.5</v>
      </c>
      <c r="O906" s="3"/>
      <c r="P906" s="3"/>
      <c r="Q906" s="3"/>
      <c r="R906" s="3" t="s">
        <v>1309</v>
      </c>
      <c r="S906" s="3" t="s">
        <v>1343</v>
      </c>
      <c r="T906" s="3">
        <v>1.5</v>
      </c>
      <c r="U906" s="3">
        <v>20</v>
      </c>
      <c r="V906" s="3">
        <v>40</v>
      </c>
      <c r="W906" s="3">
        <v>140</v>
      </c>
      <c r="X906" s="3" t="s">
        <v>1350</v>
      </c>
      <c r="Y906" s="6"/>
    </row>
    <row r="907" spans="1:25" ht="15" customHeight="1" x14ac:dyDescent="0.3">
      <c r="A907" s="5">
        <v>45902</v>
      </c>
      <c r="B907" s="25">
        <v>30</v>
      </c>
      <c r="C907" s="3" t="s">
        <v>38</v>
      </c>
      <c r="D907" s="3" t="s">
        <v>545</v>
      </c>
      <c r="E907" s="3">
        <v>2</v>
      </c>
      <c r="F907" s="3">
        <v>203</v>
      </c>
      <c r="G907" s="6" t="s">
        <v>23</v>
      </c>
      <c r="H907" s="3" t="s">
        <v>1256</v>
      </c>
      <c r="I907" s="6" t="s">
        <v>111</v>
      </c>
      <c r="J907" s="3">
        <v>8</v>
      </c>
      <c r="K907" s="3">
        <v>8</v>
      </c>
      <c r="L907" s="3">
        <v>17.100000000000001</v>
      </c>
      <c r="M907" s="3">
        <v>8</v>
      </c>
      <c r="N907" s="3">
        <v>3</v>
      </c>
      <c r="O907" s="3"/>
      <c r="P907" s="3"/>
      <c r="Q907" s="3"/>
      <c r="R907" s="3" t="s">
        <v>318</v>
      </c>
      <c r="S907" s="3" t="s">
        <v>203</v>
      </c>
      <c r="T907" s="3">
        <v>1</v>
      </c>
      <c r="U907" s="3">
        <v>20</v>
      </c>
      <c r="V907" s="3">
        <v>25</v>
      </c>
      <c r="W907" s="3">
        <v>90</v>
      </c>
      <c r="X907" s="3" t="s">
        <v>1351</v>
      </c>
      <c r="Y907" s="6" t="s">
        <v>1384</v>
      </c>
    </row>
    <row r="908" spans="1:25" ht="15" customHeight="1" x14ac:dyDescent="0.3">
      <c r="A908" s="5">
        <v>45902</v>
      </c>
      <c r="B908" s="25">
        <v>30</v>
      </c>
      <c r="C908" s="3" t="s">
        <v>38</v>
      </c>
      <c r="D908" s="3" t="s">
        <v>545</v>
      </c>
      <c r="E908" s="3">
        <v>2</v>
      </c>
      <c r="F908" s="3">
        <v>204</v>
      </c>
      <c r="G908" s="6" t="s">
        <v>1334</v>
      </c>
      <c r="H908" s="3" t="s">
        <v>1335</v>
      </c>
      <c r="I908" s="6" t="s">
        <v>112</v>
      </c>
      <c r="J908" s="3">
        <v>8</v>
      </c>
      <c r="K908" s="3">
        <v>8</v>
      </c>
      <c r="L908" s="3">
        <v>21.6</v>
      </c>
      <c r="M908" s="3">
        <v>12</v>
      </c>
      <c r="N908" s="3">
        <v>3</v>
      </c>
      <c r="O908" s="3"/>
      <c r="P908" s="3"/>
      <c r="Q908" s="3"/>
      <c r="R908" s="3" t="s">
        <v>64</v>
      </c>
      <c r="S908" s="3" t="s">
        <v>133</v>
      </c>
      <c r="T908" s="3">
        <v>1.2</v>
      </c>
      <c r="U908" s="3">
        <v>20</v>
      </c>
      <c r="V908" s="3">
        <v>25</v>
      </c>
      <c r="W908" s="3">
        <v>105</v>
      </c>
      <c r="X908" s="3" t="s">
        <v>1352</v>
      </c>
      <c r="Y908" s="6"/>
    </row>
    <row r="909" spans="1:25" ht="15" customHeight="1" x14ac:dyDescent="0.3">
      <c r="A909" s="5">
        <v>45902</v>
      </c>
      <c r="B909" s="25">
        <v>30</v>
      </c>
      <c r="C909" s="3" t="s">
        <v>38</v>
      </c>
      <c r="D909" s="3" t="s">
        <v>545</v>
      </c>
      <c r="E909" s="3">
        <v>2</v>
      </c>
      <c r="F909" s="3">
        <v>205</v>
      </c>
      <c r="G909" s="6" t="s">
        <v>1371</v>
      </c>
      <c r="H909" s="3" t="s">
        <v>1372</v>
      </c>
      <c r="I909" s="6" t="s">
        <v>111</v>
      </c>
      <c r="J909" s="3">
        <v>4</v>
      </c>
      <c r="K909" s="3">
        <v>4</v>
      </c>
      <c r="L909" s="3">
        <v>22.3</v>
      </c>
      <c r="M909" s="3">
        <v>8</v>
      </c>
      <c r="N909" s="3">
        <v>3</v>
      </c>
      <c r="O909" s="3"/>
      <c r="P909" s="3"/>
      <c r="Q909" s="3"/>
      <c r="R909" s="3" t="s">
        <v>73</v>
      </c>
      <c r="S909" s="3" t="s">
        <v>386</v>
      </c>
      <c r="T909" s="3">
        <v>1</v>
      </c>
      <c r="U909" s="3">
        <v>5</v>
      </c>
      <c r="V909" s="3">
        <v>10</v>
      </c>
      <c r="W909" s="3">
        <v>140</v>
      </c>
      <c r="X909" s="3" t="s">
        <v>1382</v>
      </c>
      <c r="Y909" s="6"/>
    </row>
    <row r="910" spans="1:25" ht="15" customHeight="1" x14ac:dyDescent="0.3">
      <c r="A910" s="5">
        <v>45902</v>
      </c>
      <c r="B910" s="25">
        <v>30</v>
      </c>
      <c r="C910" s="3" t="s">
        <v>38</v>
      </c>
      <c r="D910" s="3" t="s">
        <v>545</v>
      </c>
      <c r="E910" s="3">
        <v>2</v>
      </c>
      <c r="F910" s="3">
        <v>206</v>
      </c>
      <c r="G910" s="6" t="s">
        <v>24</v>
      </c>
      <c r="H910" s="3" t="s">
        <v>1304</v>
      </c>
      <c r="I910" s="6" t="s">
        <v>111</v>
      </c>
      <c r="J910" s="3">
        <v>12</v>
      </c>
      <c r="K910" s="23">
        <v>11</v>
      </c>
      <c r="L910" s="3">
        <v>28</v>
      </c>
      <c r="M910" s="3">
        <v>19</v>
      </c>
      <c r="N910" s="3">
        <v>1.2</v>
      </c>
      <c r="O910" s="3"/>
      <c r="P910" s="3"/>
      <c r="Q910" s="3"/>
      <c r="R910" s="3" t="s">
        <v>126</v>
      </c>
      <c r="S910" s="3" t="s">
        <v>319</v>
      </c>
      <c r="T910" s="3">
        <v>0.6</v>
      </c>
      <c r="U910" s="3">
        <v>33</v>
      </c>
      <c r="V910" s="3">
        <v>40</v>
      </c>
      <c r="W910" s="3">
        <v>125</v>
      </c>
      <c r="X910" s="3" t="s">
        <v>1383</v>
      </c>
      <c r="Y910" s="6" t="s">
        <v>1385</v>
      </c>
    </row>
    <row r="911" spans="1:25" ht="15" customHeight="1" x14ac:dyDescent="0.3">
      <c r="A911" s="5">
        <v>45902</v>
      </c>
      <c r="B911" s="25">
        <v>30</v>
      </c>
      <c r="C911" s="3" t="s">
        <v>38</v>
      </c>
      <c r="D911" s="3" t="s">
        <v>545</v>
      </c>
      <c r="E911" s="3">
        <v>2</v>
      </c>
      <c r="F911" s="3">
        <v>207</v>
      </c>
      <c r="G911" s="6" t="s">
        <v>476</v>
      </c>
      <c r="H911" s="3" t="s">
        <v>1156</v>
      </c>
      <c r="I911" s="6" t="s">
        <v>111</v>
      </c>
      <c r="J911" s="3">
        <v>12</v>
      </c>
      <c r="K911" s="23">
        <v>7</v>
      </c>
      <c r="L911" s="3">
        <v>34.17</v>
      </c>
      <c r="M911" s="3">
        <v>15</v>
      </c>
      <c r="N911" s="3">
        <v>3.15</v>
      </c>
      <c r="O911" s="3"/>
      <c r="P911" s="3"/>
      <c r="Q911" s="3"/>
      <c r="R911" s="3" t="s">
        <v>726</v>
      </c>
      <c r="S911" s="3" t="s">
        <v>491</v>
      </c>
      <c r="T911" s="3">
        <v>2.5</v>
      </c>
      <c r="U911" s="3">
        <v>25</v>
      </c>
      <c r="V911" s="3">
        <v>35</v>
      </c>
      <c r="W911" s="3">
        <v>140</v>
      </c>
      <c r="X911" s="3" t="s">
        <v>1058</v>
      </c>
      <c r="Y911" s="6" t="s">
        <v>1386</v>
      </c>
    </row>
    <row r="912" spans="1:25" ht="15" customHeight="1" x14ac:dyDescent="0.3">
      <c r="A912" s="5">
        <v>45902</v>
      </c>
      <c r="B912" s="25">
        <v>30</v>
      </c>
      <c r="C912" s="3" t="s">
        <v>38</v>
      </c>
      <c r="D912" s="3" t="s">
        <v>545</v>
      </c>
      <c r="E912" s="3">
        <v>2</v>
      </c>
      <c r="F912" s="3">
        <v>208</v>
      </c>
      <c r="G912" s="6" t="s">
        <v>791</v>
      </c>
      <c r="H912" s="3" t="s">
        <v>1257</v>
      </c>
      <c r="I912" s="6" t="s">
        <v>111</v>
      </c>
      <c r="J912" s="3">
        <v>4</v>
      </c>
      <c r="K912" s="23">
        <v>3</v>
      </c>
      <c r="L912" s="3">
        <v>24.12</v>
      </c>
      <c r="M912" s="3">
        <v>11</v>
      </c>
      <c r="N912" s="3">
        <v>3.4</v>
      </c>
      <c r="O912" s="3"/>
      <c r="P912" s="3"/>
      <c r="Q912" s="3"/>
      <c r="R912" s="3" t="s">
        <v>72</v>
      </c>
      <c r="S912" s="3" t="s">
        <v>726</v>
      </c>
      <c r="T912" s="3">
        <v>2</v>
      </c>
      <c r="U912" s="3">
        <v>15</v>
      </c>
      <c r="V912" s="3">
        <v>20</v>
      </c>
      <c r="W912" s="3">
        <v>140</v>
      </c>
      <c r="X912" s="3" t="s">
        <v>1197</v>
      </c>
      <c r="Y912" s="3" t="s">
        <v>1360</v>
      </c>
    </row>
    <row r="913" spans="1:25" ht="15" customHeight="1" x14ac:dyDescent="0.3">
      <c r="A913" s="5">
        <v>45902</v>
      </c>
      <c r="B913" s="25">
        <v>30</v>
      </c>
      <c r="C913" s="3" t="s">
        <v>38</v>
      </c>
      <c r="D913" s="3" t="s">
        <v>545</v>
      </c>
      <c r="E913" s="3">
        <v>2</v>
      </c>
      <c r="F913" s="3">
        <v>209</v>
      </c>
      <c r="G913" s="6" t="s">
        <v>1336</v>
      </c>
      <c r="H913" s="3" t="s">
        <v>1337</v>
      </c>
      <c r="I913" s="6" t="s">
        <v>111</v>
      </c>
      <c r="J913" s="3">
        <v>12</v>
      </c>
      <c r="K913" s="23">
        <v>8</v>
      </c>
      <c r="L913" s="3">
        <v>25.6</v>
      </c>
      <c r="M913" s="3">
        <v>10</v>
      </c>
      <c r="N913" s="3">
        <v>3</v>
      </c>
      <c r="O913" s="3"/>
      <c r="P913" s="3"/>
      <c r="Q913" s="3"/>
      <c r="R913" s="3" t="s">
        <v>1378</v>
      </c>
      <c r="S913" s="3" t="s">
        <v>1379</v>
      </c>
      <c r="T913" s="3">
        <v>2</v>
      </c>
      <c r="U913" s="3">
        <v>33</v>
      </c>
      <c r="V913" s="3">
        <v>40</v>
      </c>
      <c r="W913" s="3">
        <v>95</v>
      </c>
      <c r="X913" s="3" t="s">
        <v>1354</v>
      </c>
      <c r="Y913" s="3" t="s">
        <v>1387</v>
      </c>
    </row>
    <row r="914" spans="1:25" ht="15" customHeight="1" x14ac:dyDescent="0.3">
      <c r="A914" s="5">
        <v>45902</v>
      </c>
      <c r="B914" s="25">
        <v>30</v>
      </c>
      <c r="C914" s="3" t="s">
        <v>38</v>
      </c>
      <c r="D914" s="3" t="s">
        <v>545</v>
      </c>
      <c r="E914" s="3">
        <v>2</v>
      </c>
      <c r="F914" s="3">
        <v>501</v>
      </c>
      <c r="G914" s="6" t="s">
        <v>1260</v>
      </c>
      <c r="H914" s="3" t="s">
        <v>1261</v>
      </c>
      <c r="I914" s="6" t="s">
        <v>110</v>
      </c>
      <c r="J914" s="3">
        <v>6</v>
      </c>
      <c r="K914" s="3">
        <v>6</v>
      </c>
      <c r="L914" s="3">
        <v>17.62</v>
      </c>
      <c r="M914" s="3"/>
      <c r="N914" s="3"/>
      <c r="O914" s="3">
        <v>11</v>
      </c>
      <c r="P914" s="3"/>
      <c r="Q914" s="3"/>
      <c r="R914" s="3"/>
      <c r="S914" s="3"/>
      <c r="T914" s="3"/>
      <c r="U914" s="3"/>
      <c r="V914" s="3"/>
      <c r="W914" s="3"/>
      <c r="X914" s="3" t="s">
        <v>151</v>
      </c>
      <c r="Y914" s="3"/>
    </row>
    <row r="915" spans="1:25" ht="15" customHeight="1" x14ac:dyDescent="0.3">
      <c r="A915" s="5">
        <v>45902</v>
      </c>
      <c r="B915" s="25">
        <v>30</v>
      </c>
      <c r="C915" s="3" t="s">
        <v>38</v>
      </c>
      <c r="D915" s="3" t="s">
        <v>545</v>
      </c>
      <c r="E915" s="3">
        <v>2</v>
      </c>
      <c r="F915" s="3">
        <v>502</v>
      </c>
      <c r="G915" s="6" t="s">
        <v>889</v>
      </c>
      <c r="H915" s="3" t="s">
        <v>1373</v>
      </c>
      <c r="I915" s="6" t="s">
        <v>110</v>
      </c>
      <c r="J915" s="3">
        <v>4</v>
      </c>
      <c r="K915" s="3">
        <v>4</v>
      </c>
      <c r="L915" s="3">
        <v>17.62</v>
      </c>
      <c r="M915" s="3"/>
      <c r="N915" s="3"/>
      <c r="O915" s="3">
        <v>10.5</v>
      </c>
      <c r="P915" s="3"/>
      <c r="Q915" s="3"/>
      <c r="R915" s="3"/>
      <c r="S915" s="3"/>
      <c r="T915" s="3"/>
      <c r="U915" s="3"/>
      <c r="V915" s="3"/>
      <c r="W915" s="3"/>
      <c r="X915" s="3" t="s">
        <v>1216</v>
      </c>
      <c r="Y915" s="3"/>
    </row>
    <row r="916" spans="1:25" ht="15" customHeight="1" x14ac:dyDescent="0.3">
      <c r="A916" s="27">
        <v>45903</v>
      </c>
      <c r="B916" s="25">
        <v>30</v>
      </c>
      <c r="C916" s="3" t="s">
        <v>38</v>
      </c>
      <c r="D916" s="3" t="s">
        <v>545</v>
      </c>
      <c r="E916" s="3">
        <v>2</v>
      </c>
      <c r="F916" s="3">
        <v>102</v>
      </c>
      <c r="G916" s="6" t="s">
        <v>547</v>
      </c>
      <c r="H916" s="3" t="s">
        <v>1363</v>
      </c>
      <c r="I916" s="6" t="s">
        <v>793</v>
      </c>
      <c r="J916" s="3">
        <v>5</v>
      </c>
      <c r="K916" s="3">
        <v>5</v>
      </c>
      <c r="L916" s="3">
        <v>19.38</v>
      </c>
      <c r="M916" s="3">
        <v>5.25</v>
      </c>
      <c r="N916" s="3">
        <v>9.25</v>
      </c>
      <c r="O916" s="3">
        <v>7</v>
      </c>
      <c r="P916" s="3">
        <v>35</v>
      </c>
      <c r="Q916" s="3">
        <v>170</v>
      </c>
      <c r="R916" s="3"/>
      <c r="S916" s="3"/>
      <c r="T916" s="3"/>
      <c r="U916" s="3"/>
      <c r="V916" s="3"/>
      <c r="W916" s="3"/>
      <c r="X916" s="3" t="s">
        <v>251</v>
      </c>
      <c r="Y916" s="3" t="s">
        <v>580</v>
      </c>
    </row>
    <row r="917" spans="1:25" ht="15" customHeight="1" x14ac:dyDescent="0.3">
      <c r="A917" s="27">
        <v>45903</v>
      </c>
      <c r="B917" s="25">
        <v>30</v>
      </c>
      <c r="C917" s="3" t="s">
        <v>38</v>
      </c>
      <c r="D917" s="3" t="s">
        <v>545</v>
      </c>
      <c r="E917" s="3">
        <v>2</v>
      </c>
      <c r="F917" s="3">
        <v>103</v>
      </c>
      <c r="G917" s="6" t="s">
        <v>163</v>
      </c>
      <c r="H917" s="3" t="s">
        <v>928</v>
      </c>
      <c r="I917" s="6" t="s">
        <v>793</v>
      </c>
      <c r="J917" s="3">
        <v>5</v>
      </c>
      <c r="K917" s="3">
        <v>5</v>
      </c>
      <c r="L917" s="3">
        <v>15.12</v>
      </c>
      <c r="M917" s="3">
        <v>3.8</v>
      </c>
      <c r="N917" s="3">
        <v>6.9</v>
      </c>
      <c r="O917" s="3">
        <v>6.5</v>
      </c>
      <c r="P917" s="3">
        <v>25</v>
      </c>
      <c r="Q917" s="3">
        <v>170</v>
      </c>
      <c r="R917" s="3"/>
      <c r="S917" s="3"/>
      <c r="T917" s="3"/>
      <c r="U917" s="3"/>
      <c r="V917" s="3"/>
      <c r="W917" s="3"/>
      <c r="X917" s="3" t="s">
        <v>79</v>
      </c>
      <c r="Y917" s="3" t="s">
        <v>254</v>
      </c>
    </row>
    <row r="918" spans="1:25" ht="15" customHeight="1" x14ac:dyDescent="0.3">
      <c r="A918" s="27">
        <v>45903</v>
      </c>
      <c r="B918" s="25">
        <v>30</v>
      </c>
      <c r="C918" s="3" t="s">
        <v>38</v>
      </c>
      <c r="D918" s="3" t="s">
        <v>545</v>
      </c>
      <c r="E918" s="3">
        <v>2</v>
      </c>
      <c r="F918" s="3">
        <v>161</v>
      </c>
      <c r="G918" s="6" t="s">
        <v>818</v>
      </c>
      <c r="H918" s="3" t="s">
        <v>1388</v>
      </c>
      <c r="I918" s="6" t="s">
        <v>483</v>
      </c>
      <c r="J918" s="3">
        <v>2</v>
      </c>
      <c r="K918" s="3">
        <v>2</v>
      </c>
      <c r="L918" s="3">
        <v>21</v>
      </c>
      <c r="M918" s="3">
        <v>6.8</v>
      </c>
      <c r="N918" s="3">
        <v>9</v>
      </c>
      <c r="O918" s="3">
        <v>3</v>
      </c>
      <c r="P918" s="3">
        <v>29</v>
      </c>
      <c r="Q918" s="3">
        <v>180</v>
      </c>
      <c r="R918" s="3"/>
      <c r="S918" s="3"/>
      <c r="T918" s="3"/>
      <c r="U918" s="3"/>
      <c r="V918" s="3"/>
      <c r="W918" s="3"/>
      <c r="X918" s="3" t="s">
        <v>388</v>
      </c>
      <c r="Y918" s="3" t="s">
        <v>396</v>
      </c>
    </row>
    <row r="919" spans="1:25" ht="15" customHeight="1" x14ac:dyDescent="0.3">
      <c r="A919" s="27">
        <v>45903</v>
      </c>
      <c r="B919" s="25">
        <v>30</v>
      </c>
      <c r="C919" s="3" t="s">
        <v>38</v>
      </c>
      <c r="D919" s="3" t="s">
        <v>545</v>
      </c>
      <c r="E919" s="3">
        <v>2</v>
      </c>
      <c r="F919" s="3">
        <v>162</v>
      </c>
      <c r="G919" s="6" t="s">
        <v>1364</v>
      </c>
      <c r="H919" s="3" t="s">
        <v>1365</v>
      </c>
      <c r="I919" s="6" t="s">
        <v>483</v>
      </c>
      <c r="J919" s="3">
        <v>2</v>
      </c>
      <c r="K919" s="3">
        <v>2</v>
      </c>
      <c r="L919" s="3">
        <v>18</v>
      </c>
      <c r="M919" s="3">
        <v>5</v>
      </c>
      <c r="N919" s="3">
        <v>8</v>
      </c>
      <c r="O919" s="3">
        <v>3</v>
      </c>
      <c r="P919" s="3">
        <v>16</v>
      </c>
      <c r="Q919" s="3">
        <v>170</v>
      </c>
      <c r="R919" s="3"/>
      <c r="S919" s="3"/>
      <c r="T919" s="3"/>
      <c r="U919" s="3"/>
      <c r="V919" s="3"/>
      <c r="W919" s="3"/>
      <c r="X919" s="3" t="s">
        <v>288</v>
      </c>
      <c r="Y919" s="3" t="s">
        <v>152</v>
      </c>
    </row>
    <row r="920" spans="1:25" ht="15" customHeight="1" x14ac:dyDescent="0.3">
      <c r="A920" s="27">
        <v>45903</v>
      </c>
      <c r="B920" s="25">
        <v>30</v>
      </c>
      <c r="C920" s="3" t="s">
        <v>38</v>
      </c>
      <c r="D920" s="3" t="s">
        <v>545</v>
      </c>
      <c r="E920" s="3">
        <v>2</v>
      </c>
      <c r="F920" s="3">
        <v>164</v>
      </c>
      <c r="G920" s="6" t="s">
        <v>11</v>
      </c>
      <c r="H920" s="3" t="s">
        <v>1178</v>
      </c>
      <c r="I920" s="6" t="s">
        <v>483</v>
      </c>
      <c r="J920" s="3">
        <v>2</v>
      </c>
      <c r="K920" s="3">
        <v>2</v>
      </c>
      <c r="L920" s="3">
        <v>23.09</v>
      </c>
      <c r="M920" s="3">
        <v>7</v>
      </c>
      <c r="N920" s="3">
        <v>11</v>
      </c>
      <c r="O920" s="3">
        <v>3.4</v>
      </c>
      <c r="P920" s="3"/>
      <c r="Q920" s="3">
        <v>170</v>
      </c>
      <c r="R920" s="3"/>
      <c r="S920" s="3"/>
      <c r="T920" s="3"/>
      <c r="U920" s="3"/>
      <c r="V920" s="3"/>
      <c r="W920" s="3"/>
      <c r="X920" s="3" t="s">
        <v>138</v>
      </c>
      <c r="Y920" s="3" t="s">
        <v>1018</v>
      </c>
    </row>
    <row r="921" spans="1:25" ht="15" customHeight="1" x14ac:dyDescent="0.3">
      <c r="A921" s="27">
        <v>45903</v>
      </c>
      <c r="B921" s="25">
        <v>30</v>
      </c>
      <c r="C921" s="3" t="s">
        <v>38</v>
      </c>
      <c r="D921" s="3" t="s">
        <v>545</v>
      </c>
      <c r="E921" s="3">
        <v>2</v>
      </c>
      <c r="F921" s="3">
        <v>181</v>
      </c>
      <c r="G921" s="6" t="s">
        <v>1389</v>
      </c>
      <c r="H921" s="3" t="s">
        <v>1390</v>
      </c>
      <c r="I921" s="6" t="s">
        <v>483</v>
      </c>
      <c r="J921" s="3">
        <v>4</v>
      </c>
      <c r="K921" s="3">
        <v>4</v>
      </c>
      <c r="L921" s="3">
        <v>15</v>
      </c>
      <c r="M921" s="3">
        <v>4</v>
      </c>
      <c r="N921" s="3">
        <v>4</v>
      </c>
      <c r="O921" s="3">
        <v>2.9</v>
      </c>
      <c r="P921" s="3">
        <v>20</v>
      </c>
      <c r="Q921" s="3">
        <v>180</v>
      </c>
      <c r="R921" s="3"/>
      <c r="S921" s="3"/>
      <c r="T921" s="3"/>
      <c r="U921" s="3"/>
      <c r="V921" s="3"/>
      <c r="W921" s="3"/>
      <c r="X921" s="3" t="s">
        <v>686</v>
      </c>
      <c r="Y921" s="3" t="s">
        <v>153</v>
      </c>
    </row>
    <row r="922" spans="1:25" ht="15" customHeight="1" x14ac:dyDescent="0.3">
      <c r="A922" s="27">
        <v>45903</v>
      </c>
      <c r="B922" s="25">
        <v>30</v>
      </c>
      <c r="C922" s="3" t="s">
        <v>38</v>
      </c>
      <c r="D922" s="3" t="s">
        <v>545</v>
      </c>
      <c r="E922" s="3">
        <v>2</v>
      </c>
      <c r="F922" s="3">
        <v>401</v>
      </c>
      <c r="G922" s="6" t="s">
        <v>775</v>
      </c>
      <c r="H922" s="3" t="s">
        <v>1391</v>
      </c>
      <c r="I922" s="6" t="s">
        <v>483</v>
      </c>
      <c r="J922" s="3">
        <v>1</v>
      </c>
      <c r="K922" s="3">
        <v>1</v>
      </c>
      <c r="L922" s="3">
        <v>10.43</v>
      </c>
      <c r="M922" s="3"/>
      <c r="N922" s="3"/>
      <c r="O922" s="3">
        <v>3</v>
      </c>
      <c r="P922" s="3"/>
      <c r="Q922" s="3"/>
      <c r="R922" s="3"/>
      <c r="S922" s="3"/>
      <c r="T922" s="3"/>
      <c r="U922" s="3"/>
      <c r="V922" s="3"/>
      <c r="W922" s="3"/>
      <c r="X922" s="3" t="s">
        <v>1400</v>
      </c>
      <c r="Y922" s="3"/>
    </row>
    <row r="923" spans="1:25" ht="15" customHeight="1" x14ac:dyDescent="0.3">
      <c r="A923" s="27">
        <v>45903</v>
      </c>
      <c r="B923" s="25">
        <v>30</v>
      </c>
      <c r="C923" s="3" t="s">
        <v>38</v>
      </c>
      <c r="D923" s="3" t="s">
        <v>545</v>
      </c>
      <c r="E923" s="3">
        <v>2</v>
      </c>
      <c r="F923" s="3">
        <v>404</v>
      </c>
      <c r="G923" s="6" t="s">
        <v>983</v>
      </c>
      <c r="H923" s="3" t="s">
        <v>984</v>
      </c>
      <c r="I923" s="6" t="s">
        <v>483</v>
      </c>
      <c r="J923" s="3">
        <v>2</v>
      </c>
      <c r="K923" s="3">
        <v>2</v>
      </c>
      <c r="L923" s="3">
        <v>7.4</v>
      </c>
      <c r="M923" s="3"/>
      <c r="N923" s="3"/>
      <c r="O923" s="3">
        <v>2.5</v>
      </c>
      <c r="P923" s="3"/>
      <c r="Q923" s="3"/>
      <c r="R923" s="3"/>
      <c r="S923" s="3"/>
      <c r="T923" s="3"/>
      <c r="U923" s="3"/>
      <c r="V923" s="3"/>
      <c r="W923" s="3"/>
      <c r="X923" s="3" t="s">
        <v>1380</v>
      </c>
      <c r="Y923" s="3"/>
    </row>
    <row r="924" spans="1:25" ht="15" customHeight="1" x14ac:dyDescent="0.3">
      <c r="A924" s="27">
        <v>45903</v>
      </c>
      <c r="B924" s="25">
        <v>30</v>
      </c>
      <c r="C924" s="3" t="s">
        <v>38</v>
      </c>
      <c r="D924" s="3" t="s">
        <v>545</v>
      </c>
      <c r="E924" s="3">
        <v>2</v>
      </c>
      <c r="F924" s="3">
        <v>172</v>
      </c>
      <c r="G924" s="6" t="s">
        <v>472</v>
      </c>
      <c r="H924" s="3" t="s">
        <v>1329</v>
      </c>
      <c r="I924" s="6" t="s">
        <v>483</v>
      </c>
      <c r="J924" s="3">
        <v>4</v>
      </c>
      <c r="K924" s="3">
        <v>4</v>
      </c>
      <c r="L924" s="3">
        <v>16.39</v>
      </c>
      <c r="M924" s="3">
        <v>0.5</v>
      </c>
      <c r="N924" s="3">
        <v>11</v>
      </c>
      <c r="O924" s="3">
        <v>7</v>
      </c>
      <c r="P924" s="3" t="s">
        <v>1339</v>
      </c>
      <c r="Q924" s="3">
        <v>160</v>
      </c>
      <c r="R924" s="3"/>
      <c r="S924" s="3"/>
      <c r="T924" s="3"/>
      <c r="U924" s="3"/>
      <c r="V924" s="3"/>
      <c r="W924" s="3"/>
      <c r="X924" s="3" t="s">
        <v>1105</v>
      </c>
      <c r="Y924" s="3" t="s">
        <v>80</v>
      </c>
    </row>
    <row r="925" spans="1:25" ht="15" customHeight="1" x14ac:dyDescent="0.3">
      <c r="A925" s="27">
        <v>45903</v>
      </c>
      <c r="B925" s="25">
        <v>30</v>
      </c>
      <c r="C925" s="3" t="s">
        <v>38</v>
      </c>
      <c r="D925" s="3" t="s">
        <v>545</v>
      </c>
      <c r="E925" s="3">
        <v>2</v>
      </c>
      <c r="F925" s="3">
        <v>173</v>
      </c>
      <c r="G925" s="6" t="s">
        <v>883</v>
      </c>
      <c r="H925" s="3" t="s">
        <v>1366</v>
      </c>
      <c r="I925" s="6" t="s">
        <v>483</v>
      </c>
      <c r="J925" s="3">
        <v>5</v>
      </c>
      <c r="K925" s="3">
        <v>5</v>
      </c>
      <c r="L925" s="3">
        <v>15.87</v>
      </c>
      <c r="M925" s="3">
        <v>1.25</v>
      </c>
      <c r="N925" s="3">
        <v>10.5</v>
      </c>
      <c r="O925" s="3">
        <v>7</v>
      </c>
      <c r="P925" s="3" t="s">
        <v>1396</v>
      </c>
      <c r="Q925" s="3">
        <v>170</v>
      </c>
      <c r="R925" s="3"/>
      <c r="S925" s="3"/>
      <c r="T925" s="3"/>
      <c r="U925" s="3"/>
      <c r="V925" s="3"/>
      <c r="W925" s="3"/>
      <c r="X925" s="3" t="s">
        <v>288</v>
      </c>
      <c r="Y925" s="3" t="s">
        <v>87</v>
      </c>
    </row>
    <row r="926" spans="1:25" ht="15" customHeight="1" x14ac:dyDescent="0.3">
      <c r="A926" s="27">
        <v>45903</v>
      </c>
      <c r="B926" s="25">
        <v>30</v>
      </c>
      <c r="C926" s="3" t="s">
        <v>38</v>
      </c>
      <c r="D926" s="3" t="s">
        <v>545</v>
      </c>
      <c r="E926" s="3">
        <v>2</v>
      </c>
      <c r="F926" s="3">
        <v>175</v>
      </c>
      <c r="G926" s="6" t="s">
        <v>1367</v>
      </c>
      <c r="H926" s="3" t="s">
        <v>1368</v>
      </c>
      <c r="I926" s="6" t="s">
        <v>483</v>
      </c>
      <c r="J926" s="3">
        <v>5</v>
      </c>
      <c r="K926" s="3">
        <v>5</v>
      </c>
      <c r="L926" s="3">
        <v>12.95</v>
      </c>
      <c r="M926" s="3">
        <v>0.2</v>
      </c>
      <c r="N926" s="3">
        <v>7.25</v>
      </c>
      <c r="O926" s="3">
        <v>6</v>
      </c>
      <c r="P926" s="3" t="s">
        <v>1376</v>
      </c>
      <c r="Q926" s="3">
        <v>165</v>
      </c>
      <c r="R926" s="3"/>
      <c r="S926" s="3"/>
      <c r="T926" s="3"/>
      <c r="U926" s="3"/>
      <c r="V926" s="3"/>
      <c r="W926" s="3"/>
      <c r="X926" s="3" t="s">
        <v>79</v>
      </c>
      <c r="Y926" s="3" t="s">
        <v>84</v>
      </c>
    </row>
    <row r="927" spans="1:25" ht="15" customHeight="1" x14ac:dyDescent="0.3">
      <c r="A927" s="27">
        <v>45903</v>
      </c>
      <c r="B927" s="25">
        <v>30</v>
      </c>
      <c r="C927" s="3" t="s">
        <v>38</v>
      </c>
      <c r="D927" s="3" t="s">
        <v>545</v>
      </c>
      <c r="E927" s="3">
        <v>2</v>
      </c>
      <c r="F927" s="3">
        <v>176</v>
      </c>
      <c r="G927" s="6" t="s">
        <v>989</v>
      </c>
      <c r="H927" s="3" t="s">
        <v>1392</v>
      </c>
      <c r="I927" s="6" t="s">
        <v>483</v>
      </c>
      <c r="J927" s="3">
        <v>5</v>
      </c>
      <c r="K927" s="3">
        <v>5</v>
      </c>
      <c r="L927" s="3">
        <v>17.829999999999998</v>
      </c>
      <c r="M927" s="3">
        <v>2.2000000000000002</v>
      </c>
      <c r="N927" s="3">
        <v>12</v>
      </c>
      <c r="O927" s="3">
        <v>7.8</v>
      </c>
      <c r="P927" s="3" t="s">
        <v>1004</v>
      </c>
      <c r="Q927" s="3">
        <v>170</v>
      </c>
      <c r="R927" s="3"/>
      <c r="S927" s="3"/>
      <c r="T927" s="3"/>
      <c r="U927" s="3"/>
      <c r="V927" s="3"/>
      <c r="W927" s="3"/>
      <c r="X927" s="3" t="s">
        <v>253</v>
      </c>
      <c r="Y927" s="3" t="s">
        <v>80</v>
      </c>
    </row>
    <row r="928" spans="1:25" ht="15" customHeight="1" x14ac:dyDescent="0.3">
      <c r="A928" s="27">
        <v>45903</v>
      </c>
      <c r="B928" s="25">
        <v>30</v>
      </c>
      <c r="C928" s="3" t="s">
        <v>38</v>
      </c>
      <c r="D928" s="3" t="s">
        <v>545</v>
      </c>
      <c r="E928" s="3">
        <v>2</v>
      </c>
      <c r="F928" s="3">
        <v>132</v>
      </c>
      <c r="G928" s="6" t="s">
        <v>781</v>
      </c>
      <c r="H928" s="3" t="s">
        <v>1253</v>
      </c>
      <c r="I928" s="6" t="s">
        <v>483</v>
      </c>
      <c r="J928" s="3">
        <v>3</v>
      </c>
      <c r="K928" s="3">
        <v>3</v>
      </c>
      <c r="L928" s="3">
        <v>21.01</v>
      </c>
      <c r="M928" s="3">
        <v>4</v>
      </c>
      <c r="N928" s="3">
        <v>11.5</v>
      </c>
      <c r="O928" s="3">
        <v>5.7</v>
      </c>
      <c r="P928" s="3"/>
      <c r="Q928" s="3">
        <v>170</v>
      </c>
      <c r="R928" s="3"/>
      <c r="S928" s="3"/>
      <c r="T928" s="3"/>
      <c r="U928" s="3"/>
      <c r="V928" s="3"/>
      <c r="W928" s="3"/>
      <c r="X928" s="3" t="s">
        <v>1348</v>
      </c>
      <c r="Y928" s="3" t="s">
        <v>399</v>
      </c>
    </row>
    <row r="929" spans="1:25" ht="15" customHeight="1" x14ac:dyDescent="0.3">
      <c r="A929" s="27">
        <v>45903</v>
      </c>
      <c r="B929" s="25">
        <v>30</v>
      </c>
      <c r="C929" s="3" t="s">
        <v>38</v>
      </c>
      <c r="D929" s="3" t="s">
        <v>545</v>
      </c>
      <c r="E929" s="3">
        <v>2</v>
      </c>
      <c r="F929" s="3">
        <v>135</v>
      </c>
      <c r="G929" s="6" t="s">
        <v>1254</v>
      </c>
      <c r="H929" s="3" t="s">
        <v>1255</v>
      </c>
      <c r="I929" s="6" t="s">
        <v>483</v>
      </c>
      <c r="J929" s="3">
        <v>2</v>
      </c>
      <c r="K929" s="3">
        <v>2</v>
      </c>
      <c r="L929" s="3">
        <v>18.170000000000002</v>
      </c>
      <c r="M929" s="3">
        <v>4</v>
      </c>
      <c r="N929" s="3">
        <v>8</v>
      </c>
      <c r="O929" s="3">
        <v>5</v>
      </c>
      <c r="P929" s="3"/>
      <c r="Q929" s="3">
        <v>180</v>
      </c>
      <c r="R929" s="3"/>
      <c r="S929" s="3"/>
      <c r="T929" s="3"/>
      <c r="U929" s="3"/>
      <c r="V929" s="3"/>
      <c r="W929" s="3"/>
      <c r="X929" s="3" t="s">
        <v>89</v>
      </c>
      <c r="Y929" s="3" t="s">
        <v>399</v>
      </c>
    </row>
    <row r="930" spans="1:25" ht="15" customHeight="1" x14ac:dyDescent="0.3">
      <c r="A930" s="27">
        <v>45903</v>
      </c>
      <c r="B930" s="25">
        <v>30</v>
      </c>
      <c r="C930" s="3" t="s">
        <v>38</v>
      </c>
      <c r="D930" s="3" t="s">
        <v>545</v>
      </c>
      <c r="E930" s="3">
        <v>2</v>
      </c>
      <c r="F930" s="3">
        <v>138</v>
      </c>
      <c r="G930" s="6" t="s">
        <v>992</v>
      </c>
      <c r="H930" s="3" t="s">
        <v>1393</v>
      </c>
      <c r="I930" s="6" t="s">
        <v>483</v>
      </c>
      <c r="J930" s="3">
        <v>3</v>
      </c>
      <c r="K930" s="3">
        <v>3</v>
      </c>
      <c r="L930" s="3">
        <v>11.61</v>
      </c>
      <c r="M930" s="3">
        <v>2.5</v>
      </c>
      <c r="N930" s="3">
        <v>5.2</v>
      </c>
      <c r="O930" s="3">
        <v>3</v>
      </c>
      <c r="P930" s="3"/>
      <c r="Q930" s="3">
        <v>183</v>
      </c>
      <c r="R930" s="3"/>
      <c r="S930" s="3"/>
      <c r="T930" s="3"/>
      <c r="U930" s="3"/>
      <c r="V930" s="3"/>
      <c r="W930" s="3"/>
      <c r="X930" s="3" t="s">
        <v>87</v>
      </c>
      <c r="Y930" s="3" t="s">
        <v>1405</v>
      </c>
    </row>
    <row r="931" spans="1:25" ht="15" customHeight="1" x14ac:dyDescent="0.3">
      <c r="A931" s="27">
        <v>45903</v>
      </c>
      <c r="B931" s="25">
        <v>30</v>
      </c>
      <c r="C931" s="3" t="s">
        <v>38</v>
      </c>
      <c r="D931" s="3" t="s">
        <v>545</v>
      </c>
      <c r="E931" s="3">
        <v>2</v>
      </c>
      <c r="F931" s="3">
        <v>202</v>
      </c>
      <c r="G931" s="6" t="s">
        <v>1333</v>
      </c>
      <c r="H931" s="3" t="s">
        <v>1302</v>
      </c>
      <c r="I931" s="6" t="s">
        <v>110</v>
      </c>
      <c r="J931" s="3">
        <v>8</v>
      </c>
      <c r="K931" s="3">
        <v>8</v>
      </c>
      <c r="L931" s="3">
        <v>25.6</v>
      </c>
      <c r="M931" s="3">
        <v>14</v>
      </c>
      <c r="N931" s="3">
        <v>1.5</v>
      </c>
      <c r="O931" s="3"/>
      <c r="P931" s="3"/>
      <c r="Q931" s="3"/>
      <c r="R931" s="3" t="s">
        <v>1309</v>
      </c>
      <c r="S931" s="3" t="s">
        <v>1343</v>
      </c>
      <c r="T931" s="3">
        <v>1.5</v>
      </c>
      <c r="U931" s="3">
        <v>20</v>
      </c>
      <c r="V931" s="3">
        <v>40</v>
      </c>
      <c r="W931" s="3">
        <v>140</v>
      </c>
      <c r="X931" s="3" t="s">
        <v>1401</v>
      </c>
      <c r="Y931" s="3"/>
    </row>
    <row r="932" spans="1:25" ht="15" customHeight="1" x14ac:dyDescent="0.3">
      <c r="A932" s="27">
        <v>45903</v>
      </c>
      <c r="B932" s="25">
        <v>30</v>
      </c>
      <c r="C932" s="3" t="s">
        <v>38</v>
      </c>
      <c r="D932" s="3" t="s">
        <v>545</v>
      </c>
      <c r="E932" s="3">
        <v>2</v>
      </c>
      <c r="F932" s="3">
        <v>203</v>
      </c>
      <c r="G932" s="6" t="s">
        <v>23</v>
      </c>
      <c r="H932" s="3" t="s">
        <v>1256</v>
      </c>
      <c r="I932" s="6" t="s">
        <v>111</v>
      </c>
      <c r="J932" s="3">
        <v>8</v>
      </c>
      <c r="K932" s="3">
        <v>8</v>
      </c>
      <c r="L932" s="3">
        <v>17</v>
      </c>
      <c r="M932" s="3">
        <v>8</v>
      </c>
      <c r="N932" s="3">
        <v>3</v>
      </c>
      <c r="O932" s="3"/>
      <c r="P932" s="3"/>
      <c r="Q932" s="3"/>
      <c r="R932" s="3" t="s">
        <v>318</v>
      </c>
      <c r="S932" s="3" t="s">
        <v>203</v>
      </c>
      <c r="T932" s="3">
        <v>1</v>
      </c>
      <c r="U932" s="3">
        <v>20</v>
      </c>
      <c r="V932" s="3">
        <v>25</v>
      </c>
      <c r="W932" s="3">
        <v>90</v>
      </c>
      <c r="X932" s="3" t="s">
        <v>1351</v>
      </c>
      <c r="Y932" s="6" t="s">
        <v>1384</v>
      </c>
    </row>
    <row r="933" spans="1:25" ht="15" customHeight="1" x14ac:dyDescent="0.3">
      <c r="A933" s="27">
        <v>45903</v>
      </c>
      <c r="B933" s="25">
        <v>30</v>
      </c>
      <c r="C933" s="3" t="s">
        <v>38</v>
      </c>
      <c r="D933" s="3" t="s">
        <v>545</v>
      </c>
      <c r="E933" s="3">
        <v>2</v>
      </c>
      <c r="F933" s="3">
        <v>204</v>
      </c>
      <c r="G933" s="6" t="s">
        <v>1334</v>
      </c>
      <c r="H933" s="3" t="s">
        <v>1335</v>
      </c>
      <c r="I933" s="6" t="s">
        <v>112</v>
      </c>
      <c r="J933" s="3">
        <v>8</v>
      </c>
      <c r="K933" s="3">
        <v>8</v>
      </c>
      <c r="L933" s="3">
        <v>21.4</v>
      </c>
      <c r="M933" s="3">
        <v>10</v>
      </c>
      <c r="N933" s="3">
        <v>3.2</v>
      </c>
      <c r="O933" s="3"/>
      <c r="P933" s="3"/>
      <c r="Q933" s="3"/>
      <c r="R933" s="3" t="s">
        <v>1397</v>
      </c>
      <c r="S933" s="3" t="s">
        <v>1265</v>
      </c>
      <c r="T933" s="3">
        <v>1</v>
      </c>
      <c r="U933" s="3">
        <v>20</v>
      </c>
      <c r="V933" s="3">
        <v>25</v>
      </c>
      <c r="W933" s="3">
        <v>105</v>
      </c>
      <c r="X933" s="3" t="s">
        <v>1402</v>
      </c>
      <c r="Y933" s="3"/>
    </row>
    <row r="934" spans="1:25" ht="15" customHeight="1" x14ac:dyDescent="0.3">
      <c r="A934" s="27">
        <v>45903</v>
      </c>
      <c r="B934" s="25">
        <v>30</v>
      </c>
      <c r="C934" s="3" t="s">
        <v>38</v>
      </c>
      <c r="D934" s="3" t="s">
        <v>545</v>
      </c>
      <c r="E934" s="3">
        <v>2</v>
      </c>
      <c r="F934" s="3">
        <v>205</v>
      </c>
      <c r="G934" s="6" t="s">
        <v>1371</v>
      </c>
      <c r="H934" s="3" t="s">
        <v>1372</v>
      </c>
      <c r="I934" s="6" t="s">
        <v>111</v>
      </c>
      <c r="J934" s="3">
        <v>4</v>
      </c>
      <c r="K934" s="23">
        <v>2</v>
      </c>
      <c r="L934" s="3">
        <v>24.1</v>
      </c>
      <c r="M934" s="3">
        <v>8</v>
      </c>
      <c r="N934" s="3">
        <v>3</v>
      </c>
      <c r="O934" s="3"/>
      <c r="P934" s="3"/>
      <c r="Q934" s="3"/>
      <c r="R934" s="3" t="s">
        <v>1398</v>
      </c>
      <c r="S934" s="3" t="s">
        <v>386</v>
      </c>
      <c r="T934" s="3">
        <v>1</v>
      </c>
      <c r="U934" s="3">
        <v>5</v>
      </c>
      <c r="V934" s="3">
        <v>10</v>
      </c>
      <c r="W934" s="3">
        <v>140</v>
      </c>
      <c r="X934" s="3" t="s">
        <v>1403</v>
      </c>
      <c r="Y934" s="3"/>
    </row>
    <row r="935" spans="1:25" ht="15" customHeight="1" x14ac:dyDescent="0.3">
      <c r="A935" s="27">
        <v>45903</v>
      </c>
      <c r="B935" s="25">
        <v>30</v>
      </c>
      <c r="C935" s="3" t="s">
        <v>38</v>
      </c>
      <c r="D935" s="3" t="s">
        <v>545</v>
      </c>
      <c r="E935" s="3">
        <v>2</v>
      </c>
      <c r="F935" s="3">
        <v>206</v>
      </c>
      <c r="G935" s="6" t="s">
        <v>24</v>
      </c>
      <c r="H935" s="3" t="s">
        <v>1304</v>
      </c>
      <c r="I935" s="6" t="s">
        <v>111</v>
      </c>
      <c r="J935" s="3">
        <v>12</v>
      </c>
      <c r="K935" s="23">
        <v>10</v>
      </c>
      <c r="L935" s="3">
        <v>26.8</v>
      </c>
      <c r="M935" s="3">
        <v>18</v>
      </c>
      <c r="N935" s="3">
        <v>1.2</v>
      </c>
      <c r="O935" s="3"/>
      <c r="P935" s="3"/>
      <c r="Q935" s="3"/>
      <c r="R935" s="3" t="s">
        <v>1194</v>
      </c>
      <c r="S935" s="3" t="s">
        <v>1399</v>
      </c>
      <c r="T935" s="3">
        <v>0.5</v>
      </c>
      <c r="U935" s="3">
        <v>30</v>
      </c>
      <c r="V935" s="3">
        <v>40</v>
      </c>
      <c r="W935" s="3">
        <v>125</v>
      </c>
      <c r="X935" s="3" t="s">
        <v>1404</v>
      </c>
      <c r="Y935" s="6" t="s">
        <v>1406</v>
      </c>
    </row>
    <row r="936" spans="1:25" ht="15" customHeight="1" x14ac:dyDescent="0.3">
      <c r="A936" s="27">
        <v>45903</v>
      </c>
      <c r="B936" s="25">
        <v>30</v>
      </c>
      <c r="C936" s="3" t="s">
        <v>38</v>
      </c>
      <c r="D936" s="3" t="s">
        <v>545</v>
      </c>
      <c r="E936" s="3">
        <v>2</v>
      </c>
      <c r="F936" s="3">
        <v>207</v>
      </c>
      <c r="G936" s="6" t="s">
        <v>476</v>
      </c>
      <c r="H936" s="3" t="s">
        <v>1156</v>
      </c>
      <c r="I936" s="6" t="s">
        <v>111</v>
      </c>
      <c r="J936" s="3">
        <v>12</v>
      </c>
      <c r="K936" s="23">
        <v>7</v>
      </c>
      <c r="L936" s="3">
        <v>34.15</v>
      </c>
      <c r="M936" s="3">
        <v>15</v>
      </c>
      <c r="N936" s="3">
        <v>3.15</v>
      </c>
      <c r="O936" s="3"/>
      <c r="P936" s="3"/>
      <c r="Q936" s="3"/>
      <c r="R936" s="3" t="s">
        <v>726</v>
      </c>
      <c r="S936" s="3" t="s">
        <v>491</v>
      </c>
      <c r="T936" s="3">
        <v>2.5</v>
      </c>
      <c r="U936" s="3">
        <v>25</v>
      </c>
      <c r="V936" s="3">
        <v>35</v>
      </c>
      <c r="W936" s="3">
        <v>140</v>
      </c>
      <c r="X936" s="3" t="s">
        <v>1058</v>
      </c>
      <c r="Y936" s="6" t="s">
        <v>1407</v>
      </c>
    </row>
    <row r="937" spans="1:25" ht="15" customHeight="1" x14ac:dyDescent="0.3">
      <c r="A937" s="27">
        <v>45903</v>
      </c>
      <c r="B937" s="25">
        <v>30</v>
      </c>
      <c r="C937" s="3" t="s">
        <v>38</v>
      </c>
      <c r="D937" s="3" t="s">
        <v>545</v>
      </c>
      <c r="E937" s="3">
        <v>2</v>
      </c>
      <c r="F937" s="3">
        <v>208</v>
      </c>
      <c r="G937" s="6" t="s">
        <v>791</v>
      </c>
      <c r="H937" s="3" t="s">
        <v>1257</v>
      </c>
      <c r="I937" s="6" t="s">
        <v>111</v>
      </c>
      <c r="J937" s="3">
        <v>4</v>
      </c>
      <c r="K937" s="23">
        <v>3</v>
      </c>
      <c r="L937" s="3">
        <v>24.11</v>
      </c>
      <c r="M937" s="3">
        <v>11</v>
      </c>
      <c r="N937" s="3">
        <v>3.4</v>
      </c>
      <c r="O937" s="3"/>
      <c r="P937" s="3"/>
      <c r="Q937" s="3"/>
      <c r="R937" s="3" t="s">
        <v>72</v>
      </c>
      <c r="S937" s="3" t="s">
        <v>726</v>
      </c>
      <c r="T937" s="3">
        <v>2</v>
      </c>
      <c r="U937" s="3">
        <v>15</v>
      </c>
      <c r="V937" s="3">
        <v>20</v>
      </c>
      <c r="W937" s="3">
        <v>140</v>
      </c>
      <c r="X937" s="3" t="s">
        <v>1197</v>
      </c>
      <c r="Y937" s="3" t="s">
        <v>1360</v>
      </c>
    </row>
    <row r="938" spans="1:25" ht="15" customHeight="1" x14ac:dyDescent="0.3">
      <c r="A938" s="27">
        <v>45903</v>
      </c>
      <c r="B938" s="25">
        <v>30</v>
      </c>
      <c r="C938" s="3" t="s">
        <v>38</v>
      </c>
      <c r="D938" s="3" t="s">
        <v>545</v>
      </c>
      <c r="E938" s="3">
        <v>2</v>
      </c>
      <c r="F938" s="3">
        <v>209</v>
      </c>
      <c r="G938" s="6" t="s">
        <v>1394</v>
      </c>
      <c r="H938" s="3" t="s">
        <v>1395</v>
      </c>
      <c r="I938" s="6" t="s">
        <v>111</v>
      </c>
      <c r="J938" s="3">
        <v>12</v>
      </c>
      <c r="K938" s="23">
        <v>9</v>
      </c>
      <c r="L938" s="3">
        <v>27.5</v>
      </c>
      <c r="M938" s="3">
        <v>12</v>
      </c>
      <c r="N938" s="3">
        <v>3</v>
      </c>
      <c r="O938" s="3"/>
      <c r="P938" s="3"/>
      <c r="Q938" s="3"/>
      <c r="R938" s="3" t="s">
        <v>1342</v>
      </c>
      <c r="S938" s="3" t="s">
        <v>1379</v>
      </c>
      <c r="T938" s="3">
        <v>2</v>
      </c>
      <c r="U938" s="3">
        <v>33</v>
      </c>
      <c r="V938" s="3">
        <v>40</v>
      </c>
      <c r="W938" s="3">
        <v>95</v>
      </c>
      <c r="X938" s="3" t="s">
        <v>1354</v>
      </c>
      <c r="Y938" s="3" t="s">
        <v>1408</v>
      </c>
    </row>
    <row r="939" spans="1:25" ht="15" customHeight="1" x14ac:dyDescent="0.3">
      <c r="A939" s="5">
        <v>45904</v>
      </c>
      <c r="B939" s="25">
        <v>30</v>
      </c>
      <c r="C939" s="3" t="s">
        <v>38</v>
      </c>
      <c r="D939" s="3" t="s">
        <v>545</v>
      </c>
      <c r="E939" s="3">
        <v>2</v>
      </c>
      <c r="F939" s="3">
        <v>102</v>
      </c>
      <c r="G939" s="6" t="s">
        <v>547</v>
      </c>
      <c r="H939" s="3" t="s">
        <v>1363</v>
      </c>
      <c r="I939" s="6" t="s">
        <v>793</v>
      </c>
      <c r="J939" s="3">
        <v>5</v>
      </c>
      <c r="K939" s="3">
        <v>5</v>
      </c>
      <c r="L939" s="3">
        <v>19.46</v>
      </c>
      <c r="M939" s="3">
        <v>4.8</v>
      </c>
      <c r="N939" s="3">
        <v>9.8000000000000007</v>
      </c>
      <c r="O939" s="3">
        <v>7</v>
      </c>
      <c r="P939" s="3">
        <v>35</v>
      </c>
      <c r="Q939" s="3">
        <v>170</v>
      </c>
      <c r="R939" s="3"/>
      <c r="S939" s="3"/>
      <c r="T939" s="3"/>
      <c r="U939" s="3"/>
      <c r="V939" s="3"/>
      <c r="W939" s="3"/>
      <c r="X939" s="3" t="s">
        <v>251</v>
      </c>
      <c r="Y939" s="3" t="s">
        <v>580</v>
      </c>
    </row>
    <row r="940" spans="1:25" ht="15" customHeight="1" x14ac:dyDescent="0.3">
      <c r="A940" s="5">
        <v>45904</v>
      </c>
      <c r="B940" s="25">
        <v>30</v>
      </c>
      <c r="C940" s="3" t="s">
        <v>38</v>
      </c>
      <c r="D940" s="3" t="s">
        <v>545</v>
      </c>
      <c r="E940" s="3">
        <v>2</v>
      </c>
      <c r="F940" s="3">
        <v>103</v>
      </c>
      <c r="G940" s="6" t="s">
        <v>912</v>
      </c>
      <c r="H940" s="3" t="s">
        <v>1409</v>
      </c>
      <c r="I940" s="6" t="s">
        <v>793</v>
      </c>
      <c r="J940" s="3">
        <v>5</v>
      </c>
      <c r="K940" s="3">
        <v>5</v>
      </c>
      <c r="L940" s="3">
        <v>14.8</v>
      </c>
      <c r="M940" s="3">
        <v>4</v>
      </c>
      <c r="N940" s="3">
        <v>6.5</v>
      </c>
      <c r="O940" s="3">
        <v>6</v>
      </c>
      <c r="P940" s="3">
        <v>35</v>
      </c>
      <c r="Q940" s="3">
        <v>165</v>
      </c>
      <c r="R940" s="3"/>
      <c r="S940" s="3"/>
      <c r="T940" s="3"/>
      <c r="U940" s="3"/>
      <c r="V940" s="3"/>
      <c r="W940" s="3"/>
      <c r="X940" s="3" t="s">
        <v>254</v>
      </c>
      <c r="Y940" s="3" t="s">
        <v>254</v>
      </c>
    </row>
    <row r="941" spans="1:25" ht="15" customHeight="1" x14ac:dyDescent="0.3">
      <c r="A941" s="5">
        <v>45904</v>
      </c>
      <c r="B941" s="25">
        <v>30</v>
      </c>
      <c r="C941" s="3" t="s">
        <v>38</v>
      </c>
      <c r="D941" s="3" t="s">
        <v>545</v>
      </c>
      <c r="E941" s="3">
        <v>2</v>
      </c>
      <c r="F941" s="3">
        <v>164</v>
      </c>
      <c r="G941" s="6" t="s">
        <v>11</v>
      </c>
      <c r="H941" s="3" t="s">
        <v>1178</v>
      </c>
      <c r="I941" s="6" t="s">
        <v>483</v>
      </c>
      <c r="J941" s="3">
        <v>2</v>
      </c>
      <c r="K941" s="3">
        <v>2</v>
      </c>
      <c r="L941" s="3">
        <v>23.09</v>
      </c>
      <c r="M941" s="3">
        <v>7</v>
      </c>
      <c r="N941" s="3">
        <v>11</v>
      </c>
      <c r="O941" s="3">
        <v>4</v>
      </c>
      <c r="P941" s="3"/>
      <c r="Q941" s="3">
        <v>170</v>
      </c>
      <c r="R941" s="3"/>
      <c r="S941" s="3"/>
      <c r="T941" s="3"/>
      <c r="U941" s="3"/>
      <c r="V941" s="3"/>
      <c r="W941" s="3"/>
      <c r="X941" s="3" t="s">
        <v>138</v>
      </c>
      <c r="Y941" s="3" t="s">
        <v>1018</v>
      </c>
    </row>
    <row r="942" spans="1:25" ht="15" customHeight="1" x14ac:dyDescent="0.3">
      <c r="A942" s="5">
        <v>45904</v>
      </c>
      <c r="B942" s="25">
        <v>30</v>
      </c>
      <c r="C942" s="3" t="s">
        <v>38</v>
      </c>
      <c r="D942" s="3" t="s">
        <v>545</v>
      </c>
      <c r="E942" s="3">
        <v>2</v>
      </c>
      <c r="F942" s="3">
        <v>182</v>
      </c>
      <c r="G942" s="6" t="s">
        <v>1410</v>
      </c>
      <c r="H942" s="3" t="s">
        <v>1411</v>
      </c>
      <c r="I942" s="6" t="s">
        <v>483</v>
      </c>
      <c r="J942" s="3">
        <v>4</v>
      </c>
      <c r="K942" s="3">
        <v>4</v>
      </c>
      <c r="L942" s="3">
        <v>14.4</v>
      </c>
      <c r="M942" s="3">
        <v>3.5</v>
      </c>
      <c r="N942" s="3">
        <v>6</v>
      </c>
      <c r="O942" s="3">
        <v>3.25</v>
      </c>
      <c r="P942" s="3">
        <v>30</v>
      </c>
      <c r="Q942" s="3">
        <v>170</v>
      </c>
      <c r="R942" s="3"/>
      <c r="S942" s="3"/>
      <c r="T942" s="3"/>
      <c r="U942" s="3"/>
      <c r="V942" s="3"/>
      <c r="W942" s="3"/>
      <c r="X942" s="3" t="s">
        <v>82</v>
      </c>
      <c r="Y942" s="3" t="s">
        <v>396</v>
      </c>
    </row>
    <row r="943" spans="1:25" ht="15" customHeight="1" x14ac:dyDescent="0.3">
      <c r="A943" s="5">
        <v>45904</v>
      </c>
      <c r="B943" s="25">
        <v>30</v>
      </c>
      <c r="C943" s="3" t="s">
        <v>38</v>
      </c>
      <c r="D943" s="3" t="s">
        <v>545</v>
      </c>
      <c r="E943" s="3">
        <v>2</v>
      </c>
      <c r="F943" s="3">
        <v>401</v>
      </c>
      <c r="G943" s="6" t="s">
        <v>775</v>
      </c>
      <c r="H943" s="3" t="s">
        <v>1391</v>
      </c>
      <c r="I943" s="6" t="s">
        <v>483</v>
      </c>
      <c r="J943" s="3">
        <v>1</v>
      </c>
      <c r="K943" s="3">
        <v>1</v>
      </c>
      <c r="L943" s="3">
        <v>9.92</v>
      </c>
      <c r="M943" s="3"/>
      <c r="N943" s="3"/>
      <c r="O943" s="3">
        <v>3</v>
      </c>
      <c r="P943" s="3"/>
      <c r="Q943" s="3"/>
      <c r="R943" s="3"/>
      <c r="S943" s="3"/>
      <c r="T943" s="3"/>
      <c r="U943" s="3"/>
      <c r="V943" s="3"/>
      <c r="W943" s="3"/>
      <c r="X943" s="3" t="s">
        <v>1419</v>
      </c>
      <c r="Y943" s="3"/>
    </row>
    <row r="944" spans="1:25" ht="15" customHeight="1" x14ac:dyDescent="0.3">
      <c r="A944" s="5">
        <v>45904</v>
      </c>
      <c r="B944" s="25">
        <v>30</v>
      </c>
      <c r="C944" s="3" t="s">
        <v>38</v>
      </c>
      <c r="D944" s="3" t="s">
        <v>545</v>
      </c>
      <c r="E944" s="3">
        <v>2</v>
      </c>
      <c r="F944" s="3">
        <v>404</v>
      </c>
      <c r="G944" s="6" t="s">
        <v>983</v>
      </c>
      <c r="H944" s="3" t="s">
        <v>984</v>
      </c>
      <c r="I944" s="6" t="s">
        <v>483</v>
      </c>
      <c r="J944" s="3">
        <v>2</v>
      </c>
      <c r="K944" s="3">
        <v>2</v>
      </c>
      <c r="L944" s="3">
        <v>7.3</v>
      </c>
      <c r="M944" s="3"/>
      <c r="N944" s="3"/>
      <c r="O944" s="3">
        <v>2.5</v>
      </c>
      <c r="P944" s="3"/>
      <c r="Q944" s="3"/>
      <c r="R944" s="3"/>
      <c r="S944" s="3"/>
      <c r="T944" s="3"/>
      <c r="U944" s="3"/>
      <c r="V944" s="3"/>
      <c r="W944" s="3"/>
      <c r="X944" s="3" t="s">
        <v>1380</v>
      </c>
      <c r="Y944" s="3"/>
    </row>
    <row r="945" spans="1:25" ht="15" customHeight="1" x14ac:dyDescent="0.3">
      <c r="A945" s="5">
        <v>45904</v>
      </c>
      <c r="B945" s="25">
        <v>30</v>
      </c>
      <c r="C945" s="3" t="s">
        <v>38</v>
      </c>
      <c r="D945" s="3" t="s">
        <v>545</v>
      </c>
      <c r="E945" s="3">
        <v>2</v>
      </c>
      <c r="F945" s="3">
        <v>405</v>
      </c>
      <c r="G945" s="6" t="s">
        <v>1295</v>
      </c>
      <c r="H945" s="3" t="s">
        <v>1296</v>
      </c>
      <c r="I945" s="6" t="s">
        <v>483</v>
      </c>
      <c r="J945" s="3">
        <v>2</v>
      </c>
      <c r="K945" s="3">
        <v>2</v>
      </c>
      <c r="L945" s="3">
        <v>8.1</v>
      </c>
      <c r="M945" s="3"/>
      <c r="N945" s="3"/>
      <c r="O945" s="3">
        <v>2.5</v>
      </c>
      <c r="P945" s="3"/>
      <c r="Q945" s="3"/>
      <c r="R945" s="3"/>
      <c r="S945" s="3"/>
      <c r="T945" s="3"/>
      <c r="U945" s="3"/>
      <c r="V945" s="3"/>
      <c r="W945" s="3"/>
      <c r="X945" s="3" t="s">
        <v>1420</v>
      </c>
      <c r="Y945" s="3"/>
    </row>
    <row r="946" spans="1:25" ht="15" customHeight="1" x14ac:dyDescent="0.3">
      <c r="A946" s="5">
        <v>45904</v>
      </c>
      <c r="B946" s="25">
        <v>30</v>
      </c>
      <c r="C946" s="3" t="s">
        <v>38</v>
      </c>
      <c r="D946" s="3" t="s">
        <v>545</v>
      </c>
      <c r="E946" s="3">
        <v>2</v>
      </c>
      <c r="F946" s="3">
        <v>171</v>
      </c>
      <c r="G946" s="6" t="s">
        <v>1412</v>
      </c>
      <c r="H946" s="3" t="s">
        <v>1413</v>
      </c>
      <c r="I946" s="6" t="s">
        <v>483</v>
      </c>
      <c r="J946" s="3">
        <v>3</v>
      </c>
      <c r="K946" s="3">
        <v>3</v>
      </c>
      <c r="L946" s="3">
        <v>15.61</v>
      </c>
      <c r="M946" s="3">
        <v>3.75</v>
      </c>
      <c r="N946" s="3">
        <v>7.2</v>
      </c>
      <c r="O946" s="3">
        <v>4</v>
      </c>
      <c r="P946" s="3"/>
      <c r="Q946" s="3">
        <v>170</v>
      </c>
      <c r="R946" s="3"/>
      <c r="S946" s="3"/>
      <c r="T946" s="3"/>
      <c r="U946" s="3"/>
      <c r="V946" s="3"/>
      <c r="W946" s="3"/>
      <c r="X946" s="3" t="s">
        <v>79</v>
      </c>
      <c r="Y946" s="3" t="s">
        <v>80</v>
      </c>
    </row>
    <row r="947" spans="1:25" ht="15" customHeight="1" x14ac:dyDescent="0.3">
      <c r="A947" s="5">
        <v>45904</v>
      </c>
      <c r="B947" s="25">
        <v>30</v>
      </c>
      <c r="C947" s="3" t="s">
        <v>38</v>
      </c>
      <c r="D947" s="3" t="s">
        <v>545</v>
      </c>
      <c r="E947" s="3">
        <v>2</v>
      </c>
      <c r="F947" s="3">
        <v>172</v>
      </c>
      <c r="G947" s="6" t="s">
        <v>472</v>
      </c>
      <c r="H947" s="3" t="s">
        <v>1329</v>
      </c>
      <c r="I947" s="6" t="s">
        <v>483</v>
      </c>
      <c r="J947" s="3">
        <v>4</v>
      </c>
      <c r="K947" s="3">
        <v>4</v>
      </c>
      <c r="L947" s="3">
        <v>16.38</v>
      </c>
      <c r="M947" s="3">
        <v>0.5</v>
      </c>
      <c r="N947" s="3">
        <v>11</v>
      </c>
      <c r="O947" s="3">
        <v>7</v>
      </c>
      <c r="P947" s="3" t="s">
        <v>1339</v>
      </c>
      <c r="Q947" s="3">
        <v>160</v>
      </c>
      <c r="R947" s="3"/>
      <c r="S947" s="3"/>
      <c r="T947" s="3"/>
      <c r="U947" s="3"/>
      <c r="V947" s="3"/>
      <c r="W947" s="3"/>
      <c r="X947" s="3" t="s">
        <v>1105</v>
      </c>
      <c r="Y947" s="3" t="s">
        <v>87</v>
      </c>
    </row>
    <row r="948" spans="1:25" ht="15" customHeight="1" x14ac:dyDescent="0.3">
      <c r="A948" s="5">
        <v>45904</v>
      </c>
      <c r="B948" s="25">
        <v>30</v>
      </c>
      <c r="C948" s="3" t="s">
        <v>38</v>
      </c>
      <c r="D948" s="3" t="s">
        <v>545</v>
      </c>
      <c r="E948" s="3">
        <v>2</v>
      </c>
      <c r="F948" s="3">
        <v>173</v>
      </c>
      <c r="G948" s="6" t="s">
        <v>883</v>
      </c>
      <c r="H948" s="3" t="s">
        <v>1366</v>
      </c>
      <c r="I948" s="6" t="s">
        <v>483</v>
      </c>
      <c r="J948" s="3">
        <v>5</v>
      </c>
      <c r="K948" s="3">
        <v>5</v>
      </c>
      <c r="L948" s="3">
        <v>15.78</v>
      </c>
      <c r="M948" s="3">
        <v>0.5</v>
      </c>
      <c r="N948" s="3">
        <v>10.5</v>
      </c>
      <c r="O948" s="3">
        <v>7</v>
      </c>
      <c r="P948" s="3" t="s">
        <v>1417</v>
      </c>
      <c r="Q948" s="3">
        <v>170</v>
      </c>
      <c r="R948" s="3"/>
      <c r="S948" s="3"/>
      <c r="T948" s="3"/>
      <c r="U948" s="3"/>
      <c r="V948" s="3"/>
      <c r="W948" s="3"/>
      <c r="X948" s="3" t="s">
        <v>288</v>
      </c>
      <c r="Y948" s="3" t="s">
        <v>84</v>
      </c>
    </row>
    <row r="949" spans="1:25" ht="15" customHeight="1" x14ac:dyDescent="0.3">
      <c r="A949" s="5">
        <v>45904</v>
      </c>
      <c r="B949" s="25">
        <v>30</v>
      </c>
      <c r="C949" s="3" t="s">
        <v>38</v>
      </c>
      <c r="D949" s="3" t="s">
        <v>545</v>
      </c>
      <c r="E949" s="3">
        <v>2</v>
      </c>
      <c r="F949" s="3">
        <v>174</v>
      </c>
      <c r="G949" s="6" t="s">
        <v>310</v>
      </c>
      <c r="H949" s="3" t="s">
        <v>1414</v>
      </c>
      <c r="I949" s="6" t="s">
        <v>483</v>
      </c>
      <c r="J949" s="3">
        <v>3</v>
      </c>
      <c r="K949" s="3">
        <v>3</v>
      </c>
      <c r="L949" s="3">
        <v>17.96</v>
      </c>
      <c r="M949" s="3">
        <v>3</v>
      </c>
      <c r="N949" s="3">
        <v>10</v>
      </c>
      <c r="O949" s="3">
        <v>6</v>
      </c>
      <c r="P949" s="3" t="s">
        <v>1375</v>
      </c>
      <c r="Q949" s="3">
        <v>170</v>
      </c>
      <c r="R949" s="3"/>
      <c r="S949" s="3"/>
      <c r="T949" s="3"/>
      <c r="U949" s="3"/>
      <c r="V949" s="3"/>
      <c r="W949" s="3"/>
      <c r="X949" s="3" t="s">
        <v>1347</v>
      </c>
      <c r="Y949" s="3" t="s">
        <v>399</v>
      </c>
    </row>
    <row r="950" spans="1:25" ht="15" customHeight="1" x14ac:dyDescent="0.3">
      <c r="A950" s="5">
        <v>45904</v>
      </c>
      <c r="B950" s="25">
        <v>30</v>
      </c>
      <c r="C950" s="3" t="s">
        <v>38</v>
      </c>
      <c r="D950" s="3" t="s">
        <v>545</v>
      </c>
      <c r="E950" s="3">
        <v>2</v>
      </c>
      <c r="F950" s="3">
        <v>131</v>
      </c>
      <c r="G950" s="6" t="s">
        <v>1415</v>
      </c>
      <c r="H950" s="3" t="s">
        <v>1416</v>
      </c>
      <c r="I950" s="6" t="s">
        <v>483</v>
      </c>
      <c r="J950" s="3">
        <v>3</v>
      </c>
      <c r="K950" s="3">
        <v>3</v>
      </c>
      <c r="L950" s="3">
        <v>18.420000000000002</v>
      </c>
      <c r="M950" s="3">
        <v>4.7</v>
      </c>
      <c r="N950" s="3">
        <v>8.6</v>
      </c>
      <c r="O950" s="3">
        <v>5.5</v>
      </c>
      <c r="P950" s="3"/>
      <c r="Q950" s="3">
        <v>170</v>
      </c>
      <c r="R950" s="3"/>
      <c r="S950" s="3"/>
      <c r="T950" s="3"/>
      <c r="U950" s="3"/>
      <c r="V950" s="3"/>
      <c r="W950" s="3"/>
      <c r="X950" s="3" t="s">
        <v>1421</v>
      </c>
      <c r="Y950" s="3" t="s">
        <v>399</v>
      </c>
    </row>
    <row r="951" spans="1:25" ht="15" customHeight="1" x14ac:dyDescent="0.3">
      <c r="A951" s="5">
        <v>45904</v>
      </c>
      <c r="B951" s="25">
        <v>30</v>
      </c>
      <c r="C951" s="3" t="s">
        <v>38</v>
      </c>
      <c r="D951" s="3" t="s">
        <v>545</v>
      </c>
      <c r="E951" s="3">
        <v>2</v>
      </c>
      <c r="F951" s="3">
        <v>132</v>
      </c>
      <c r="G951" s="6" t="s">
        <v>781</v>
      </c>
      <c r="H951" s="3" t="s">
        <v>1253</v>
      </c>
      <c r="I951" s="6" t="s">
        <v>483</v>
      </c>
      <c r="J951" s="3">
        <v>3</v>
      </c>
      <c r="K951" s="3">
        <v>3</v>
      </c>
      <c r="L951" s="3">
        <v>21.35</v>
      </c>
      <c r="M951" s="3">
        <v>4.3</v>
      </c>
      <c r="N951" s="3">
        <v>11.5</v>
      </c>
      <c r="O951" s="3">
        <v>5.7</v>
      </c>
      <c r="P951" s="3"/>
      <c r="Q951" s="3">
        <v>170</v>
      </c>
      <c r="R951" s="3"/>
      <c r="S951" s="3"/>
      <c r="T951" s="3"/>
      <c r="U951" s="3"/>
      <c r="V951" s="3"/>
      <c r="W951" s="3"/>
      <c r="X951" s="3" t="s">
        <v>1348</v>
      </c>
      <c r="Y951" s="3" t="s">
        <v>709</v>
      </c>
    </row>
    <row r="952" spans="1:25" ht="15" customHeight="1" x14ac:dyDescent="0.3">
      <c r="A952" s="5">
        <v>45904</v>
      </c>
      <c r="B952" s="25">
        <v>30</v>
      </c>
      <c r="C952" s="3" t="s">
        <v>38</v>
      </c>
      <c r="D952" s="3" t="s">
        <v>545</v>
      </c>
      <c r="E952" s="3">
        <v>2</v>
      </c>
      <c r="F952" s="3">
        <v>138</v>
      </c>
      <c r="G952" s="6" t="s">
        <v>992</v>
      </c>
      <c r="H952" s="3" t="s">
        <v>1393</v>
      </c>
      <c r="I952" s="6" t="s">
        <v>483</v>
      </c>
      <c r="J952" s="3">
        <v>3</v>
      </c>
      <c r="K952" s="3">
        <v>3</v>
      </c>
      <c r="L952" s="3">
        <v>11.52</v>
      </c>
      <c r="M952" s="3">
        <v>2.5</v>
      </c>
      <c r="N952" s="3">
        <v>5.2</v>
      </c>
      <c r="O952" s="3">
        <v>3</v>
      </c>
      <c r="P952" s="3"/>
      <c r="Q952" s="3">
        <v>170</v>
      </c>
      <c r="R952" s="3"/>
      <c r="S952" s="3"/>
      <c r="T952" s="3"/>
      <c r="U952" s="3"/>
      <c r="V952" s="3"/>
      <c r="W952" s="3"/>
      <c r="X952" s="3" t="s">
        <v>87</v>
      </c>
      <c r="Y952" s="3"/>
    </row>
    <row r="953" spans="1:25" ht="15" customHeight="1" x14ac:dyDescent="0.3">
      <c r="A953" s="5">
        <v>45904</v>
      </c>
      <c r="B953" s="25">
        <v>30</v>
      </c>
      <c r="C953" s="3" t="s">
        <v>38</v>
      </c>
      <c r="D953" s="3" t="s">
        <v>545</v>
      </c>
      <c r="E953" s="3">
        <v>2</v>
      </c>
      <c r="F953" s="3">
        <v>202</v>
      </c>
      <c r="G953" s="6" t="s">
        <v>1333</v>
      </c>
      <c r="H953" s="3" t="s">
        <v>1302</v>
      </c>
      <c r="I953" s="6" t="s">
        <v>110</v>
      </c>
      <c r="J953" s="3">
        <v>8</v>
      </c>
      <c r="K953" s="3">
        <v>8</v>
      </c>
      <c r="L953" s="3">
        <v>25.4</v>
      </c>
      <c r="M953" s="3">
        <v>14</v>
      </c>
      <c r="N953" s="3">
        <v>1.5</v>
      </c>
      <c r="O953" s="3"/>
      <c r="P953" s="3"/>
      <c r="Q953" s="3"/>
      <c r="R953" s="3" t="s">
        <v>1309</v>
      </c>
      <c r="S953" s="3" t="s">
        <v>1343</v>
      </c>
      <c r="T953" s="3">
        <v>1.5</v>
      </c>
      <c r="U953" s="3">
        <v>20</v>
      </c>
      <c r="V953" s="3">
        <v>40</v>
      </c>
      <c r="W953" s="3">
        <v>140</v>
      </c>
      <c r="X953" s="3" t="s">
        <v>1401</v>
      </c>
      <c r="Y953" s="3"/>
    </row>
    <row r="954" spans="1:25" ht="15" customHeight="1" x14ac:dyDescent="0.3">
      <c r="A954" s="5">
        <v>45904</v>
      </c>
      <c r="B954" s="25">
        <v>30</v>
      </c>
      <c r="C954" s="3" t="s">
        <v>38</v>
      </c>
      <c r="D954" s="3" t="s">
        <v>545</v>
      </c>
      <c r="E954" s="3">
        <v>2</v>
      </c>
      <c r="F954" s="3">
        <v>203</v>
      </c>
      <c r="G954" s="6" t="s">
        <v>23</v>
      </c>
      <c r="H954" s="3" t="s">
        <v>1256</v>
      </c>
      <c r="I954" s="6" t="s">
        <v>111</v>
      </c>
      <c r="J954" s="3">
        <v>8</v>
      </c>
      <c r="K954" s="3">
        <v>8</v>
      </c>
      <c r="L954" s="3">
        <v>22.6</v>
      </c>
      <c r="M954" s="3">
        <v>5</v>
      </c>
      <c r="N954" s="3">
        <v>3</v>
      </c>
      <c r="O954" s="3"/>
      <c r="P954" s="3"/>
      <c r="Q954" s="3"/>
      <c r="R954" s="3" t="s">
        <v>1232</v>
      </c>
      <c r="S954" s="3" t="s">
        <v>68</v>
      </c>
      <c r="T954" s="3">
        <v>1</v>
      </c>
      <c r="U954" s="3">
        <v>20</v>
      </c>
      <c r="V954" s="3">
        <v>25</v>
      </c>
      <c r="W954" s="3">
        <v>90</v>
      </c>
      <c r="X954" s="3" t="s">
        <v>1422</v>
      </c>
      <c r="Y954" s="6" t="s">
        <v>1427</v>
      </c>
    </row>
    <row r="955" spans="1:25" ht="15" customHeight="1" x14ac:dyDescent="0.3">
      <c r="A955" s="5">
        <v>45904</v>
      </c>
      <c r="B955" s="25">
        <v>30</v>
      </c>
      <c r="C955" s="3" t="s">
        <v>38</v>
      </c>
      <c r="D955" s="3" t="s">
        <v>545</v>
      </c>
      <c r="E955" s="3">
        <v>2</v>
      </c>
      <c r="F955" s="3">
        <v>204</v>
      </c>
      <c r="G955" s="6" t="s">
        <v>1334</v>
      </c>
      <c r="H955" s="3" t="s">
        <v>1335</v>
      </c>
      <c r="I955" s="6" t="s">
        <v>112</v>
      </c>
      <c r="J955" s="3">
        <v>8</v>
      </c>
      <c r="K955" s="3">
        <v>8</v>
      </c>
      <c r="L955" s="3">
        <v>21.4</v>
      </c>
      <c r="M955" s="3">
        <v>10</v>
      </c>
      <c r="N955" s="3">
        <v>3.2</v>
      </c>
      <c r="O955" s="3"/>
      <c r="P955" s="3"/>
      <c r="Q955" s="3"/>
      <c r="R955" s="3" t="s">
        <v>1397</v>
      </c>
      <c r="S955" s="3" t="s">
        <v>1265</v>
      </c>
      <c r="T955" s="3">
        <v>1</v>
      </c>
      <c r="U955" s="3">
        <v>20</v>
      </c>
      <c r="V955" s="3">
        <v>25</v>
      </c>
      <c r="W955" s="3">
        <v>105</v>
      </c>
      <c r="X955" s="3" t="s">
        <v>1402</v>
      </c>
      <c r="Y955" s="3"/>
    </row>
    <row r="956" spans="1:25" ht="15" customHeight="1" x14ac:dyDescent="0.3">
      <c r="A956" s="5">
        <v>45904</v>
      </c>
      <c r="B956" s="25">
        <v>30</v>
      </c>
      <c r="C956" s="3" t="s">
        <v>38</v>
      </c>
      <c r="D956" s="3" t="s">
        <v>545</v>
      </c>
      <c r="E956" s="3">
        <v>2</v>
      </c>
      <c r="F956" s="3">
        <v>205</v>
      </c>
      <c r="G956" s="6" t="s">
        <v>1371</v>
      </c>
      <c r="H956" s="3" t="s">
        <v>1372</v>
      </c>
      <c r="I956" s="6" t="s">
        <v>111</v>
      </c>
      <c r="J956" s="3">
        <v>4</v>
      </c>
      <c r="K956" s="23">
        <v>3</v>
      </c>
      <c r="L956" s="3">
        <v>21.5</v>
      </c>
      <c r="M956" s="3">
        <v>8</v>
      </c>
      <c r="N956" s="3">
        <v>3</v>
      </c>
      <c r="O956" s="3"/>
      <c r="P956" s="3"/>
      <c r="Q956" s="3"/>
      <c r="R956" s="3" t="s">
        <v>1398</v>
      </c>
      <c r="S956" s="3" t="s">
        <v>386</v>
      </c>
      <c r="T956" s="3">
        <v>1</v>
      </c>
      <c r="U956" s="3">
        <v>5</v>
      </c>
      <c r="V956" s="3">
        <v>10</v>
      </c>
      <c r="W956" s="3">
        <v>140</v>
      </c>
      <c r="X956" s="3" t="s">
        <v>1423</v>
      </c>
      <c r="Y956" s="3"/>
    </row>
    <row r="957" spans="1:25" ht="15" customHeight="1" x14ac:dyDescent="0.3">
      <c r="A957" s="5">
        <v>45904</v>
      </c>
      <c r="B957" s="25">
        <v>30</v>
      </c>
      <c r="C957" s="3" t="s">
        <v>38</v>
      </c>
      <c r="D957" s="3" t="s">
        <v>545</v>
      </c>
      <c r="E957" s="3">
        <v>2</v>
      </c>
      <c r="F957" s="3">
        <v>206</v>
      </c>
      <c r="G957" s="6" t="s">
        <v>24</v>
      </c>
      <c r="H957" s="3" t="s">
        <v>1304</v>
      </c>
      <c r="I957" s="6" t="s">
        <v>111</v>
      </c>
      <c r="J957" s="3">
        <v>12</v>
      </c>
      <c r="K957" s="23">
        <v>10</v>
      </c>
      <c r="L957" s="3">
        <v>26.8</v>
      </c>
      <c r="M957" s="3">
        <v>18</v>
      </c>
      <c r="N957" s="3">
        <v>1.2</v>
      </c>
      <c r="O957" s="3"/>
      <c r="P957" s="3"/>
      <c r="Q957" s="3"/>
      <c r="R957" s="3" t="s">
        <v>1194</v>
      </c>
      <c r="S957" s="3" t="s">
        <v>1399</v>
      </c>
      <c r="T957" s="3">
        <v>0.5</v>
      </c>
      <c r="U957" s="3">
        <v>30</v>
      </c>
      <c r="V957" s="3">
        <v>40</v>
      </c>
      <c r="W957" s="3">
        <v>125</v>
      </c>
      <c r="X957" s="3" t="s">
        <v>1424</v>
      </c>
      <c r="Y957" s="6" t="s">
        <v>1406</v>
      </c>
    </row>
    <row r="958" spans="1:25" ht="15" customHeight="1" x14ac:dyDescent="0.3">
      <c r="A958" s="5">
        <v>45904</v>
      </c>
      <c r="B958" s="25">
        <v>30</v>
      </c>
      <c r="C958" s="3" t="s">
        <v>38</v>
      </c>
      <c r="D958" s="3" t="s">
        <v>545</v>
      </c>
      <c r="E958" s="3">
        <v>2</v>
      </c>
      <c r="F958" s="3">
        <v>207</v>
      </c>
      <c r="G958" s="6" t="s">
        <v>476</v>
      </c>
      <c r="H958" s="3" t="s">
        <v>1156</v>
      </c>
      <c r="I958" s="6" t="s">
        <v>111</v>
      </c>
      <c r="J958" s="3">
        <v>12</v>
      </c>
      <c r="K958" s="23">
        <v>7</v>
      </c>
      <c r="L958" s="3">
        <v>34.15</v>
      </c>
      <c r="M958" s="3">
        <v>15</v>
      </c>
      <c r="N958" s="3">
        <v>3.15</v>
      </c>
      <c r="O958" s="3"/>
      <c r="P958" s="3"/>
      <c r="Q958" s="3"/>
      <c r="R958" s="3" t="s">
        <v>726</v>
      </c>
      <c r="S958" s="3" t="s">
        <v>491</v>
      </c>
      <c r="T958" s="3">
        <v>2.5</v>
      </c>
      <c r="U958" s="3">
        <v>25</v>
      </c>
      <c r="V958" s="3">
        <v>35</v>
      </c>
      <c r="W958" s="3">
        <v>140</v>
      </c>
      <c r="X958" s="3" t="s">
        <v>1058</v>
      </c>
      <c r="Y958" s="6" t="s">
        <v>1428</v>
      </c>
    </row>
    <row r="959" spans="1:25" ht="15" customHeight="1" x14ac:dyDescent="0.3">
      <c r="A959" s="5">
        <v>45904</v>
      </c>
      <c r="B959" s="25">
        <v>30</v>
      </c>
      <c r="C959" s="3" t="s">
        <v>38</v>
      </c>
      <c r="D959" s="3" t="s">
        <v>545</v>
      </c>
      <c r="E959" s="3">
        <v>2</v>
      </c>
      <c r="F959" s="3">
        <v>208</v>
      </c>
      <c r="G959" s="6" t="s">
        <v>791</v>
      </c>
      <c r="H959" s="3" t="s">
        <v>1257</v>
      </c>
      <c r="I959" s="6" t="s">
        <v>111</v>
      </c>
      <c r="J959" s="3">
        <v>4</v>
      </c>
      <c r="K959" s="23">
        <v>3</v>
      </c>
      <c r="L959" s="3">
        <v>23.79</v>
      </c>
      <c r="M959" s="3">
        <v>11</v>
      </c>
      <c r="N959" s="3">
        <v>3.1</v>
      </c>
      <c r="O959" s="3"/>
      <c r="P959" s="3"/>
      <c r="Q959" s="3"/>
      <c r="R959" s="3" t="s">
        <v>244</v>
      </c>
      <c r="S959" s="3" t="s">
        <v>71</v>
      </c>
      <c r="T959" s="3">
        <v>2</v>
      </c>
      <c r="U959" s="3">
        <v>15</v>
      </c>
      <c r="V959" s="3">
        <v>25</v>
      </c>
      <c r="W959" s="3">
        <v>140</v>
      </c>
      <c r="X959" s="3" t="s">
        <v>427</v>
      </c>
      <c r="Y959" s="3" t="s">
        <v>1429</v>
      </c>
    </row>
    <row r="960" spans="1:25" ht="15" customHeight="1" x14ac:dyDescent="0.3">
      <c r="A960" s="5">
        <v>45904</v>
      </c>
      <c r="B960" s="25">
        <v>30</v>
      </c>
      <c r="C960" s="3" t="s">
        <v>38</v>
      </c>
      <c r="D960" s="3" t="s">
        <v>545</v>
      </c>
      <c r="E960" s="3">
        <v>2</v>
      </c>
      <c r="F960" s="3">
        <v>209</v>
      </c>
      <c r="G960" s="6" t="s">
        <v>1394</v>
      </c>
      <c r="H960" s="3" t="s">
        <v>1395</v>
      </c>
      <c r="I960" s="6" t="s">
        <v>111</v>
      </c>
      <c r="J960" s="3">
        <v>12</v>
      </c>
      <c r="K960" s="23">
        <v>9</v>
      </c>
      <c r="L960" s="3">
        <v>27.5</v>
      </c>
      <c r="M960" s="3">
        <v>12</v>
      </c>
      <c r="N960" s="3">
        <v>3</v>
      </c>
      <c r="O960" s="3"/>
      <c r="P960" s="3"/>
      <c r="Q960" s="3"/>
      <c r="R960" s="3" t="s">
        <v>1342</v>
      </c>
      <c r="S960" s="3" t="s">
        <v>1379</v>
      </c>
      <c r="T960" s="3">
        <v>2</v>
      </c>
      <c r="U960" s="3">
        <v>33</v>
      </c>
      <c r="V960" s="3">
        <v>40</v>
      </c>
      <c r="W960" s="3">
        <v>95</v>
      </c>
      <c r="X960" s="3" t="s">
        <v>1354</v>
      </c>
      <c r="Y960" s="3" t="s">
        <v>1430</v>
      </c>
    </row>
    <row r="961" spans="1:25" ht="15" customHeight="1" x14ac:dyDescent="0.3">
      <c r="A961" s="5">
        <v>45904</v>
      </c>
      <c r="B961" s="25">
        <v>30</v>
      </c>
      <c r="C961" s="3" t="s">
        <v>38</v>
      </c>
      <c r="D961" s="3" t="s">
        <v>545</v>
      </c>
      <c r="E961" s="3">
        <v>2</v>
      </c>
      <c r="F961" s="3">
        <v>501</v>
      </c>
      <c r="G961" s="6" t="s">
        <v>1260</v>
      </c>
      <c r="H961" s="3" t="s">
        <v>1261</v>
      </c>
      <c r="I961" s="6" t="s">
        <v>110</v>
      </c>
      <c r="J961" s="3">
        <v>6</v>
      </c>
      <c r="K961" s="3">
        <v>6</v>
      </c>
      <c r="L961" s="3">
        <v>17.62</v>
      </c>
      <c r="M961" s="3"/>
      <c r="N961" s="3"/>
      <c r="O961" s="3">
        <v>10.5</v>
      </c>
      <c r="P961" s="3"/>
      <c r="Q961" s="3"/>
      <c r="R961" s="3"/>
      <c r="S961" s="3"/>
      <c r="T961" s="3"/>
      <c r="U961" s="3"/>
      <c r="V961" s="3"/>
      <c r="W961" s="3"/>
      <c r="X961" s="3" t="s">
        <v>1425</v>
      </c>
      <c r="Y961" s="3"/>
    </row>
    <row r="962" spans="1:25" ht="15" customHeight="1" x14ac:dyDescent="0.3">
      <c r="A962" s="5">
        <v>45904</v>
      </c>
      <c r="B962" s="25">
        <v>30</v>
      </c>
      <c r="C962" s="3" t="s">
        <v>38</v>
      </c>
      <c r="D962" s="3" t="s">
        <v>545</v>
      </c>
      <c r="E962" s="3">
        <v>2</v>
      </c>
      <c r="F962" s="3">
        <v>502</v>
      </c>
      <c r="G962" s="6" t="s">
        <v>889</v>
      </c>
      <c r="H962" s="3" t="s">
        <v>1373</v>
      </c>
      <c r="I962" s="6" t="s">
        <v>110</v>
      </c>
      <c r="J962" s="3">
        <v>4</v>
      </c>
      <c r="K962" s="3">
        <v>4</v>
      </c>
      <c r="L962" s="3">
        <v>17.62</v>
      </c>
      <c r="M962" s="3"/>
      <c r="N962" s="3"/>
      <c r="O962" s="3">
        <v>10.5</v>
      </c>
      <c r="P962" s="3"/>
      <c r="Q962" s="3"/>
      <c r="R962" s="3"/>
      <c r="S962" s="3"/>
      <c r="T962" s="3"/>
      <c r="U962" s="3"/>
      <c r="V962" s="3"/>
      <c r="W962" s="3"/>
      <c r="X962" s="3" t="s">
        <v>1426</v>
      </c>
      <c r="Y962" s="3"/>
    </row>
    <row r="963" spans="1:25" ht="15" customHeight="1" x14ac:dyDescent="0.3">
      <c r="A963" s="27">
        <v>45905</v>
      </c>
      <c r="B963" s="25">
        <v>30</v>
      </c>
      <c r="C963" s="3" t="s">
        <v>38</v>
      </c>
      <c r="D963" s="3" t="s">
        <v>545</v>
      </c>
      <c r="E963" s="3">
        <v>2</v>
      </c>
      <c r="F963" s="3">
        <v>101</v>
      </c>
      <c r="G963" s="6" t="s">
        <v>1431</v>
      </c>
      <c r="H963" s="3" t="s">
        <v>1432</v>
      </c>
      <c r="I963" s="6" t="s">
        <v>793</v>
      </c>
      <c r="J963" s="3">
        <v>4</v>
      </c>
      <c r="K963" s="3">
        <v>4</v>
      </c>
      <c r="L963" s="3">
        <v>14.15</v>
      </c>
      <c r="M963" s="3">
        <v>3</v>
      </c>
      <c r="N963" s="3">
        <v>7</v>
      </c>
      <c r="O963" s="3">
        <v>6.5</v>
      </c>
      <c r="P963" s="3">
        <v>56</v>
      </c>
      <c r="Q963" s="3">
        <v>170</v>
      </c>
      <c r="R963" s="3"/>
      <c r="S963" s="3"/>
      <c r="T963" s="3"/>
      <c r="U963" s="3"/>
      <c r="V963" s="3"/>
      <c r="W963" s="3"/>
      <c r="X963" s="3" t="s">
        <v>207</v>
      </c>
      <c r="Y963" s="3" t="s">
        <v>1271</v>
      </c>
    </row>
    <row r="964" spans="1:25" ht="15" customHeight="1" x14ac:dyDescent="0.3">
      <c r="A964" s="27">
        <v>45905</v>
      </c>
      <c r="B964" s="25">
        <v>30</v>
      </c>
      <c r="C964" s="3" t="s">
        <v>38</v>
      </c>
      <c r="D964" s="3" t="s">
        <v>545</v>
      </c>
      <c r="E964" s="3">
        <v>2</v>
      </c>
      <c r="F964" s="3">
        <v>103</v>
      </c>
      <c r="G964" s="6" t="s">
        <v>912</v>
      </c>
      <c r="H964" s="3" t="s">
        <v>1409</v>
      </c>
      <c r="I964" s="6" t="s">
        <v>793</v>
      </c>
      <c r="J964" s="3">
        <v>5</v>
      </c>
      <c r="K964" s="3">
        <v>5</v>
      </c>
      <c r="L964" s="3">
        <v>14.58</v>
      </c>
      <c r="M964" s="3">
        <v>3.4</v>
      </c>
      <c r="N964" s="3">
        <v>6.8</v>
      </c>
      <c r="O964" s="3">
        <v>7.1</v>
      </c>
      <c r="P964" s="3">
        <v>35</v>
      </c>
      <c r="Q964" s="3">
        <v>165</v>
      </c>
      <c r="R964" s="3"/>
      <c r="S964" s="3"/>
      <c r="T964" s="3"/>
      <c r="U964" s="3"/>
      <c r="V964" s="3"/>
      <c r="W964" s="3"/>
      <c r="X964" s="3" t="s">
        <v>254</v>
      </c>
      <c r="Y964" s="3" t="s">
        <v>254</v>
      </c>
    </row>
    <row r="965" spans="1:25" ht="15" customHeight="1" x14ac:dyDescent="0.3">
      <c r="A965" s="27">
        <v>45905</v>
      </c>
      <c r="B965" s="25">
        <v>30</v>
      </c>
      <c r="C965" s="3" t="s">
        <v>38</v>
      </c>
      <c r="D965" s="3" t="s">
        <v>545</v>
      </c>
      <c r="E965" s="3">
        <v>2</v>
      </c>
      <c r="F965" s="3">
        <v>104</v>
      </c>
      <c r="G965" s="6" t="s">
        <v>403</v>
      </c>
      <c r="H965" s="3" t="s">
        <v>1325</v>
      </c>
      <c r="I965" s="6" t="s">
        <v>483</v>
      </c>
      <c r="J965" s="3">
        <v>9</v>
      </c>
      <c r="K965" s="23">
        <v>6</v>
      </c>
      <c r="L965" s="3">
        <v>15.26</v>
      </c>
      <c r="M965" s="3">
        <v>2.8</v>
      </c>
      <c r="N965" s="3">
        <v>6.1</v>
      </c>
      <c r="O965" s="3">
        <v>7</v>
      </c>
      <c r="P965" s="3"/>
      <c r="Q965" s="3">
        <v>170</v>
      </c>
      <c r="R965" s="3"/>
      <c r="S965" s="3"/>
      <c r="T965" s="3"/>
      <c r="U965" s="3"/>
      <c r="V965" s="3"/>
      <c r="W965" s="3"/>
      <c r="X965" s="3" t="s">
        <v>1441</v>
      </c>
      <c r="Y965" s="3" t="s">
        <v>84</v>
      </c>
    </row>
    <row r="966" spans="1:25" ht="15" customHeight="1" x14ac:dyDescent="0.3">
      <c r="A966" s="27">
        <v>45905</v>
      </c>
      <c r="B966" s="25">
        <v>30</v>
      </c>
      <c r="C966" s="3" t="s">
        <v>38</v>
      </c>
      <c r="D966" s="3" t="s">
        <v>545</v>
      </c>
      <c r="E966" s="3">
        <v>2</v>
      </c>
      <c r="F966" s="3">
        <v>162</v>
      </c>
      <c r="G966" s="6" t="s">
        <v>359</v>
      </c>
      <c r="H966" s="3" t="s">
        <v>1433</v>
      </c>
      <c r="I966" s="6" t="s">
        <v>483</v>
      </c>
      <c r="J966" s="3">
        <v>2</v>
      </c>
      <c r="K966" s="3">
        <v>2</v>
      </c>
      <c r="L966" s="3">
        <v>18</v>
      </c>
      <c r="M966" s="3">
        <v>5</v>
      </c>
      <c r="N966" s="3">
        <v>8</v>
      </c>
      <c r="O966" s="3">
        <v>3</v>
      </c>
      <c r="P966" s="3">
        <v>18</v>
      </c>
      <c r="Q966" s="3">
        <v>170</v>
      </c>
      <c r="R966" s="3"/>
      <c r="S966" s="3"/>
      <c r="T966" s="3"/>
      <c r="U966" s="3"/>
      <c r="V966" s="3"/>
      <c r="W966" s="3"/>
      <c r="X966" s="3" t="s">
        <v>288</v>
      </c>
      <c r="Y966" s="3" t="s">
        <v>152</v>
      </c>
    </row>
    <row r="967" spans="1:25" ht="15" customHeight="1" x14ac:dyDescent="0.3">
      <c r="A967" s="27">
        <v>45905</v>
      </c>
      <c r="B967" s="25">
        <v>30</v>
      </c>
      <c r="C967" s="3" t="s">
        <v>38</v>
      </c>
      <c r="D967" s="3" t="s">
        <v>545</v>
      </c>
      <c r="E967" s="3">
        <v>2</v>
      </c>
      <c r="F967" s="3">
        <v>164</v>
      </c>
      <c r="G967" s="6" t="s">
        <v>11</v>
      </c>
      <c r="H967" s="3" t="s">
        <v>1178</v>
      </c>
      <c r="I967" s="6" t="s">
        <v>483</v>
      </c>
      <c r="J967" s="3">
        <v>2</v>
      </c>
      <c r="K967" s="3">
        <v>2</v>
      </c>
      <c r="L967" s="3">
        <v>23.1</v>
      </c>
      <c r="M967" s="3">
        <v>7</v>
      </c>
      <c r="N967" s="3">
        <v>11</v>
      </c>
      <c r="O967" s="3">
        <v>4</v>
      </c>
      <c r="P967" s="3"/>
      <c r="Q967" s="3">
        <v>170</v>
      </c>
      <c r="R967" s="3"/>
      <c r="S967" s="3"/>
      <c r="T967" s="3"/>
      <c r="U967" s="3"/>
      <c r="V967" s="3"/>
      <c r="W967" s="3"/>
      <c r="X967" s="3" t="s">
        <v>138</v>
      </c>
      <c r="Y967" s="3" t="s">
        <v>1018</v>
      </c>
    </row>
    <row r="968" spans="1:25" ht="15" customHeight="1" x14ac:dyDescent="0.3">
      <c r="A968" s="27">
        <v>45905</v>
      </c>
      <c r="B968" s="25">
        <v>30</v>
      </c>
      <c r="C968" s="3" t="s">
        <v>38</v>
      </c>
      <c r="D968" s="3" t="s">
        <v>545</v>
      </c>
      <c r="E968" s="3">
        <v>2</v>
      </c>
      <c r="F968" s="3">
        <v>404</v>
      </c>
      <c r="G968" s="6" t="s">
        <v>983</v>
      </c>
      <c r="H968" s="3" t="s">
        <v>984</v>
      </c>
      <c r="I968" s="6" t="s">
        <v>483</v>
      </c>
      <c r="J968" s="3">
        <v>2</v>
      </c>
      <c r="K968" s="3">
        <v>2</v>
      </c>
      <c r="L968" s="3">
        <v>7.3</v>
      </c>
      <c r="M968" s="3"/>
      <c r="N968" s="3"/>
      <c r="O968" s="3">
        <v>2.5</v>
      </c>
      <c r="P968" s="3"/>
      <c r="Q968" s="3"/>
      <c r="R968" s="3"/>
      <c r="S968" s="3"/>
      <c r="T968" s="3"/>
      <c r="U968" s="3"/>
      <c r="V968" s="3"/>
      <c r="W968" s="3"/>
      <c r="X968" s="3" t="s">
        <v>1380</v>
      </c>
      <c r="Y968" s="3"/>
    </row>
    <row r="969" spans="1:25" ht="15" customHeight="1" x14ac:dyDescent="0.3">
      <c r="A969" s="27">
        <v>45905</v>
      </c>
      <c r="B969" s="25">
        <v>30</v>
      </c>
      <c r="C969" s="3" t="s">
        <v>38</v>
      </c>
      <c r="D969" s="3" t="s">
        <v>545</v>
      </c>
      <c r="E969" s="3">
        <v>2</v>
      </c>
      <c r="F969" s="3">
        <v>405</v>
      </c>
      <c r="G969" s="6" t="s">
        <v>1295</v>
      </c>
      <c r="H969" s="3" t="s">
        <v>1296</v>
      </c>
      <c r="I969" s="6" t="s">
        <v>483</v>
      </c>
      <c r="J969" s="3">
        <v>2</v>
      </c>
      <c r="K969" s="3">
        <v>2</v>
      </c>
      <c r="L969" s="3">
        <v>8.1</v>
      </c>
      <c r="M969" s="3"/>
      <c r="N969" s="3"/>
      <c r="O969" s="3">
        <v>2.5</v>
      </c>
      <c r="P969" s="3"/>
      <c r="Q969" s="3"/>
      <c r="R969" s="3"/>
      <c r="S969" s="3"/>
      <c r="T969" s="3"/>
      <c r="U969" s="3"/>
      <c r="V969" s="3"/>
      <c r="W969" s="3"/>
      <c r="X969" s="3" t="s">
        <v>1442</v>
      </c>
      <c r="Y969" s="3"/>
    </row>
    <row r="970" spans="1:25" ht="15" customHeight="1" x14ac:dyDescent="0.3">
      <c r="A970" s="27">
        <v>45905</v>
      </c>
      <c r="B970" s="25">
        <v>30</v>
      </c>
      <c r="C970" s="3" t="s">
        <v>38</v>
      </c>
      <c r="D970" s="3" t="s">
        <v>545</v>
      </c>
      <c r="E970" s="3">
        <v>2</v>
      </c>
      <c r="F970" s="3">
        <v>172</v>
      </c>
      <c r="G970" s="6" t="s">
        <v>15</v>
      </c>
      <c r="H970" s="3" t="s">
        <v>1434</v>
      </c>
      <c r="I970" s="6" t="s">
        <v>483</v>
      </c>
      <c r="J970" s="3">
        <v>4</v>
      </c>
      <c r="K970" s="3">
        <v>4</v>
      </c>
      <c r="L970" s="3">
        <v>15.17</v>
      </c>
      <c r="M970" s="3">
        <v>0.5</v>
      </c>
      <c r="N970" s="3">
        <v>9.8000000000000007</v>
      </c>
      <c r="O970" s="3">
        <v>7</v>
      </c>
      <c r="P970" s="3" t="s">
        <v>1439</v>
      </c>
      <c r="Q970" s="3">
        <v>160</v>
      </c>
      <c r="R970" s="3"/>
      <c r="S970" s="3"/>
      <c r="T970" s="3"/>
      <c r="U970" s="3"/>
      <c r="V970" s="3"/>
      <c r="W970" s="3"/>
      <c r="X970" s="3" t="s">
        <v>1105</v>
      </c>
      <c r="Y970" s="3" t="s">
        <v>80</v>
      </c>
    </row>
    <row r="971" spans="1:25" ht="15" customHeight="1" x14ac:dyDescent="0.3">
      <c r="A971" s="27">
        <v>45905</v>
      </c>
      <c r="B971" s="25">
        <v>30</v>
      </c>
      <c r="C971" s="3" t="s">
        <v>38</v>
      </c>
      <c r="D971" s="3" t="s">
        <v>545</v>
      </c>
      <c r="E971" s="3">
        <v>2</v>
      </c>
      <c r="F971" s="3">
        <v>173</v>
      </c>
      <c r="G971" s="6" t="s">
        <v>883</v>
      </c>
      <c r="H971" s="3" t="s">
        <v>1366</v>
      </c>
      <c r="I971" s="6" t="s">
        <v>483</v>
      </c>
      <c r="J971" s="3">
        <v>5</v>
      </c>
      <c r="K971" s="3">
        <v>5</v>
      </c>
      <c r="L971" s="3">
        <v>15.81</v>
      </c>
      <c r="M971" s="3">
        <v>0.75</v>
      </c>
      <c r="N971" s="3">
        <v>10.5</v>
      </c>
      <c r="O971" s="3">
        <v>7</v>
      </c>
      <c r="P971" s="3" t="s">
        <v>1417</v>
      </c>
      <c r="Q971" s="3">
        <v>170</v>
      </c>
      <c r="R971" s="3"/>
      <c r="S971" s="3"/>
      <c r="T971" s="3"/>
      <c r="U971" s="3"/>
      <c r="V971" s="3"/>
      <c r="W971" s="3"/>
      <c r="X971" s="3" t="s">
        <v>288</v>
      </c>
      <c r="Y971" s="3" t="s">
        <v>87</v>
      </c>
    </row>
    <row r="972" spans="1:25" ht="15" customHeight="1" x14ac:dyDescent="0.3">
      <c r="A972" s="27">
        <v>45905</v>
      </c>
      <c r="B972" s="25">
        <v>30</v>
      </c>
      <c r="C972" s="3" t="s">
        <v>38</v>
      </c>
      <c r="D972" s="3" t="s">
        <v>545</v>
      </c>
      <c r="E972" s="3">
        <v>2</v>
      </c>
      <c r="F972" s="3">
        <v>174</v>
      </c>
      <c r="G972" s="6" t="s">
        <v>310</v>
      </c>
      <c r="H972" s="3" t="s">
        <v>1414</v>
      </c>
      <c r="I972" s="6" t="s">
        <v>483</v>
      </c>
      <c r="J972" s="3">
        <v>3</v>
      </c>
      <c r="K972" s="3">
        <v>3</v>
      </c>
      <c r="L972" s="3">
        <v>17.97</v>
      </c>
      <c r="M972" s="3">
        <v>3</v>
      </c>
      <c r="N972" s="3">
        <v>10</v>
      </c>
      <c r="O972" s="3">
        <v>6</v>
      </c>
      <c r="P972" s="3"/>
      <c r="Q972" s="3">
        <v>170</v>
      </c>
      <c r="R972" s="3"/>
      <c r="S972" s="3"/>
      <c r="T972" s="3"/>
      <c r="U972" s="3"/>
      <c r="V972" s="3"/>
      <c r="W972" s="3"/>
      <c r="X972" s="3" t="s">
        <v>1347</v>
      </c>
      <c r="Y972" s="3" t="s">
        <v>84</v>
      </c>
    </row>
    <row r="973" spans="1:25" ht="15" customHeight="1" x14ac:dyDescent="0.3">
      <c r="A973" s="27">
        <v>45905</v>
      </c>
      <c r="B973" s="25">
        <v>30</v>
      </c>
      <c r="C973" s="3" t="s">
        <v>38</v>
      </c>
      <c r="D973" s="3" t="s">
        <v>545</v>
      </c>
      <c r="E973" s="3">
        <v>2</v>
      </c>
      <c r="F973" s="3">
        <v>175</v>
      </c>
      <c r="G973" s="6" t="s">
        <v>1181</v>
      </c>
      <c r="H973" s="3" t="s">
        <v>1435</v>
      </c>
      <c r="I973" s="6" t="s">
        <v>483</v>
      </c>
      <c r="J973" s="3">
        <v>5</v>
      </c>
      <c r="K973" s="3">
        <v>5</v>
      </c>
      <c r="L973" s="3">
        <v>13</v>
      </c>
      <c r="M973" s="3">
        <v>0.2</v>
      </c>
      <c r="N973" s="3">
        <v>7.25</v>
      </c>
      <c r="O973" s="3">
        <v>6</v>
      </c>
      <c r="P973" s="3" t="s">
        <v>1376</v>
      </c>
      <c r="Q973" s="3">
        <v>175</v>
      </c>
      <c r="R973" s="3"/>
      <c r="S973" s="3"/>
      <c r="T973" s="3"/>
      <c r="U973" s="3"/>
      <c r="V973" s="3"/>
      <c r="W973" s="3"/>
      <c r="X973" s="3" t="s">
        <v>79</v>
      </c>
      <c r="Y973" s="3" t="s">
        <v>84</v>
      </c>
    </row>
    <row r="974" spans="1:25" ht="15" customHeight="1" x14ac:dyDescent="0.3">
      <c r="A974" s="27">
        <v>45905</v>
      </c>
      <c r="B974" s="25">
        <v>30</v>
      </c>
      <c r="C974" s="3" t="s">
        <v>38</v>
      </c>
      <c r="D974" s="3" t="s">
        <v>545</v>
      </c>
      <c r="E974" s="3">
        <v>2</v>
      </c>
      <c r="F974" s="3">
        <v>131</v>
      </c>
      <c r="G974" s="6" t="s">
        <v>1415</v>
      </c>
      <c r="H974" s="3" t="s">
        <v>1416</v>
      </c>
      <c r="I974" s="6" t="s">
        <v>483</v>
      </c>
      <c r="J974" s="3">
        <v>3</v>
      </c>
      <c r="K974" s="3">
        <v>3</v>
      </c>
      <c r="L974" s="3">
        <v>18.73</v>
      </c>
      <c r="M974" s="3">
        <v>4.7</v>
      </c>
      <c r="N974" s="3">
        <v>9</v>
      </c>
      <c r="O974" s="3">
        <v>5.5</v>
      </c>
      <c r="P974" s="3"/>
      <c r="Q974" s="3">
        <v>170</v>
      </c>
      <c r="R974" s="3"/>
      <c r="S974" s="3"/>
      <c r="T974" s="3"/>
      <c r="U974" s="3"/>
      <c r="V974" s="3"/>
      <c r="W974" s="3"/>
      <c r="X974" s="3" t="s">
        <v>1421</v>
      </c>
      <c r="Y974" s="3" t="s">
        <v>1447</v>
      </c>
    </row>
    <row r="975" spans="1:25" ht="15" customHeight="1" x14ac:dyDescent="0.3">
      <c r="A975" s="27">
        <v>45905</v>
      </c>
      <c r="B975" s="25">
        <v>30</v>
      </c>
      <c r="C975" s="3" t="s">
        <v>38</v>
      </c>
      <c r="D975" s="3" t="s">
        <v>545</v>
      </c>
      <c r="E975" s="3">
        <v>2</v>
      </c>
      <c r="F975" s="3">
        <v>132</v>
      </c>
      <c r="G975" s="6" t="s">
        <v>781</v>
      </c>
      <c r="H975" s="3" t="s">
        <v>1253</v>
      </c>
      <c r="I975" s="6" t="s">
        <v>483</v>
      </c>
      <c r="J975" s="3">
        <v>3</v>
      </c>
      <c r="K975" s="3">
        <v>3</v>
      </c>
      <c r="L975" s="3">
        <v>21.29</v>
      </c>
      <c r="M975" s="3">
        <v>4.3</v>
      </c>
      <c r="N975" s="3">
        <v>11.5</v>
      </c>
      <c r="O975" s="3">
        <v>5.7</v>
      </c>
      <c r="P975" s="3"/>
      <c r="Q975" s="3">
        <v>170</v>
      </c>
      <c r="R975" s="3"/>
      <c r="S975" s="3"/>
      <c r="T975" s="3"/>
      <c r="U975" s="3"/>
      <c r="V975" s="3"/>
      <c r="W975" s="3"/>
      <c r="X975" s="3" t="s">
        <v>1443</v>
      </c>
      <c r="Y975" s="3" t="s">
        <v>1448</v>
      </c>
    </row>
    <row r="976" spans="1:25" ht="15" customHeight="1" x14ac:dyDescent="0.3">
      <c r="A976" s="27">
        <v>45905</v>
      </c>
      <c r="B976" s="25">
        <v>30</v>
      </c>
      <c r="C976" s="3" t="s">
        <v>38</v>
      </c>
      <c r="D976" s="3" t="s">
        <v>545</v>
      </c>
      <c r="E976" s="3">
        <v>2</v>
      </c>
      <c r="F976" s="3">
        <v>134</v>
      </c>
      <c r="G976" s="6" t="s">
        <v>336</v>
      </c>
      <c r="H976" s="3" t="s">
        <v>1436</v>
      </c>
      <c r="I976" s="6" t="s">
        <v>483</v>
      </c>
      <c r="J976" s="3">
        <v>3</v>
      </c>
      <c r="K976" s="3">
        <v>3</v>
      </c>
      <c r="L976" s="3">
        <v>15.57</v>
      </c>
      <c r="M976" s="3">
        <v>4</v>
      </c>
      <c r="N976" s="3">
        <v>6</v>
      </c>
      <c r="O976" s="3">
        <v>5</v>
      </c>
      <c r="P976" s="3"/>
      <c r="Q976" s="3">
        <v>165</v>
      </c>
      <c r="R976" s="3"/>
      <c r="S976" s="3"/>
      <c r="T976" s="3"/>
      <c r="U976" s="3"/>
      <c r="V976" s="3"/>
      <c r="W976" s="3"/>
      <c r="X976" s="3" t="s">
        <v>398</v>
      </c>
      <c r="Y976" s="3" t="s">
        <v>1449</v>
      </c>
    </row>
    <row r="977" spans="1:25" ht="15" customHeight="1" x14ac:dyDescent="0.3">
      <c r="A977" s="27">
        <v>45905</v>
      </c>
      <c r="B977" s="25">
        <v>30</v>
      </c>
      <c r="C977" s="3" t="s">
        <v>38</v>
      </c>
      <c r="D977" s="3" t="s">
        <v>545</v>
      </c>
      <c r="E977" s="3">
        <v>2</v>
      </c>
      <c r="F977" s="3">
        <v>138</v>
      </c>
      <c r="G977" s="6" t="s">
        <v>992</v>
      </c>
      <c r="H977" s="3" t="s">
        <v>1393</v>
      </c>
      <c r="I977" s="6" t="s">
        <v>483</v>
      </c>
      <c r="J977" s="3">
        <v>3</v>
      </c>
      <c r="K977" s="3">
        <v>3</v>
      </c>
      <c r="L977" s="3">
        <v>11.53</v>
      </c>
      <c r="M977" s="3">
        <v>2.5</v>
      </c>
      <c r="N977" s="3">
        <v>5.2</v>
      </c>
      <c r="O977" s="3">
        <v>3</v>
      </c>
      <c r="P977" s="3"/>
      <c r="Q977" s="3">
        <v>170</v>
      </c>
      <c r="R977" s="3"/>
      <c r="S977" s="3"/>
      <c r="T977" s="3"/>
      <c r="U977" s="3"/>
      <c r="V977" s="3"/>
      <c r="W977" s="3"/>
      <c r="X977" s="3" t="s">
        <v>84</v>
      </c>
      <c r="Y977" s="3" t="s">
        <v>396</v>
      </c>
    </row>
    <row r="978" spans="1:25" ht="15" customHeight="1" x14ac:dyDescent="0.3">
      <c r="A978" s="27">
        <v>45905</v>
      </c>
      <c r="B978" s="25">
        <v>30</v>
      </c>
      <c r="C978" s="3" t="s">
        <v>38</v>
      </c>
      <c r="D978" s="3" t="s">
        <v>545</v>
      </c>
      <c r="E978" s="3">
        <v>2</v>
      </c>
      <c r="F978" s="3">
        <v>202</v>
      </c>
      <c r="G978" s="6" t="s">
        <v>1333</v>
      </c>
      <c r="H978" s="3" t="s">
        <v>1302</v>
      </c>
      <c r="I978" s="6" t="s">
        <v>110</v>
      </c>
      <c r="J978" s="3">
        <v>8</v>
      </c>
      <c r="K978" s="3">
        <v>8</v>
      </c>
      <c r="L978" s="3">
        <v>21.8</v>
      </c>
      <c r="M978" s="3">
        <v>10</v>
      </c>
      <c r="N978" s="3">
        <v>1.5</v>
      </c>
      <c r="O978" s="3"/>
      <c r="P978" s="3"/>
      <c r="Q978" s="3"/>
      <c r="R978" s="3" t="s">
        <v>1309</v>
      </c>
      <c r="S978" s="3" t="s">
        <v>1343</v>
      </c>
      <c r="T978" s="3">
        <v>1.5</v>
      </c>
      <c r="U978" s="3">
        <v>20</v>
      </c>
      <c r="V978" s="3">
        <v>40</v>
      </c>
      <c r="W978" s="3">
        <v>140</v>
      </c>
      <c r="X978" s="3" t="s">
        <v>1444</v>
      </c>
      <c r="Y978" s="6"/>
    </row>
    <row r="979" spans="1:25" ht="15" customHeight="1" x14ac:dyDescent="0.3">
      <c r="A979" s="27">
        <v>45905</v>
      </c>
      <c r="B979" s="25">
        <v>30</v>
      </c>
      <c r="C979" s="3" t="s">
        <v>38</v>
      </c>
      <c r="D979" s="3" t="s">
        <v>545</v>
      </c>
      <c r="E979" s="3">
        <v>2</v>
      </c>
      <c r="F979" s="3">
        <v>203</v>
      </c>
      <c r="G979" s="6" t="s">
        <v>23</v>
      </c>
      <c r="H979" s="3" t="s">
        <v>1256</v>
      </c>
      <c r="I979" s="6" t="s">
        <v>111</v>
      </c>
      <c r="J979" s="3">
        <v>8</v>
      </c>
      <c r="K979" s="3">
        <v>8</v>
      </c>
      <c r="L979" s="3">
        <v>18.899999999999999</v>
      </c>
      <c r="M979" s="3">
        <v>5</v>
      </c>
      <c r="N979" s="3">
        <v>3</v>
      </c>
      <c r="O979" s="3"/>
      <c r="P979" s="3"/>
      <c r="Q979" s="3"/>
      <c r="R979" s="3" t="s">
        <v>1418</v>
      </c>
      <c r="S979" s="3" t="s">
        <v>851</v>
      </c>
      <c r="T979" s="3">
        <v>1</v>
      </c>
      <c r="U979" s="3">
        <v>20</v>
      </c>
      <c r="V979" s="3">
        <v>25</v>
      </c>
      <c r="W979" s="3">
        <v>95</v>
      </c>
      <c r="X979" s="3" t="s">
        <v>1445</v>
      </c>
      <c r="Y979" s="6" t="s">
        <v>1450</v>
      </c>
    </row>
    <row r="980" spans="1:25" ht="15" customHeight="1" x14ac:dyDescent="0.3">
      <c r="A980" s="27">
        <v>45905</v>
      </c>
      <c r="B980" s="25">
        <v>30</v>
      </c>
      <c r="C980" s="3" t="s">
        <v>38</v>
      </c>
      <c r="D980" s="3" t="s">
        <v>545</v>
      </c>
      <c r="E980" s="3">
        <v>2</v>
      </c>
      <c r="F980" s="3">
        <v>204</v>
      </c>
      <c r="G980" s="6" t="s">
        <v>1334</v>
      </c>
      <c r="H980" s="3" t="s">
        <v>1335</v>
      </c>
      <c r="I980" s="6" t="s">
        <v>112</v>
      </c>
      <c r="J980" s="3">
        <v>8</v>
      </c>
      <c r="K980" s="3">
        <v>8</v>
      </c>
      <c r="L980" s="3">
        <v>21.4</v>
      </c>
      <c r="M980" s="3">
        <v>10</v>
      </c>
      <c r="N980" s="3">
        <v>3.2</v>
      </c>
      <c r="O980" s="3"/>
      <c r="P980" s="3"/>
      <c r="Q980" s="3"/>
      <c r="R980" s="3" t="s">
        <v>1397</v>
      </c>
      <c r="S980" s="3" t="s">
        <v>1265</v>
      </c>
      <c r="T980" s="3">
        <v>1</v>
      </c>
      <c r="U980" s="3">
        <v>20</v>
      </c>
      <c r="V980" s="3">
        <v>25</v>
      </c>
      <c r="W980" s="3">
        <v>105</v>
      </c>
      <c r="X980" s="3" t="s">
        <v>1402</v>
      </c>
      <c r="Y980" s="3"/>
    </row>
    <row r="981" spans="1:25" ht="15" customHeight="1" x14ac:dyDescent="0.3">
      <c r="A981" s="27">
        <v>45905</v>
      </c>
      <c r="B981" s="25">
        <v>30</v>
      </c>
      <c r="C981" s="3" t="s">
        <v>38</v>
      </c>
      <c r="D981" s="3" t="s">
        <v>545</v>
      </c>
      <c r="E981" s="3">
        <v>2</v>
      </c>
      <c r="F981" s="3">
        <v>205</v>
      </c>
      <c r="G981" s="6" t="s">
        <v>1371</v>
      </c>
      <c r="H981" s="3" t="s">
        <v>1372</v>
      </c>
      <c r="I981" s="6" t="s">
        <v>111</v>
      </c>
      <c r="J981" s="3">
        <v>4</v>
      </c>
      <c r="K981" s="23">
        <v>3</v>
      </c>
      <c r="L981" s="3">
        <v>21.8</v>
      </c>
      <c r="M981" s="3">
        <v>8</v>
      </c>
      <c r="N981" s="3">
        <v>3</v>
      </c>
      <c r="O981" s="3"/>
      <c r="P981" s="3"/>
      <c r="Q981" s="3"/>
      <c r="R981" s="3" t="s">
        <v>1264</v>
      </c>
      <c r="S981" s="3" t="s">
        <v>386</v>
      </c>
      <c r="T981" s="3">
        <v>1</v>
      </c>
      <c r="U981" s="3">
        <v>5</v>
      </c>
      <c r="V981" s="3">
        <v>10</v>
      </c>
      <c r="W981" s="3">
        <v>140</v>
      </c>
      <c r="X981" s="3" t="s">
        <v>1423</v>
      </c>
      <c r="Y981" s="6"/>
    </row>
    <row r="982" spans="1:25" ht="15" customHeight="1" x14ac:dyDescent="0.3">
      <c r="A982" s="27">
        <v>45905</v>
      </c>
      <c r="B982" s="25">
        <v>30</v>
      </c>
      <c r="C982" s="3" t="s">
        <v>38</v>
      </c>
      <c r="D982" s="3" t="s">
        <v>545</v>
      </c>
      <c r="E982" s="3">
        <v>2</v>
      </c>
      <c r="F982" s="3">
        <v>207</v>
      </c>
      <c r="G982" s="6" t="s">
        <v>476</v>
      </c>
      <c r="H982" s="3" t="s">
        <v>1156</v>
      </c>
      <c r="I982" s="6" t="s">
        <v>111</v>
      </c>
      <c r="J982" s="3">
        <v>12</v>
      </c>
      <c r="K982" s="23">
        <v>9</v>
      </c>
      <c r="L982" s="3">
        <v>34.28</v>
      </c>
      <c r="M982" s="3">
        <v>15</v>
      </c>
      <c r="N982" s="3">
        <v>3.15</v>
      </c>
      <c r="O982" s="3"/>
      <c r="P982" s="3"/>
      <c r="Q982" s="3"/>
      <c r="R982" s="3" t="s">
        <v>726</v>
      </c>
      <c r="S982" s="3" t="s">
        <v>491</v>
      </c>
      <c r="T982" s="3">
        <v>2.5</v>
      </c>
      <c r="U982" s="3">
        <v>30</v>
      </c>
      <c r="V982" s="3">
        <v>40</v>
      </c>
      <c r="W982" s="3">
        <v>140</v>
      </c>
      <c r="X982" s="3" t="s">
        <v>1058</v>
      </c>
      <c r="Y982" s="3" t="s">
        <v>1451</v>
      </c>
    </row>
    <row r="983" spans="1:25" ht="15" customHeight="1" x14ac:dyDescent="0.3">
      <c r="A983" s="27">
        <v>45905</v>
      </c>
      <c r="B983" s="25">
        <v>30</v>
      </c>
      <c r="C983" s="3" t="s">
        <v>38</v>
      </c>
      <c r="D983" s="3" t="s">
        <v>545</v>
      </c>
      <c r="E983" s="3">
        <v>2</v>
      </c>
      <c r="F983" s="3">
        <v>208</v>
      </c>
      <c r="G983" s="6" t="s">
        <v>791</v>
      </c>
      <c r="H983" s="3" t="s">
        <v>1257</v>
      </c>
      <c r="I983" s="6" t="s">
        <v>111</v>
      </c>
      <c r="J983" s="3">
        <v>4</v>
      </c>
      <c r="K983" s="23">
        <v>3</v>
      </c>
      <c r="L983" s="3">
        <v>26.75</v>
      </c>
      <c r="M983" s="3">
        <v>14</v>
      </c>
      <c r="N983" s="3">
        <v>3.1</v>
      </c>
      <c r="O983" s="3"/>
      <c r="P983" s="3"/>
      <c r="Q983" s="3"/>
      <c r="R983" s="3" t="s">
        <v>284</v>
      </c>
      <c r="S983" s="3" t="s">
        <v>71</v>
      </c>
      <c r="T983" s="3">
        <v>2</v>
      </c>
      <c r="U983" s="3">
        <v>15</v>
      </c>
      <c r="V983" s="3">
        <v>25</v>
      </c>
      <c r="W983" s="3">
        <v>140</v>
      </c>
      <c r="X983" s="3" t="s">
        <v>427</v>
      </c>
      <c r="Y983" s="3" t="s">
        <v>1452</v>
      </c>
    </row>
    <row r="984" spans="1:25" ht="15" customHeight="1" x14ac:dyDescent="0.3">
      <c r="A984" s="27">
        <v>45905</v>
      </c>
      <c r="B984" s="25">
        <v>30</v>
      </c>
      <c r="C984" s="3" t="s">
        <v>38</v>
      </c>
      <c r="D984" s="3" t="s">
        <v>545</v>
      </c>
      <c r="E984" s="3">
        <v>2</v>
      </c>
      <c r="F984" s="3">
        <v>209</v>
      </c>
      <c r="G984" s="6" t="s">
        <v>1394</v>
      </c>
      <c r="H984" s="3" t="s">
        <v>1395</v>
      </c>
      <c r="I984" s="6" t="s">
        <v>111</v>
      </c>
      <c r="J984" s="3">
        <v>12</v>
      </c>
      <c r="K984" s="23">
        <v>9</v>
      </c>
      <c r="L984" s="3">
        <v>29.8</v>
      </c>
      <c r="M984" s="3">
        <v>12</v>
      </c>
      <c r="N984" s="3">
        <v>3</v>
      </c>
      <c r="O984" s="3"/>
      <c r="P984" s="3"/>
      <c r="Q984" s="3"/>
      <c r="R984" s="3" t="s">
        <v>1342</v>
      </c>
      <c r="S984" s="3" t="s">
        <v>1379</v>
      </c>
      <c r="T984" s="3">
        <v>3</v>
      </c>
      <c r="U984" s="3">
        <v>33</v>
      </c>
      <c r="V984" s="3">
        <v>40</v>
      </c>
      <c r="W984" s="3">
        <v>95</v>
      </c>
      <c r="X984" s="3" t="s">
        <v>1354</v>
      </c>
      <c r="Y984" s="3" t="s">
        <v>1453</v>
      </c>
    </row>
    <row r="985" spans="1:25" ht="15" customHeight="1" x14ac:dyDescent="0.3">
      <c r="A985" s="27">
        <v>45905</v>
      </c>
      <c r="B985" s="25">
        <v>30</v>
      </c>
      <c r="C985" s="3" t="s">
        <v>38</v>
      </c>
      <c r="D985" s="3" t="s">
        <v>545</v>
      </c>
      <c r="E985" s="3">
        <v>2</v>
      </c>
      <c r="F985" s="3">
        <v>211</v>
      </c>
      <c r="G985" s="6" t="s">
        <v>1437</v>
      </c>
      <c r="H985" s="3" t="s">
        <v>1438</v>
      </c>
      <c r="I985" s="4" t="s">
        <v>112</v>
      </c>
      <c r="J985" s="3">
        <v>24</v>
      </c>
      <c r="K985" s="23">
        <v>17</v>
      </c>
      <c r="L985" s="3">
        <v>18.399999999999999</v>
      </c>
      <c r="M985" s="3">
        <v>10</v>
      </c>
      <c r="N985" s="3">
        <v>3</v>
      </c>
      <c r="O985" s="3"/>
      <c r="P985" s="3"/>
      <c r="Q985" s="3"/>
      <c r="R985" s="3" t="s">
        <v>637</v>
      </c>
      <c r="S985" s="3" t="s">
        <v>1440</v>
      </c>
      <c r="T985" s="3">
        <v>0.6</v>
      </c>
      <c r="U985" s="3">
        <v>15</v>
      </c>
      <c r="V985" s="3">
        <v>15</v>
      </c>
      <c r="W985" s="3">
        <v>140</v>
      </c>
      <c r="X985" s="3" t="s">
        <v>1446</v>
      </c>
      <c r="Y985" s="3"/>
    </row>
    <row r="986" spans="1:25" ht="15" customHeight="1" x14ac:dyDescent="0.3">
      <c r="A986" s="27">
        <v>45905</v>
      </c>
      <c r="B986" s="25">
        <v>30</v>
      </c>
      <c r="C986" s="3" t="s">
        <v>38</v>
      </c>
      <c r="D986" s="3" t="s">
        <v>545</v>
      </c>
      <c r="E986" s="3">
        <v>2</v>
      </c>
      <c r="F986" s="3">
        <v>501</v>
      </c>
      <c r="G986" s="6" t="s">
        <v>1260</v>
      </c>
      <c r="H986" s="3" t="s">
        <v>1261</v>
      </c>
      <c r="I986" s="6" t="s">
        <v>110</v>
      </c>
      <c r="J986" s="3">
        <v>6</v>
      </c>
      <c r="K986" s="3">
        <v>6</v>
      </c>
      <c r="L986" s="3">
        <v>17.62</v>
      </c>
      <c r="M986" s="3"/>
      <c r="N986" s="3"/>
      <c r="O986" s="3">
        <v>10.5</v>
      </c>
      <c r="P986" s="3"/>
      <c r="Q986" s="3"/>
      <c r="R986" s="3"/>
      <c r="S986" s="3"/>
      <c r="T986" s="3"/>
      <c r="U986" s="3"/>
      <c r="V986" s="3"/>
      <c r="W986" s="3"/>
      <c r="X986" s="3" t="s">
        <v>1425</v>
      </c>
      <c r="Y986" s="3"/>
    </row>
    <row r="987" spans="1:25" ht="15" customHeight="1" x14ac:dyDescent="0.3">
      <c r="A987" s="27">
        <v>45905</v>
      </c>
      <c r="B987" s="25">
        <v>30</v>
      </c>
      <c r="C987" s="3" t="s">
        <v>38</v>
      </c>
      <c r="D987" s="3" t="s">
        <v>545</v>
      </c>
      <c r="E987" s="3">
        <v>2</v>
      </c>
      <c r="F987" s="3">
        <v>502</v>
      </c>
      <c r="G987" s="6" t="s">
        <v>889</v>
      </c>
      <c r="H987" s="3" t="s">
        <v>1373</v>
      </c>
      <c r="I987" s="6" t="s">
        <v>110</v>
      </c>
      <c r="J987" s="3">
        <v>4</v>
      </c>
      <c r="K987" s="3">
        <v>4</v>
      </c>
      <c r="L987" s="3">
        <v>17.62</v>
      </c>
      <c r="M987" s="3"/>
      <c r="N987" s="3"/>
      <c r="O987" s="3">
        <v>10.5</v>
      </c>
      <c r="P987" s="3"/>
      <c r="Q987" s="3"/>
      <c r="R987" s="3"/>
      <c r="S987" s="3"/>
      <c r="T987" s="3"/>
      <c r="U987" s="3"/>
      <c r="V987" s="3"/>
      <c r="W987" s="3"/>
      <c r="X987" s="3" t="s">
        <v>1426</v>
      </c>
      <c r="Y987" s="3"/>
    </row>
    <row r="988" spans="1:25" ht="15" customHeight="1" x14ac:dyDescent="0.3">
      <c r="A988" s="5">
        <v>45915</v>
      </c>
      <c r="B988" s="25">
        <v>28</v>
      </c>
      <c r="C988" s="3" t="s">
        <v>38</v>
      </c>
      <c r="D988" s="3" t="s">
        <v>355</v>
      </c>
      <c r="E988" s="3">
        <v>2</v>
      </c>
      <c r="F988" s="3">
        <v>162</v>
      </c>
      <c r="G988" s="6" t="s">
        <v>1454</v>
      </c>
      <c r="H988" s="3" t="s">
        <v>1455</v>
      </c>
      <c r="I988" s="6" t="s">
        <v>793</v>
      </c>
      <c r="J988" s="3">
        <v>2</v>
      </c>
      <c r="K988" s="3">
        <v>2</v>
      </c>
      <c r="L988" s="3">
        <v>24</v>
      </c>
      <c r="M988" s="3">
        <v>6.5</v>
      </c>
      <c r="N988" s="3">
        <v>10</v>
      </c>
      <c r="O988" s="3">
        <v>3.5</v>
      </c>
      <c r="P988" s="3">
        <v>31</v>
      </c>
      <c r="Q988" s="3">
        <v>170</v>
      </c>
      <c r="R988" s="3"/>
      <c r="S988" s="3"/>
      <c r="T988" s="3"/>
      <c r="U988" s="3"/>
      <c r="V988" s="3"/>
      <c r="W988" s="3"/>
      <c r="X988" s="3" t="s">
        <v>1463</v>
      </c>
      <c r="Y988" s="3" t="s">
        <v>83</v>
      </c>
    </row>
    <row r="989" spans="1:25" ht="15" customHeight="1" x14ac:dyDescent="0.3">
      <c r="A989" s="5">
        <v>45915</v>
      </c>
      <c r="B989" s="25">
        <v>28</v>
      </c>
      <c r="C989" s="3" t="s">
        <v>38</v>
      </c>
      <c r="D989" s="3" t="s">
        <v>355</v>
      </c>
      <c r="E989" s="3">
        <v>2</v>
      </c>
      <c r="F989" s="3">
        <v>164</v>
      </c>
      <c r="G989" s="6" t="s">
        <v>11</v>
      </c>
      <c r="H989" s="3" t="s">
        <v>1456</v>
      </c>
      <c r="I989" s="6" t="s">
        <v>793</v>
      </c>
      <c r="J989" s="3">
        <v>2</v>
      </c>
      <c r="K989" s="3">
        <v>2</v>
      </c>
      <c r="L989" s="3">
        <v>23.1</v>
      </c>
      <c r="M989" s="3">
        <v>7</v>
      </c>
      <c r="N989" s="3">
        <v>11</v>
      </c>
      <c r="O989" s="3">
        <v>4.0999999999999996</v>
      </c>
      <c r="P989" s="3"/>
      <c r="Q989" s="3">
        <v>170</v>
      </c>
      <c r="R989" s="3"/>
      <c r="S989" s="3"/>
      <c r="T989" s="3"/>
      <c r="U989" s="3"/>
      <c r="V989" s="3"/>
      <c r="W989" s="3"/>
      <c r="X989" s="3" t="s">
        <v>138</v>
      </c>
      <c r="Y989" s="3" t="s">
        <v>1018</v>
      </c>
    </row>
    <row r="990" spans="1:25" ht="15" customHeight="1" x14ac:dyDescent="0.3">
      <c r="A990" s="5">
        <v>45915</v>
      </c>
      <c r="B990" s="25">
        <v>28</v>
      </c>
      <c r="C990" s="3" t="s">
        <v>38</v>
      </c>
      <c r="D990" s="3" t="s">
        <v>355</v>
      </c>
      <c r="E990" s="3">
        <v>2</v>
      </c>
      <c r="F990" s="3">
        <v>172</v>
      </c>
      <c r="G990" s="6" t="s">
        <v>472</v>
      </c>
      <c r="H990" s="3" t="s">
        <v>1457</v>
      </c>
      <c r="I990" s="6" t="s">
        <v>793</v>
      </c>
      <c r="J990" s="3">
        <v>4</v>
      </c>
      <c r="K990" s="3">
        <v>4</v>
      </c>
      <c r="L990" s="3">
        <v>18.07</v>
      </c>
      <c r="M990" s="3">
        <v>2</v>
      </c>
      <c r="N990" s="3">
        <v>11.5</v>
      </c>
      <c r="O990" s="3">
        <v>9</v>
      </c>
      <c r="P990" s="3" t="s">
        <v>1460</v>
      </c>
      <c r="Q990" s="3">
        <v>170</v>
      </c>
      <c r="R990" s="3"/>
      <c r="S990" s="3"/>
      <c r="T990" s="3"/>
      <c r="U990" s="3"/>
      <c r="V990" s="3"/>
      <c r="W990" s="3"/>
      <c r="X990" s="3" t="s">
        <v>79</v>
      </c>
      <c r="Y990" s="3" t="s">
        <v>80</v>
      </c>
    </row>
    <row r="991" spans="1:25" ht="15" customHeight="1" x14ac:dyDescent="0.3">
      <c r="A991" s="5">
        <v>45915</v>
      </c>
      <c r="B991" s="25">
        <v>28</v>
      </c>
      <c r="C991" s="3" t="s">
        <v>38</v>
      </c>
      <c r="D991" s="3" t="s">
        <v>355</v>
      </c>
      <c r="E991" s="3">
        <v>2</v>
      </c>
      <c r="F991" s="3">
        <v>173</v>
      </c>
      <c r="G991" s="6" t="s">
        <v>883</v>
      </c>
      <c r="H991" s="3" t="s">
        <v>1366</v>
      </c>
      <c r="I991" s="6" t="s">
        <v>793</v>
      </c>
      <c r="J991" s="3">
        <v>5</v>
      </c>
      <c r="K991" s="3">
        <v>5</v>
      </c>
      <c r="L991" s="3">
        <v>15.82</v>
      </c>
      <c r="M991" s="3">
        <v>0.75</v>
      </c>
      <c r="N991" s="3">
        <v>10.5</v>
      </c>
      <c r="O991" s="3">
        <v>7</v>
      </c>
      <c r="P991" s="3" t="s">
        <v>1417</v>
      </c>
      <c r="Q991" s="3">
        <v>170</v>
      </c>
      <c r="R991" s="3"/>
      <c r="S991" s="3"/>
      <c r="T991" s="3"/>
      <c r="U991" s="3"/>
      <c r="V991" s="3"/>
      <c r="W991" s="3"/>
      <c r="X991" s="3" t="s">
        <v>288</v>
      </c>
      <c r="Y991" s="3" t="s">
        <v>87</v>
      </c>
    </row>
    <row r="992" spans="1:25" ht="15" customHeight="1" x14ac:dyDescent="0.3">
      <c r="A992" s="5">
        <v>45915</v>
      </c>
      <c r="B992" s="25">
        <v>28</v>
      </c>
      <c r="C992" s="3" t="s">
        <v>38</v>
      </c>
      <c r="D992" s="3" t="s">
        <v>355</v>
      </c>
      <c r="E992" s="3">
        <v>2</v>
      </c>
      <c r="F992" s="3">
        <v>174</v>
      </c>
      <c r="G992" s="6" t="s">
        <v>227</v>
      </c>
      <c r="H992" s="3" t="s">
        <v>1458</v>
      </c>
      <c r="I992" s="6" t="s">
        <v>793</v>
      </c>
      <c r="J992" s="3">
        <v>3</v>
      </c>
      <c r="K992" s="3">
        <v>3</v>
      </c>
      <c r="L992" s="3">
        <v>18.920000000000002</v>
      </c>
      <c r="M992" s="3">
        <v>4</v>
      </c>
      <c r="N992" s="3">
        <v>10</v>
      </c>
      <c r="O992" s="3">
        <v>5</v>
      </c>
      <c r="P992" s="3" t="s">
        <v>1461</v>
      </c>
      <c r="Q992" s="3">
        <v>170</v>
      </c>
      <c r="R992" s="3"/>
      <c r="S992" s="3"/>
      <c r="T992" s="3"/>
      <c r="U992" s="3"/>
      <c r="V992" s="3"/>
      <c r="W992" s="3"/>
      <c r="X992" s="3" t="s">
        <v>1347</v>
      </c>
      <c r="Y992" s="3" t="s">
        <v>84</v>
      </c>
    </row>
    <row r="993" spans="1:25" ht="15" customHeight="1" x14ac:dyDescent="0.3">
      <c r="A993" s="5">
        <v>45915</v>
      </c>
      <c r="B993" s="25">
        <v>28</v>
      </c>
      <c r="C993" s="3" t="s">
        <v>38</v>
      </c>
      <c r="D993" s="3" t="s">
        <v>355</v>
      </c>
      <c r="E993" s="3">
        <v>2</v>
      </c>
      <c r="F993" s="3">
        <v>177</v>
      </c>
      <c r="G993" s="6" t="s">
        <v>985</v>
      </c>
      <c r="H993" s="3" t="s">
        <v>1459</v>
      </c>
      <c r="I993" s="6" t="s">
        <v>793</v>
      </c>
      <c r="J993" s="3">
        <v>4</v>
      </c>
      <c r="K993" s="3">
        <v>4</v>
      </c>
      <c r="L993" s="3">
        <v>16.11</v>
      </c>
      <c r="M993" s="3">
        <v>0.2</v>
      </c>
      <c r="N993" s="3">
        <v>9</v>
      </c>
      <c r="O993" s="3">
        <v>8.5</v>
      </c>
      <c r="P993" s="3" t="s">
        <v>1462</v>
      </c>
      <c r="Q993" s="3">
        <v>180</v>
      </c>
      <c r="R993" s="3"/>
      <c r="S993" s="3"/>
      <c r="T993" s="3"/>
      <c r="U993" s="3"/>
      <c r="V993" s="3"/>
      <c r="W993" s="3"/>
      <c r="X993" s="3" t="s">
        <v>79</v>
      </c>
      <c r="Y993" s="3" t="s">
        <v>84</v>
      </c>
    </row>
    <row r="994" spans="1:25" ht="15" customHeight="1" x14ac:dyDescent="0.3">
      <c r="A994" s="27">
        <v>45916</v>
      </c>
      <c r="B994" s="25">
        <v>29</v>
      </c>
      <c r="C994" s="3" t="s">
        <v>38</v>
      </c>
      <c r="D994" s="3" t="s">
        <v>355</v>
      </c>
      <c r="E994" s="3">
        <v>2</v>
      </c>
      <c r="F994" s="3">
        <v>101</v>
      </c>
      <c r="G994" s="6" t="s">
        <v>165</v>
      </c>
      <c r="H994" s="3" t="s">
        <v>1464</v>
      </c>
      <c r="I994" s="6" t="s">
        <v>793</v>
      </c>
      <c r="J994" s="3">
        <v>4</v>
      </c>
      <c r="K994" s="3">
        <v>4</v>
      </c>
      <c r="L994" s="3">
        <v>13.34</v>
      </c>
      <c r="M994" s="3">
        <v>3.2</v>
      </c>
      <c r="N994" s="3">
        <v>5.7</v>
      </c>
      <c r="O994" s="3">
        <v>4</v>
      </c>
      <c r="P994" s="3">
        <v>50</v>
      </c>
      <c r="Q994" s="3">
        <v>170</v>
      </c>
      <c r="R994" s="3"/>
      <c r="S994" s="3"/>
      <c r="T994" s="3"/>
      <c r="U994" s="3"/>
      <c r="V994" s="3"/>
      <c r="W994" s="3"/>
      <c r="X994" s="3" t="s">
        <v>1488</v>
      </c>
      <c r="Y994" s="3" t="s">
        <v>1271</v>
      </c>
    </row>
    <row r="995" spans="1:25" ht="15" customHeight="1" x14ac:dyDescent="0.3">
      <c r="A995" s="27">
        <v>45916</v>
      </c>
      <c r="B995" s="25">
        <v>29</v>
      </c>
      <c r="C995" s="3" t="s">
        <v>38</v>
      </c>
      <c r="D995" s="3" t="s">
        <v>355</v>
      </c>
      <c r="E995" s="3">
        <v>2</v>
      </c>
      <c r="F995" s="3">
        <v>104</v>
      </c>
      <c r="G995" s="6" t="s">
        <v>1465</v>
      </c>
      <c r="H995" s="3" t="s">
        <v>1466</v>
      </c>
      <c r="I995" s="6" t="s">
        <v>793</v>
      </c>
      <c r="J995" s="3">
        <v>9</v>
      </c>
      <c r="K995" s="3">
        <v>9</v>
      </c>
      <c r="L995" s="3">
        <v>13.81</v>
      </c>
      <c r="M995" s="3">
        <v>2.8</v>
      </c>
      <c r="N995" s="3">
        <v>5.5</v>
      </c>
      <c r="O995" s="3">
        <v>4</v>
      </c>
      <c r="P995" s="3"/>
      <c r="Q995" s="3">
        <v>170</v>
      </c>
      <c r="R995" s="3"/>
      <c r="S995" s="3"/>
      <c r="T995" s="3"/>
      <c r="U995" s="3"/>
      <c r="V995" s="3"/>
      <c r="W995" s="3"/>
      <c r="X995" s="3" t="s">
        <v>496</v>
      </c>
      <c r="Y995" s="3" t="s">
        <v>84</v>
      </c>
    </row>
    <row r="996" spans="1:25" ht="15" customHeight="1" x14ac:dyDescent="0.3">
      <c r="A996" s="27">
        <v>45916</v>
      </c>
      <c r="B996" s="25">
        <v>29</v>
      </c>
      <c r="C996" s="3" t="s">
        <v>38</v>
      </c>
      <c r="D996" s="3" t="s">
        <v>355</v>
      </c>
      <c r="E996" s="3">
        <v>2</v>
      </c>
      <c r="F996" s="3">
        <v>161</v>
      </c>
      <c r="G996" s="6" t="s">
        <v>1467</v>
      </c>
      <c r="H996" s="3" t="s">
        <v>1468</v>
      </c>
      <c r="I996" s="6" t="s">
        <v>793</v>
      </c>
      <c r="J996" s="3">
        <v>2</v>
      </c>
      <c r="K996" s="3">
        <v>2</v>
      </c>
      <c r="L996" s="3">
        <v>18.190000000000001</v>
      </c>
      <c r="M996" s="3">
        <v>6.5</v>
      </c>
      <c r="N996" s="3">
        <v>8</v>
      </c>
      <c r="O996" s="3">
        <v>2.8</v>
      </c>
      <c r="P996" s="3"/>
      <c r="Q996" s="3">
        <v>180</v>
      </c>
      <c r="R996" s="3"/>
      <c r="S996" s="3"/>
      <c r="T996" s="3"/>
      <c r="U996" s="3"/>
      <c r="V996" s="3"/>
      <c r="W996" s="3"/>
      <c r="X996" s="3" t="s">
        <v>388</v>
      </c>
      <c r="Y996" s="3" t="s">
        <v>1495</v>
      </c>
    </row>
    <row r="997" spans="1:25" ht="15" customHeight="1" x14ac:dyDescent="0.3">
      <c r="A997" s="27">
        <v>45916</v>
      </c>
      <c r="B997" s="25">
        <v>29</v>
      </c>
      <c r="C997" s="3" t="s">
        <v>38</v>
      </c>
      <c r="D997" s="3" t="s">
        <v>355</v>
      </c>
      <c r="E997" s="3">
        <v>2</v>
      </c>
      <c r="F997" s="3">
        <v>162</v>
      </c>
      <c r="G997" s="6" t="s">
        <v>1454</v>
      </c>
      <c r="H997" s="3" t="s">
        <v>1455</v>
      </c>
      <c r="I997" s="6" t="s">
        <v>793</v>
      </c>
      <c r="J997" s="3">
        <v>2</v>
      </c>
      <c r="K997" s="3">
        <v>2</v>
      </c>
      <c r="L997" s="3">
        <v>24</v>
      </c>
      <c r="M997" s="3">
        <v>6.5</v>
      </c>
      <c r="N997" s="3">
        <v>10</v>
      </c>
      <c r="O997" s="3">
        <v>3.5</v>
      </c>
      <c r="P997" s="3">
        <v>28</v>
      </c>
      <c r="Q997" s="3">
        <v>170</v>
      </c>
      <c r="R997" s="3"/>
      <c r="S997" s="3"/>
      <c r="T997" s="3"/>
      <c r="U997" s="3"/>
      <c r="V997" s="3"/>
      <c r="W997" s="3"/>
      <c r="X997" s="3" t="s">
        <v>288</v>
      </c>
      <c r="Y997" s="3" t="s">
        <v>83</v>
      </c>
    </row>
    <row r="998" spans="1:25" ht="15" customHeight="1" x14ac:dyDescent="0.3">
      <c r="A998" s="27">
        <v>45916</v>
      </c>
      <c r="B998" s="25">
        <v>29</v>
      </c>
      <c r="C998" s="3" t="s">
        <v>38</v>
      </c>
      <c r="D998" s="3" t="s">
        <v>355</v>
      </c>
      <c r="E998" s="3">
        <v>2</v>
      </c>
      <c r="F998" s="3">
        <v>163</v>
      </c>
      <c r="G998" s="6" t="s">
        <v>1469</v>
      </c>
      <c r="H998" s="3" t="s">
        <v>1470</v>
      </c>
      <c r="I998" s="6" t="s">
        <v>793</v>
      </c>
      <c r="J998" s="3">
        <v>2</v>
      </c>
      <c r="K998" s="3">
        <v>2</v>
      </c>
      <c r="L998" s="3">
        <v>21</v>
      </c>
      <c r="M998" s="3">
        <v>5</v>
      </c>
      <c r="N998" s="3">
        <v>7</v>
      </c>
      <c r="O998" s="3">
        <v>3</v>
      </c>
      <c r="P998" s="3"/>
      <c r="Q998" s="3">
        <v>177</v>
      </c>
      <c r="R998" s="3"/>
      <c r="S998" s="3"/>
      <c r="T998" s="3"/>
      <c r="U998" s="3"/>
      <c r="V998" s="3"/>
      <c r="W998" s="3"/>
      <c r="X998" s="3" t="s">
        <v>138</v>
      </c>
      <c r="Y998" s="3" t="s">
        <v>1018</v>
      </c>
    </row>
    <row r="999" spans="1:25" ht="15" customHeight="1" x14ac:dyDescent="0.3">
      <c r="A999" s="27">
        <v>45916</v>
      </c>
      <c r="B999" s="25">
        <v>29</v>
      </c>
      <c r="C999" s="3" t="s">
        <v>38</v>
      </c>
      <c r="D999" s="3" t="s">
        <v>355</v>
      </c>
      <c r="E999" s="3">
        <v>2</v>
      </c>
      <c r="F999" s="3">
        <v>164</v>
      </c>
      <c r="G999" s="6" t="s">
        <v>11</v>
      </c>
      <c r="H999" s="3" t="s">
        <v>1456</v>
      </c>
      <c r="I999" s="6" t="s">
        <v>793</v>
      </c>
      <c r="J999" s="3">
        <v>2</v>
      </c>
      <c r="K999" s="3">
        <v>2</v>
      </c>
      <c r="L999" s="3">
        <v>23.1</v>
      </c>
      <c r="M999" s="3">
        <v>7</v>
      </c>
      <c r="N999" s="3">
        <v>11</v>
      </c>
      <c r="O999" s="3">
        <v>4.0999999999999996</v>
      </c>
      <c r="P999" s="3"/>
      <c r="Q999" s="3">
        <v>170</v>
      </c>
      <c r="R999" s="3"/>
      <c r="S999" s="3"/>
      <c r="T999" s="3"/>
      <c r="U999" s="3"/>
      <c r="V999" s="3"/>
      <c r="W999" s="3"/>
      <c r="X999" s="3" t="s">
        <v>138</v>
      </c>
      <c r="Y999" s="3" t="s">
        <v>1018</v>
      </c>
    </row>
    <row r="1000" spans="1:25" ht="15" customHeight="1" x14ac:dyDescent="0.3">
      <c r="A1000" s="27">
        <v>45916</v>
      </c>
      <c r="B1000" s="25">
        <v>29</v>
      </c>
      <c r="C1000" s="3" t="s">
        <v>38</v>
      </c>
      <c r="D1000" s="3" t="s">
        <v>355</v>
      </c>
      <c r="E1000" s="3">
        <v>2</v>
      </c>
      <c r="F1000" s="3">
        <v>182</v>
      </c>
      <c r="G1000" s="6" t="s">
        <v>1471</v>
      </c>
      <c r="H1000" s="3" t="s">
        <v>1472</v>
      </c>
      <c r="I1000" s="6" t="s">
        <v>793</v>
      </c>
      <c r="J1000" s="3">
        <v>4</v>
      </c>
      <c r="K1000" s="3">
        <v>4</v>
      </c>
      <c r="L1000" s="3">
        <v>14.24</v>
      </c>
      <c r="M1000" s="3">
        <v>3.85</v>
      </c>
      <c r="N1000" s="3">
        <v>6</v>
      </c>
      <c r="O1000" s="3">
        <v>3</v>
      </c>
      <c r="P1000" s="3">
        <v>30</v>
      </c>
      <c r="Q1000" s="3">
        <v>175</v>
      </c>
      <c r="R1000" s="3"/>
      <c r="S1000" s="3"/>
      <c r="T1000" s="3"/>
      <c r="U1000" s="3"/>
      <c r="V1000" s="3"/>
      <c r="W1000" s="3"/>
      <c r="X1000" s="3" t="s">
        <v>82</v>
      </c>
      <c r="Y1000" s="3" t="s">
        <v>396</v>
      </c>
    </row>
    <row r="1001" spans="1:25" ht="15" customHeight="1" x14ac:dyDescent="0.3">
      <c r="A1001" s="27">
        <v>45916</v>
      </c>
      <c r="B1001" s="25">
        <v>29</v>
      </c>
      <c r="C1001" s="3" t="s">
        <v>38</v>
      </c>
      <c r="D1001" s="3" t="s">
        <v>355</v>
      </c>
      <c r="E1001" s="3">
        <v>2</v>
      </c>
      <c r="F1001" s="3">
        <v>404</v>
      </c>
      <c r="G1001" s="6" t="s">
        <v>407</v>
      </c>
      <c r="H1001" s="3" t="s">
        <v>1473</v>
      </c>
      <c r="I1001" s="6" t="s">
        <v>793</v>
      </c>
      <c r="J1001" s="3">
        <v>2</v>
      </c>
      <c r="K1001" s="3">
        <v>2</v>
      </c>
      <c r="L1001" s="3">
        <v>7.3</v>
      </c>
      <c r="M1001" s="3"/>
      <c r="N1001" s="3"/>
      <c r="O1001" s="3">
        <v>2.5</v>
      </c>
      <c r="P1001" s="3"/>
      <c r="Q1001" s="3"/>
      <c r="R1001" s="3"/>
      <c r="S1001" s="3"/>
      <c r="T1001" s="3"/>
      <c r="U1001" s="3"/>
      <c r="V1001" s="3"/>
      <c r="W1001" s="3"/>
      <c r="X1001" s="3" t="s">
        <v>1489</v>
      </c>
      <c r="Y1001" s="3"/>
    </row>
    <row r="1002" spans="1:25" ht="15" customHeight="1" x14ac:dyDescent="0.3">
      <c r="A1002" s="27">
        <v>45916</v>
      </c>
      <c r="B1002" s="25">
        <v>29</v>
      </c>
      <c r="C1002" s="3" t="s">
        <v>38</v>
      </c>
      <c r="D1002" s="3" t="s">
        <v>355</v>
      </c>
      <c r="E1002" s="3">
        <v>2</v>
      </c>
      <c r="F1002" s="3">
        <v>405</v>
      </c>
      <c r="G1002" s="6" t="s">
        <v>29</v>
      </c>
      <c r="H1002" s="3" t="s">
        <v>1474</v>
      </c>
      <c r="I1002" s="6" t="s">
        <v>793</v>
      </c>
      <c r="J1002" s="3">
        <v>2</v>
      </c>
      <c r="K1002" s="3">
        <v>2</v>
      </c>
      <c r="L1002" s="3">
        <v>8.1</v>
      </c>
      <c r="M1002" s="3"/>
      <c r="N1002" s="3"/>
      <c r="O1002" s="3">
        <v>2.5</v>
      </c>
      <c r="P1002" s="3"/>
      <c r="Q1002" s="3"/>
      <c r="R1002" s="3"/>
      <c r="S1002" s="3"/>
      <c r="T1002" s="3"/>
      <c r="U1002" s="3"/>
      <c r="V1002" s="3"/>
      <c r="W1002" s="3"/>
      <c r="X1002" s="3" t="s">
        <v>1490</v>
      </c>
      <c r="Y1002" s="3"/>
    </row>
    <row r="1003" spans="1:25" ht="15" customHeight="1" x14ac:dyDescent="0.3">
      <c r="A1003" s="27">
        <v>45916</v>
      </c>
      <c r="B1003" s="25">
        <v>29</v>
      </c>
      <c r="C1003" s="3" t="s">
        <v>38</v>
      </c>
      <c r="D1003" s="3" t="s">
        <v>355</v>
      </c>
      <c r="E1003" s="3">
        <v>2</v>
      </c>
      <c r="F1003" s="3">
        <v>172</v>
      </c>
      <c r="G1003" s="6" t="s">
        <v>15</v>
      </c>
      <c r="H1003" s="3" t="s">
        <v>1475</v>
      </c>
      <c r="I1003" s="6" t="s">
        <v>793</v>
      </c>
      <c r="J1003" s="3">
        <v>4</v>
      </c>
      <c r="K1003" s="3">
        <v>4</v>
      </c>
      <c r="L1003" s="3">
        <v>18.09</v>
      </c>
      <c r="M1003" s="3">
        <v>2</v>
      </c>
      <c r="N1003" s="3">
        <v>11.5</v>
      </c>
      <c r="O1003" s="3">
        <v>9</v>
      </c>
      <c r="P1003" s="3" t="s">
        <v>1460</v>
      </c>
      <c r="Q1003" s="3">
        <v>170</v>
      </c>
      <c r="R1003" s="3"/>
      <c r="S1003" s="3"/>
      <c r="T1003" s="3"/>
      <c r="U1003" s="3"/>
      <c r="V1003" s="3"/>
      <c r="W1003" s="3"/>
      <c r="X1003" s="3" t="s">
        <v>79</v>
      </c>
      <c r="Y1003" s="3" t="s">
        <v>80</v>
      </c>
    </row>
    <row r="1004" spans="1:25" ht="15" customHeight="1" x14ac:dyDescent="0.3">
      <c r="A1004" s="27">
        <v>45916</v>
      </c>
      <c r="B1004" s="25">
        <v>29</v>
      </c>
      <c r="C1004" s="3" t="s">
        <v>38</v>
      </c>
      <c r="D1004" s="3" t="s">
        <v>355</v>
      </c>
      <c r="E1004" s="3">
        <v>2</v>
      </c>
      <c r="F1004" s="3">
        <v>173</v>
      </c>
      <c r="G1004" s="6" t="s">
        <v>883</v>
      </c>
      <c r="H1004" s="3" t="s">
        <v>1366</v>
      </c>
      <c r="I1004" s="6" t="s">
        <v>793</v>
      </c>
      <c r="J1004" s="3">
        <v>5</v>
      </c>
      <c r="K1004" s="3">
        <v>5</v>
      </c>
      <c r="L1004" s="3">
        <v>15.85</v>
      </c>
      <c r="M1004" s="3">
        <v>0.75</v>
      </c>
      <c r="N1004" s="3">
        <v>10.5</v>
      </c>
      <c r="O1004" s="3">
        <v>7</v>
      </c>
      <c r="P1004" s="3" t="s">
        <v>1417</v>
      </c>
      <c r="Q1004" s="3">
        <v>170</v>
      </c>
      <c r="R1004" s="3"/>
      <c r="S1004" s="3"/>
      <c r="T1004" s="3"/>
      <c r="U1004" s="3"/>
      <c r="V1004" s="3"/>
      <c r="W1004" s="3"/>
      <c r="X1004" s="3" t="s">
        <v>288</v>
      </c>
      <c r="Y1004" s="3" t="s">
        <v>87</v>
      </c>
    </row>
    <row r="1005" spans="1:25" ht="15" customHeight="1" x14ac:dyDescent="0.3">
      <c r="A1005" s="27">
        <v>45916</v>
      </c>
      <c r="B1005" s="25">
        <v>29</v>
      </c>
      <c r="C1005" s="3" t="s">
        <v>38</v>
      </c>
      <c r="D1005" s="3" t="s">
        <v>355</v>
      </c>
      <c r="E1005" s="3">
        <v>2</v>
      </c>
      <c r="F1005" s="3">
        <v>174</v>
      </c>
      <c r="G1005" s="6" t="s">
        <v>227</v>
      </c>
      <c r="H1005" s="3" t="s">
        <v>1458</v>
      </c>
      <c r="I1005" s="6" t="s">
        <v>793</v>
      </c>
      <c r="J1005" s="3">
        <v>3</v>
      </c>
      <c r="K1005" s="3">
        <v>3</v>
      </c>
      <c r="L1005" s="3">
        <v>18.91</v>
      </c>
      <c r="M1005" s="3">
        <v>4</v>
      </c>
      <c r="N1005" s="3">
        <v>10</v>
      </c>
      <c r="O1005" s="3">
        <v>5</v>
      </c>
      <c r="P1005" s="3" t="s">
        <v>1461</v>
      </c>
      <c r="Q1005" s="3">
        <v>170</v>
      </c>
      <c r="R1005" s="3"/>
      <c r="S1005" s="3"/>
      <c r="T1005" s="3"/>
      <c r="U1005" s="3"/>
      <c r="V1005" s="3"/>
      <c r="W1005" s="3"/>
      <c r="X1005" s="3" t="s">
        <v>1347</v>
      </c>
      <c r="Y1005" s="3" t="s">
        <v>84</v>
      </c>
    </row>
    <row r="1006" spans="1:25" ht="15" customHeight="1" x14ac:dyDescent="0.3">
      <c r="A1006" s="27">
        <v>45916</v>
      </c>
      <c r="B1006" s="25">
        <v>29</v>
      </c>
      <c r="C1006" s="3" t="s">
        <v>38</v>
      </c>
      <c r="D1006" s="3" t="s">
        <v>355</v>
      </c>
      <c r="E1006" s="3">
        <v>2</v>
      </c>
      <c r="F1006" s="3">
        <v>175</v>
      </c>
      <c r="G1006" s="6" t="s">
        <v>1476</v>
      </c>
      <c r="H1006" s="3" t="s">
        <v>1477</v>
      </c>
      <c r="I1006" s="6" t="s">
        <v>793</v>
      </c>
      <c r="J1006" s="3">
        <v>5</v>
      </c>
      <c r="K1006" s="3">
        <v>5</v>
      </c>
      <c r="L1006" s="3">
        <v>14.73</v>
      </c>
      <c r="M1006" s="3">
        <v>1</v>
      </c>
      <c r="N1006" s="3">
        <v>7.6</v>
      </c>
      <c r="O1006" s="3">
        <v>5</v>
      </c>
      <c r="P1006" s="3" t="s">
        <v>1485</v>
      </c>
      <c r="Q1006" s="3">
        <v>165</v>
      </c>
      <c r="R1006" s="3"/>
      <c r="S1006" s="3"/>
      <c r="T1006" s="3"/>
      <c r="U1006" s="3"/>
      <c r="V1006" s="3"/>
      <c r="W1006" s="3"/>
      <c r="X1006" s="3" t="s">
        <v>252</v>
      </c>
      <c r="Y1006" s="3" t="s">
        <v>84</v>
      </c>
    </row>
    <row r="1007" spans="1:25" ht="15" customHeight="1" x14ac:dyDescent="0.3">
      <c r="A1007" s="27">
        <v>45916</v>
      </c>
      <c r="B1007" s="25">
        <v>29</v>
      </c>
      <c r="C1007" s="3" t="s">
        <v>38</v>
      </c>
      <c r="D1007" s="3" t="s">
        <v>355</v>
      </c>
      <c r="E1007" s="3">
        <v>2</v>
      </c>
      <c r="F1007" s="3">
        <v>131</v>
      </c>
      <c r="G1007" s="6" t="s">
        <v>1300</v>
      </c>
      <c r="H1007" s="3" t="s">
        <v>1478</v>
      </c>
      <c r="I1007" s="6" t="s">
        <v>793</v>
      </c>
      <c r="J1007" s="3">
        <v>3</v>
      </c>
      <c r="K1007" s="3">
        <v>3</v>
      </c>
      <c r="L1007" s="3">
        <v>18.329999999999998</v>
      </c>
      <c r="M1007" s="3">
        <v>4.8</v>
      </c>
      <c r="N1007" s="3">
        <v>7.25</v>
      </c>
      <c r="O1007" s="3">
        <v>5</v>
      </c>
      <c r="P1007" s="3"/>
      <c r="Q1007" s="3">
        <v>175</v>
      </c>
      <c r="R1007" s="3"/>
      <c r="S1007" s="3"/>
      <c r="T1007" s="3"/>
      <c r="U1007" s="3"/>
      <c r="V1007" s="3"/>
      <c r="W1007" s="3"/>
      <c r="X1007" s="3" t="s">
        <v>1491</v>
      </c>
      <c r="Y1007" s="3" t="s">
        <v>1496</v>
      </c>
    </row>
    <row r="1008" spans="1:25" ht="15" customHeight="1" x14ac:dyDescent="0.3">
      <c r="A1008" s="27">
        <v>45916</v>
      </c>
      <c r="B1008" s="25">
        <v>29</v>
      </c>
      <c r="C1008" s="3" t="s">
        <v>38</v>
      </c>
      <c r="D1008" s="3" t="s">
        <v>355</v>
      </c>
      <c r="E1008" s="3">
        <v>2</v>
      </c>
      <c r="F1008" s="3">
        <v>132</v>
      </c>
      <c r="G1008" s="6" t="s">
        <v>781</v>
      </c>
      <c r="H1008" s="3" t="s">
        <v>1479</v>
      </c>
      <c r="I1008" s="6" t="s">
        <v>793</v>
      </c>
      <c r="J1008" s="3">
        <v>3</v>
      </c>
      <c r="K1008" s="3">
        <v>3</v>
      </c>
      <c r="L1008" s="3">
        <v>22.14</v>
      </c>
      <c r="M1008" s="3">
        <v>5.2</v>
      </c>
      <c r="N1008" s="3">
        <v>11.6</v>
      </c>
      <c r="O1008" s="3">
        <v>9.5</v>
      </c>
      <c r="P1008" s="3"/>
      <c r="Q1008" s="3">
        <v>175</v>
      </c>
      <c r="R1008" s="3"/>
      <c r="S1008" s="3"/>
      <c r="T1008" s="3"/>
      <c r="U1008" s="3"/>
      <c r="V1008" s="3"/>
      <c r="W1008" s="3"/>
      <c r="X1008" s="3" t="s">
        <v>1492</v>
      </c>
      <c r="Y1008" s="3" t="s">
        <v>1497</v>
      </c>
    </row>
    <row r="1009" spans="1:25" ht="15" customHeight="1" x14ac:dyDescent="0.3">
      <c r="A1009" s="27">
        <v>45916</v>
      </c>
      <c r="B1009" s="25">
        <v>29</v>
      </c>
      <c r="C1009" s="3" t="s">
        <v>38</v>
      </c>
      <c r="D1009" s="3" t="s">
        <v>355</v>
      </c>
      <c r="E1009" s="3">
        <v>2</v>
      </c>
      <c r="F1009" s="3">
        <v>134</v>
      </c>
      <c r="G1009" s="6" t="s">
        <v>1480</v>
      </c>
      <c r="H1009" s="3" t="s">
        <v>1481</v>
      </c>
      <c r="I1009" s="6" t="s">
        <v>793</v>
      </c>
      <c r="J1009" s="3">
        <v>3</v>
      </c>
      <c r="K1009" s="3">
        <v>3</v>
      </c>
      <c r="L1009" s="3">
        <v>15.56</v>
      </c>
      <c r="M1009" s="3">
        <v>3.3</v>
      </c>
      <c r="N1009" s="3">
        <v>6.2</v>
      </c>
      <c r="O1009" s="3">
        <v>5</v>
      </c>
      <c r="P1009" s="3"/>
      <c r="Q1009" s="3">
        <v>150</v>
      </c>
      <c r="R1009" s="3"/>
      <c r="S1009" s="3"/>
      <c r="T1009" s="3"/>
      <c r="U1009" s="3"/>
      <c r="V1009" s="3"/>
      <c r="W1009" s="3"/>
      <c r="X1009" s="3" t="s">
        <v>1494</v>
      </c>
      <c r="Y1009" s="3" t="s">
        <v>1449</v>
      </c>
    </row>
    <row r="1010" spans="1:25" ht="15" customHeight="1" x14ac:dyDescent="0.3">
      <c r="A1010" s="27">
        <v>45916</v>
      </c>
      <c r="B1010" s="25">
        <v>29</v>
      </c>
      <c r="C1010" s="3" t="s">
        <v>38</v>
      </c>
      <c r="D1010" s="3" t="s">
        <v>355</v>
      </c>
      <c r="E1010" s="3">
        <v>2</v>
      </c>
      <c r="F1010" s="3">
        <v>138</v>
      </c>
      <c r="G1010" s="6" t="s">
        <v>1482</v>
      </c>
      <c r="H1010" s="3" t="s">
        <v>1483</v>
      </c>
      <c r="I1010" s="6" t="s">
        <v>793</v>
      </c>
      <c r="J1010" s="3">
        <v>3</v>
      </c>
      <c r="K1010" s="3">
        <v>3</v>
      </c>
      <c r="L1010" s="3">
        <v>7.76</v>
      </c>
      <c r="M1010" s="3">
        <v>3</v>
      </c>
      <c r="N1010" s="3">
        <v>6</v>
      </c>
      <c r="O1010" s="3">
        <v>4</v>
      </c>
      <c r="P1010" s="3"/>
      <c r="Q1010" s="3">
        <v>165</v>
      </c>
      <c r="R1010" s="3"/>
      <c r="S1010" s="3"/>
      <c r="T1010" s="3"/>
      <c r="U1010" s="3"/>
      <c r="V1010" s="3"/>
      <c r="W1010" s="3"/>
      <c r="X1010" s="3" t="s">
        <v>84</v>
      </c>
      <c r="Y1010" s="3" t="s">
        <v>396</v>
      </c>
    </row>
    <row r="1011" spans="1:25" ht="15" customHeight="1" x14ac:dyDescent="0.3">
      <c r="A1011" s="27">
        <v>45916</v>
      </c>
      <c r="B1011" s="25">
        <v>29</v>
      </c>
      <c r="C1011" s="3" t="s">
        <v>38</v>
      </c>
      <c r="D1011" s="3" t="s">
        <v>355</v>
      </c>
      <c r="E1011" s="3">
        <v>2</v>
      </c>
      <c r="F1011" s="3">
        <v>209</v>
      </c>
      <c r="G1011" s="6" t="s">
        <v>996</v>
      </c>
      <c r="H1011" s="3" t="s">
        <v>1484</v>
      </c>
      <c r="I1011" s="6" t="s">
        <v>111</v>
      </c>
      <c r="J1011" s="3">
        <v>4</v>
      </c>
      <c r="K1011" s="23">
        <v>3</v>
      </c>
      <c r="L1011" s="3">
        <v>25.6</v>
      </c>
      <c r="M1011" s="3">
        <v>12</v>
      </c>
      <c r="N1011" s="3">
        <v>3.8</v>
      </c>
      <c r="O1011" s="3"/>
      <c r="P1011" s="3"/>
      <c r="Q1011" s="3"/>
      <c r="R1011" s="3" t="s">
        <v>1486</v>
      </c>
      <c r="S1011" s="3" t="s">
        <v>1487</v>
      </c>
      <c r="T1011" s="3">
        <v>2</v>
      </c>
      <c r="U1011" s="3">
        <v>10</v>
      </c>
      <c r="V1011" s="3">
        <v>15</v>
      </c>
      <c r="W1011" s="3">
        <v>168</v>
      </c>
      <c r="X1011" s="3" t="s">
        <v>1493</v>
      </c>
      <c r="Y1011" s="3" t="s">
        <v>1498</v>
      </c>
    </row>
    <row r="1012" spans="1:25" ht="15" customHeight="1" x14ac:dyDescent="0.3">
      <c r="A1012" s="5">
        <v>45917</v>
      </c>
      <c r="B1012" s="25">
        <v>29</v>
      </c>
      <c r="C1012" s="3" t="s">
        <v>38</v>
      </c>
      <c r="D1012" s="3" t="s">
        <v>355</v>
      </c>
      <c r="E1012" s="3">
        <v>2</v>
      </c>
      <c r="F1012" s="3">
        <v>102</v>
      </c>
      <c r="G1012" s="6" t="s">
        <v>223</v>
      </c>
      <c r="H1012" s="3" t="s">
        <v>1499</v>
      </c>
      <c r="I1012" s="6" t="s">
        <v>793</v>
      </c>
      <c r="J1012" s="3">
        <v>6</v>
      </c>
      <c r="K1012" s="3">
        <v>6</v>
      </c>
      <c r="L1012" s="3">
        <v>14.24</v>
      </c>
      <c r="M1012" s="3">
        <v>3.5</v>
      </c>
      <c r="N1012" s="3">
        <v>6.5</v>
      </c>
      <c r="O1012" s="3">
        <v>4.2</v>
      </c>
      <c r="P1012" s="3">
        <v>47</v>
      </c>
      <c r="Q1012" s="3">
        <v>170</v>
      </c>
      <c r="R1012" s="3"/>
      <c r="S1012" s="3"/>
      <c r="T1012" s="3"/>
      <c r="U1012" s="3"/>
      <c r="V1012" s="3"/>
      <c r="W1012" s="3"/>
      <c r="X1012" s="3" t="s">
        <v>288</v>
      </c>
      <c r="Y1012" s="3" t="s">
        <v>138</v>
      </c>
    </row>
    <row r="1013" spans="1:25" ht="15" customHeight="1" x14ac:dyDescent="0.3">
      <c r="A1013" s="5">
        <v>45917</v>
      </c>
      <c r="B1013" s="25">
        <v>29</v>
      </c>
      <c r="C1013" s="3" t="s">
        <v>38</v>
      </c>
      <c r="D1013" s="3" t="s">
        <v>355</v>
      </c>
      <c r="E1013" s="3">
        <v>2</v>
      </c>
      <c r="F1013" s="3">
        <v>162</v>
      </c>
      <c r="G1013" s="6" t="s">
        <v>1454</v>
      </c>
      <c r="H1013" s="3" t="s">
        <v>1455</v>
      </c>
      <c r="I1013" s="6" t="s">
        <v>1024</v>
      </c>
      <c r="J1013" s="3">
        <v>2</v>
      </c>
      <c r="K1013" s="3">
        <v>2</v>
      </c>
      <c r="L1013" s="3">
        <v>24</v>
      </c>
      <c r="M1013" s="3">
        <v>6.5</v>
      </c>
      <c r="N1013" s="3">
        <v>10</v>
      </c>
      <c r="O1013" s="3">
        <v>3.5</v>
      </c>
      <c r="P1013" s="3">
        <v>30</v>
      </c>
      <c r="Q1013" s="3">
        <v>170</v>
      </c>
      <c r="R1013" s="3"/>
      <c r="S1013" s="3"/>
      <c r="T1013" s="3"/>
      <c r="U1013" s="3"/>
      <c r="V1013" s="3"/>
      <c r="W1013" s="3"/>
      <c r="X1013" s="3" t="s">
        <v>288</v>
      </c>
      <c r="Y1013" s="3" t="s">
        <v>83</v>
      </c>
    </row>
    <row r="1014" spans="1:25" ht="15" customHeight="1" x14ac:dyDescent="0.3">
      <c r="A1014" s="5">
        <v>45917</v>
      </c>
      <c r="B1014" s="25">
        <v>29</v>
      </c>
      <c r="C1014" s="3" t="s">
        <v>38</v>
      </c>
      <c r="D1014" s="3" t="s">
        <v>355</v>
      </c>
      <c r="E1014" s="3">
        <v>2</v>
      </c>
      <c r="F1014" s="3">
        <v>163</v>
      </c>
      <c r="G1014" s="6" t="s">
        <v>1500</v>
      </c>
      <c r="H1014" s="3" t="s">
        <v>1501</v>
      </c>
      <c r="I1014" s="6" t="s">
        <v>1024</v>
      </c>
      <c r="J1014" s="3">
        <v>2</v>
      </c>
      <c r="K1014" s="3">
        <v>2</v>
      </c>
      <c r="L1014" s="3">
        <v>19.27</v>
      </c>
      <c r="M1014" s="3">
        <v>4</v>
      </c>
      <c r="N1014" s="3">
        <v>7</v>
      </c>
      <c r="O1014" s="3">
        <v>2.6</v>
      </c>
      <c r="P1014" s="3"/>
      <c r="Q1014" s="3">
        <v>177</v>
      </c>
      <c r="R1014" s="3"/>
      <c r="S1014" s="3"/>
      <c r="T1014" s="3"/>
      <c r="U1014" s="3"/>
      <c r="V1014" s="3"/>
      <c r="W1014" s="3"/>
      <c r="X1014" s="3" t="s">
        <v>138</v>
      </c>
      <c r="Y1014" s="3" t="s">
        <v>1018</v>
      </c>
    </row>
    <row r="1015" spans="1:25" ht="15" customHeight="1" x14ac:dyDescent="0.3">
      <c r="A1015" s="5">
        <v>45917</v>
      </c>
      <c r="B1015" s="25">
        <v>29</v>
      </c>
      <c r="C1015" s="3" t="s">
        <v>38</v>
      </c>
      <c r="D1015" s="3" t="s">
        <v>355</v>
      </c>
      <c r="E1015" s="3">
        <v>2</v>
      </c>
      <c r="F1015" s="3">
        <v>164</v>
      </c>
      <c r="G1015" s="6" t="s">
        <v>1502</v>
      </c>
      <c r="H1015" s="3" t="s">
        <v>1503</v>
      </c>
      <c r="I1015" s="6" t="s">
        <v>1525</v>
      </c>
      <c r="J1015" s="3">
        <v>2</v>
      </c>
      <c r="K1015" s="3">
        <v>2</v>
      </c>
      <c r="L1015" s="3">
        <v>23.09</v>
      </c>
      <c r="M1015" s="3">
        <v>7</v>
      </c>
      <c r="N1015" s="3">
        <v>11</v>
      </c>
      <c r="O1015" s="3">
        <v>4.0999999999999996</v>
      </c>
      <c r="P1015" s="3"/>
      <c r="Q1015" s="3">
        <v>170</v>
      </c>
      <c r="R1015" s="3"/>
      <c r="S1015" s="3"/>
      <c r="T1015" s="3"/>
      <c r="U1015" s="3"/>
      <c r="V1015" s="3"/>
      <c r="W1015" s="3"/>
      <c r="X1015" s="3" t="s">
        <v>138</v>
      </c>
      <c r="Y1015" s="3" t="s">
        <v>1018</v>
      </c>
    </row>
    <row r="1016" spans="1:25" ht="15" customHeight="1" x14ac:dyDescent="0.3">
      <c r="A1016" s="5">
        <v>45917</v>
      </c>
      <c r="B1016" s="25">
        <v>29</v>
      </c>
      <c r="C1016" s="3" t="s">
        <v>38</v>
      </c>
      <c r="D1016" s="3" t="s">
        <v>355</v>
      </c>
      <c r="E1016" s="3">
        <v>2</v>
      </c>
      <c r="F1016" s="3">
        <v>401</v>
      </c>
      <c r="G1016" s="6" t="s">
        <v>1504</v>
      </c>
      <c r="H1016" s="3" t="s">
        <v>1505</v>
      </c>
      <c r="I1016" s="6" t="s">
        <v>1024</v>
      </c>
      <c r="J1016" s="3">
        <v>1</v>
      </c>
      <c r="K1016" s="3">
        <v>1</v>
      </c>
      <c r="L1016" s="3">
        <v>11.34</v>
      </c>
      <c r="M1016" s="3"/>
      <c r="N1016" s="3"/>
      <c r="O1016" s="3">
        <v>4</v>
      </c>
      <c r="P1016" s="3"/>
      <c r="Q1016" s="3"/>
      <c r="R1016" s="3"/>
      <c r="S1016" s="3"/>
      <c r="T1016" s="3"/>
      <c r="U1016" s="3"/>
      <c r="V1016" s="3"/>
      <c r="W1016" s="3"/>
      <c r="X1016" s="3" t="s">
        <v>1526</v>
      </c>
      <c r="Y1016" s="3"/>
    </row>
    <row r="1017" spans="1:25" ht="15" customHeight="1" x14ac:dyDescent="0.3">
      <c r="A1017" s="5">
        <v>45917</v>
      </c>
      <c r="B1017" s="25">
        <v>29</v>
      </c>
      <c r="C1017" s="3" t="s">
        <v>38</v>
      </c>
      <c r="D1017" s="3" t="s">
        <v>355</v>
      </c>
      <c r="E1017" s="3">
        <v>2</v>
      </c>
      <c r="F1017" s="3">
        <v>404</v>
      </c>
      <c r="G1017" s="6" t="s">
        <v>407</v>
      </c>
      <c r="H1017" s="3" t="s">
        <v>1473</v>
      </c>
      <c r="I1017" s="6" t="s">
        <v>1024</v>
      </c>
      <c r="J1017" s="3">
        <v>2</v>
      </c>
      <c r="K1017" s="3">
        <v>2</v>
      </c>
      <c r="L1017" s="3">
        <v>7.4</v>
      </c>
      <c r="M1017" s="3"/>
      <c r="N1017" s="3"/>
      <c r="O1017" s="3">
        <v>2.5</v>
      </c>
      <c r="P1017" s="3"/>
      <c r="Q1017" s="3"/>
      <c r="R1017" s="3"/>
      <c r="S1017" s="3"/>
      <c r="T1017" s="3"/>
      <c r="U1017" s="3"/>
      <c r="V1017" s="3"/>
      <c r="W1017" s="3"/>
      <c r="X1017" s="3" t="s">
        <v>1527</v>
      </c>
      <c r="Y1017" s="3"/>
    </row>
    <row r="1018" spans="1:25" ht="15" customHeight="1" x14ac:dyDescent="0.3">
      <c r="A1018" s="5">
        <v>45917</v>
      </c>
      <c r="B1018" s="25">
        <v>29</v>
      </c>
      <c r="C1018" s="3" t="s">
        <v>38</v>
      </c>
      <c r="D1018" s="3" t="s">
        <v>355</v>
      </c>
      <c r="E1018" s="3">
        <v>2</v>
      </c>
      <c r="F1018" s="3">
        <v>405</v>
      </c>
      <c r="G1018" s="6" t="s">
        <v>14</v>
      </c>
      <c r="H1018" s="3" t="s">
        <v>1506</v>
      </c>
      <c r="I1018" s="6" t="s">
        <v>1024</v>
      </c>
      <c r="J1018" s="3">
        <v>2</v>
      </c>
      <c r="K1018" s="3">
        <v>2</v>
      </c>
      <c r="L1018" s="3">
        <v>8</v>
      </c>
      <c r="M1018" s="3"/>
      <c r="N1018" s="3"/>
      <c r="O1018" s="3">
        <v>2.5</v>
      </c>
      <c r="P1018" s="3"/>
      <c r="Q1018" s="3"/>
      <c r="R1018" s="3"/>
      <c r="S1018" s="3"/>
      <c r="T1018" s="3"/>
      <c r="U1018" s="3"/>
      <c r="V1018" s="3"/>
      <c r="W1018" s="3"/>
      <c r="X1018" s="3" t="s">
        <v>1490</v>
      </c>
      <c r="Y1018" s="3"/>
    </row>
    <row r="1019" spans="1:25" ht="15" customHeight="1" x14ac:dyDescent="0.3">
      <c r="A1019" s="5">
        <v>45917</v>
      </c>
      <c r="B1019" s="25">
        <v>29</v>
      </c>
      <c r="C1019" s="3" t="s">
        <v>38</v>
      </c>
      <c r="D1019" s="3" t="s">
        <v>355</v>
      </c>
      <c r="E1019" s="3">
        <v>2</v>
      </c>
      <c r="F1019" s="3">
        <v>171</v>
      </c>
      <c r="G1019" s="6" t="s">
        <v>558</v>
      </c>
      <c r="H1019" s="3" t="s">
        <v>1507</v>
      </c>
      <c r="I1019" s="6" t="s">
        <v>1024</v>
      </c>
      <c r="J1019" s="3">
        <v>3</v>
      </c>
      <c r="K1019" s="3">
        <v>3</v>
      </c>
      <c r="L1019" s="3">
        <v>14.95</v>
      </c>
      <c r="M1019" s="3">
        <v>4</v>
      </c>
      <c r="N1019" s="3">
        <v>6</v>
      </c>
      <c r="O1019" s="3">
        <v>3</v>
      </c>
      <c r="P1019" s="3"/>
      <c r="Q1019" s="3">
        <v>170</v>
      </c>
      <c r="R1019" s="3"/>
      <c r="S1019" s="3"/>
      <c r="T1019" s="3"/>
      <c r="U1019" s="3"/>
      <c r="V1019" s="3"/>
      <c r="W1019" s="3"/>
      <c r="X1019" s="3" t="s">
        <v>252</v>
      </c>
      <c r="Y1019" s="3" t="s">
        <v>1536</v>
      </c>
    </row>
    <row r="1020" spans="1:25" ht="15" customHeight="1" x14ac:dyDescent="0.3">
      <c r="A1020" s="5">
        <v>45917</v>
      </c>
      <c r="B1020" s="25">
        <v>29</v>
      </c>
      <c r="C1020" s="3" t="s">
        <v>38</v>
      </c>
      <c r="D1020" s="3" t="s">
        <v>355</v>
      </c>
      <c r="E1020" s="3">
        <v>2</v>
      </c>
      <c r="F1020" s="3">
        <v>172</v>
      </c>
      <c r="G1020" s="6" t="s">
        <v>15</v>
      </c>
      <c r="H1020" s="3" t="s">
        <v>1475</v>
      </c>
      <c r="I1020" s="6" t="s">
        <v>1024</v>
      </c>
      <c r="J1020" s="3">
        <v>4</v>
      </c>
      <c r="K1020" s="3">
        <v>4</v>
      </c>
      <c r="L1020" s="3">
        <v>14.13</v>
      </c>
      <c r="M1020" s="3">
        <v>0.55000000000000004</v>
      </c>
      <c r="N1020" s="3">
        <v>8.5</v>
      </c>
      <c r="O1020" s="3">
        <v>7</v>
      </c>
      <c r="P1020" s="3" t="s">
        <v>1515</v>
      </c>
      <c r="Q1020" s="3">
        <v>170</v>
      </c>
      <c r="R1020" s="3"/>
      <c r="S1020" s="3"/>
      <c r="T1020" s="3"/>
      <c r="U1020" s="3"/>
      <c r="V1020" s="3"/>
      <c r="W1020" s="3"/>
      <c r="X1020" s="3" t="s">
        <v>1105</v>
      </c>
      <c r="Y1020" s="3" t="s">
        <v>80</v>
      </c>
    </row>
    <row r="1021" spans="1:25" ht="15" customHeight="1" x14ac:dyDescent="0.3">
      <c r="A1021" s="5">
        <v>45917</v>
      </c>
      <c r="B1021" s="25">
        <v>29</v>
      </c>
      <c r="C1021" s="3" t="s">
        <v>38</v>
      </c>
      <c r="D1021" s="3" t="s">
        <v>355</v>
      </c>
      <c r="E1021" s="3">
        <v>2</v>
      </c>
      <c r="F1021" s="3">
        <v>173</v>
      </c>
      <c r="G1021" s="6" t="s">
        <v>883</v>
      </c>
      <c r="H1021" s="3" t="s">
        <v>1366</v>
      </c>
      <c r="I1021" s="6" t="s">
        <v>1024</v>
      </c>
      <c r="J1021" s="3">
        <v>5</v>
      </c>
      <c r="K1021" s="3">
        <v>5</v>
      </c>
      <c r="L1021" s="3">
        <v>15.87</v>
      </c>
      <c r="M1021" s="3">
        <v>0.75</v>
      </c>
      <c r="N1021" s="3">
        <v>10.5</v>
      </c>
      <c r="O1021" s="3">
        <v>7</v>
      </c>
      <c r="P1021" s="3" t="s">
        <v>1516</v>
      </c>
      <c r="Q1021" s="3">
        <v>170</v>
      </c>
      <c r="R1021" s="3"/>
      <c r="S1021" s="3"/>
      <c r="T1021" s="3"/>
      <c r="U1021" s="3"/>
      <c r="V1021" s="3"/>
      <c r="W1021" s="3"/>
      <c r="X1021" s="3" t="s">
        <v>288</v>
      </c>
      <c r="Y1021" s="3" t="s">
        <v>87</v>
      </c>
    </row>
    <row r="1022" spans="1:25" ht="15" customHeight="1" x14ac:dyDescent="0.3">
      <c r="A1022" s="5">
        <v>45917</v>
      </c>
      <c r="B1022" s="25">
        <v>29</v>
      </c>
      <c r="C1022" s="3" t="s">
        <v>38</v>
      </c>
      <c r="D1022" s="3" t="s">
        <v>355</v>
      </c>
      <c r="E1022" s="3">
        <v>2</v>
      </c>
      <c r="F1022" s="3">
        <v>175</v>
      </c>
      <c r="G1022" s="6" t="s">
        <v>1476</v>
      </c>
      <c r="H1022" s="3" t="s">
        <v>1477</v>
      </c>
      <c r="I1022" s="6" t="s">
        <v>1024</v>
      </c>
      <c r="J1022" s="3">
        <v>5</v>
      </c>
      <c r="K1022" s="3">
        <v>5</v>
      </c>
      <c r="L1022" s="3">
        <v>14.73</v>
      </c>
      <c r="M1022" s="3">
        <v>1</v>
      </c>
      <c r="N1022" s="3">
        <v>7.6</v>
      </c>
      <c r="O1022" s="3">
        <v>5</v>
      </c>
      <c r="P1022" s="3" t="s">
        <v>1485</v>
      </c>
      <c r="Q1022" s="3">
        <v>165</v>
      </c>
      <c r="R1022" s="3"/>
      <c r="S1022" s="3"/>
      <c r="T1022" s="3"/>
      <c r="U1022" s="3"/>
      <c r="V1022" s="3"/>
      <c r="W1022" s="3"/>
      <c r="X1022" s="3" t="s">
        <v>252</v>
      </c>
      <c r="Y1022" s="3" t="s">
        <v>84</v>
      </c>
    </row>
    <row r="1023" spans="1:25" ht="15" customHeight="1" x14ac:dyDescent="0.3">
      <c r="A1023" s="5">
        <v>45917</v>
      </c>
      <c r="B1023" s="25">
        <v>29</v>
      </c>
      <c r="C1023" s="3" t="s">
        <v>38</v>
      </c>
      <c r="D1023" s="3" t="s">
        <v>355</v>
      </c>
      <c r="E1023" s="3">
        <v>2</v>
      </c>
      <c r="F1023" s="3">
        <v>132</v>
      </c>
      <c r="G1023" s="6" t="s">
        <v>781</v>
      </c>
      <c r="H1023" s="3" t="s">
        <v>1479</v>
      </c>
      <c r="I1023" s="6" t="s">
        <v>1024</v>
      </c>
      <c r="J1023" s="3">
        <v>3</v>
      </c>
      <c r="K1023" s="3">
        <v>3</v>
      </c>
      <c r="L1023" s="3">
        <v>21.43</v>
      </c>
      <c r="M1023" s="3">
        <v>5.4</v>
      </c>
      <c r="N1023" s="3">
        <v>10.7</v>
      </c>
      <c r="O1023" s="3">
        <v>9.5</v>
      </c>
      <c r="P1023" s="3"/>
      <c r="Q1023" s="3">
        <v>181</v>
      </c>
      <c r="R1023" s="3"/>
      <c r="S1023" s="3"/>
      <c r="T1023" s="3"/>
      <c r="U1023" s="3"/>
      <c r="V1023" s="3"/>
      <c r="W1023" s="3"/>
      <c r="X1023" s="3" t="s">
        <v>1492</v>
      </c>
      <c r="Y1023" s="3" t="s">
        <v>399</v>
      </c>
    </row>
    <row r="1024" spans="1:25" ht="15" customHeight="1" x14ac:dyDescent="0.3">
      <c r="A1024" s="5">
        <v>45917</v>
      </c>
      <c r="B1024" s="25">
        <v>29</v>
      </c>
      <c r="C1024" s="3" t="s">
        <v>38</v>
      </c>
      <c r="D1024" s="3" t="s">
        <v>355</v>
      </c>
      <c r="E1024" s="3">
        <v>2</v>
      </c>
      <c r="F1024" s="3">
        <v>134</v>
      </c>
      <c r="G1024" s="6" t="s">
        <v>1480</v>
      </c>
      <c r="H1024" s="3" t="s">
        <v>1481</v>
      </c>
      <c r="I1024" s="6" t="s">
        <v>1024</v>
      </c>
      <c r="J1024" s="3">
        <v>3</v>
      </c>
      <c r="K1024" s="3">
        <v>3</v>
      </c>
      <c r="L1024" s="3">
        <v>15.27</v>
      </c>
      <c r="M1024" s="3">
        <v>3.2</v>
      </c>
      <c r="N1024" s="3">
        <v>5.5</v>
      </c>
      <c r="O1024" s="3">
        <v>5</v>
      </c>
      <c r="P1024" s="3"/>
      <c r="Q1024" s="3">
        <v>150</v>
      </c>
      <c r="R1024" s="3"/>
      <c r="S1024" s="3"/>
      <c r="T1024" s="3"/>
      <c r="U1024" s="3"/>
      <c r="V1024" s="3"/>
      <c r="W1024" s="3"/>
      <c r="X1024" s="3" t="s">
        <v>1494</v>
      </c>
      <c r="Y1024" s="3" t="s">
        <v>399</v>
      </c>
    </row>
    <row r="1025" spans="1:25" ht="15" customHeight="1" x14ac:dyDescent="0.3">
      <c r="A1025" s="5">
        <v>45917</v>
      </c>
      <c r="B1025" s="25">
        <v>29</v>
      </c>
      <c r="C1025" s="3" t="s">
        <v>38</v>
      </c>
      <c r="D1025" s="3" t="s">
        <v>355</v>
      </c>
      <c r="E1025" s="3">
        <v>2</v>
      </c>
      <c r="F1025" s="3">
        <v>135</v>
      </c>
      <c r="G1025" s="6" t="s">
        <v>21</v>
      </c>
      <c r="H1025" s="3" t="s">
        <v>1508</v>
      </c>
      <c r="I1025" s="6" t="s">
        <v>1024</v>
      </c>
      <c r="J1025" s="3">
        <v>2</v>
      </c>
      <c r="K1025" s="3">
        <v>2</v>
      </c>
      <c r="L1025" s="3">
        <v>19.87</v>
      </c>
      <c r="M1025" s="3">
        <v>3.8</v>
      </c>
      <c r="N1025" s="3">
        <v>10</v>
      </c>
      <c r="O1025" s="3">
        <v>5</v>
      </c>
      <c r="P1025" s="3"/>
      <c r="Q1025" s="3">
        <v>180</v>
      </c>
      <c r="R1025" s="3"/>
      <c r="S1025" s="3"/>
      <c r="T1025" s="3"/>
      <c r="U1025" s="3"/>
      <c r="V1025" s="3"/>
      <c r="W1025" s="3"/>
      <c r="X1025" s="3" t="s">
        <v>142</v>
      </c>
      <c r="Y1025" s="3" t="s">
        <v>1537</v>
      </c>
    </row>
    <row r="1026" spans="1:25" ht="15" customHeight="1" x14ac:dyDescent="0.3">
      <c r="A1026" s="5">
        <v>45917</v>
      </c>
      <c r="B1026" s="25">
        <v>29</v>
      </c>
      <c r="C1026" s="3" t="s">
        <v>38</v>
      </c>
      <c r="D1026" s="3" t="s">
        <v>355</v>
      </c>
      <c r="E1026" s="3">
        <v>2</v>
      </c>
      <c r="F1026" s="3">
        <v>138</v>
      </c>
      <c r="G1026" s="6" t="s">
        <v>1482</v>
      </c>
      <c r="H1026" s="3" t="s">
        <v>1483</v>
      </c>
      <c r="I1026" s="6" t="s">
        <v>1024</v>
      </c>
      <c r="J1026" s="3">
        <v>3</v>
      </c>
      <c r="K1026" s="3">
        <v>3</v>
      </c>
      <c r="L1026" s="3">
        <v>13.7</v>
      </c>
      <c r="M1026" s="3">
        <v>4</v>
      </c>
      <c r="N1026" s="3">
        <v>5</v>
      </c>
      <c r="O1026" s="3">
        <v>4</v>
      </c>
      <c r="P1026" s="3"/>
      <c r="Q1026" s="3">
        <v>167</v>
      </c>
      <c r="R1026" s="3"/>
      <c r="S1026" s="3"/>
      <c r="T1026" s="3"/>
      <c r="U1026" s="3"/>
      <c r="V1026" s="3"/>
      <c r="W1026" s="3"/>
      <c r="X1026" s="3" t="s">
        <v>84</v>
      </c>
      <c r="Y1026" s="3" t="s">
        <v>153</v>
      </c>
    </row>
    <row r="1027" spans="1:25" ht="15" customHeight="1" x14ac:dyDescent="0.3">
      <c r="A1027" s="5">
        <v>45917</v>
      </c>
      <c r="B1027" s="25">
        <v>29</v>
      </c>
      <c r="C1027" s="3" t="s">
        <v>38</v>
      </c>
      <c r="D1027" s="3" t="s">
        <v>355</v>
      </c>
      <c r="E1027" s="3">
        <v>2</v>
      </c>
      <c r="F1027" s="3">
        <v>201</v>
      </c>
      <c r="G1027" s="6" t="s">
        <v>1509</v>
      </c>
      <c r="H1027" s="3" t="s">
        <v>1510</v>
      </c>
      <c r="I1027" s="6" t="s">
        <v>110</v>
      </c>
      <c r="J1027" s="3">
        <v>24</v>
      </c>
      <c r="K1027" s="23">
        <v>18</v>
      </c>
      <c r="L1027" s="3">
        <v>30.2</v>
      </c>
      <c r="M1027" s="3">
        <v>19</v>
      </c>
      <c r="N1027" s="3">
        <v>3</v>
      </c>
      <c r="O1027" s="3"/>
      <c r="P1027" s="3"/>
      <c r="Q1027" s="3"/>
      <c r="R1027" s="3" t="s">
        <v>1049</v>
      </c>
      <c r="S1027" s="3" t="s">
        <v>244</v>
      </c>
      <c r="T1027" s="3">
        <v>0.5</v>
      </c>
      <c r="U1027" s="3">
        <v>15</v>
      </c>
      <c r="V1027" s="3">
        <v>25</v>
      </c>
      <c r="W1027" s="3">
        <v>120</v>
      </c>
      <c r="X1027" s="3" t="s">
        <v>1528</v>
      </c>
      <c r="Y1027" s="3"/>
    </row>
    <row r="1028" spans="1:25" ht="15" customHeight="1" x14ac:dyDescent="0.3">
      <c r="A1028" s="5">
        <v>45917</v>
      </c>
      <c r="B1028" s="25">
        <v>29</v>
      </c>
      <c r="C1028" s="3" t="s">
        <v>38</v>
      </c>
      <c r="D1028" s="3" t="s">
        <v>355</v>
      </c>
      <c r="E1028" s="3">
        <v>2</v>
      </c>
      <c r="F1028" s="3">
        <v>204</v>
      </c>
      <c r="G1028" s="6" t="s">
        <v>1511</v>
      </c>
      <c r="H1028" s="3" t="s">
        <v>1303</v>
      </c>
      <c r="I1028" s="6" t="s">
        <v>111</v>
      </c>
      <c r="J1028" s="3">
        <v>4</v>
      </c>
      <c r="K1028" s="3">
        <v>4</v>
      </c>
      <c r="L1028" s="3">
        <v>31.6</v>
      </c>
      <c r="M1028" s="3">
        <v>20</v>
      </c>
      <c r="N1028" s="3">
        <v>2.8</v>
      </c>
      <c r="O1028" s="3"/>
      <c r="P1028" s="3"/>
      <c r="Q1028" s="3"/>
      <c r="R1028" s="3" t="s">
        <v>523</v>
      </c>
      <c r="S1028" s="3" t="s">
        <v>1521</v>
      </c>
      <c r="T1028" s="3">
        <v>1</v>
      </c>
      <c r="U1028" s="3">
        <v>25</v>
      </c>
      <c r="V1028" s="3">
        <v>30</v>
      </c>
      <c r="W1028" s="3">
        <v>100</v>
      </c>
      <c r="X1028" s="3" t="s">
        <v>1529</v>
      </c>
      <c r="Y1028" s="3"/>
    </row>
    <row r="1029" spans="1:25" ht="15" customHeight="1" x14ac:dyDescent="0.3">
      <c r="A1029" s="5">
        <v>45917</v>
      </c>
      <c r="B1029" s="25">
        <v>29</v>
      </c>
      <c r="C1029" s="3" t="s">
        <v>38</v>
      </c>
      <c r="D1029" s="3" t="s">
        <v>355</v>
      </c>
      <c r="E1029" s="3">
        <v>2</v>
      </c>
      <c r="F1029" s="3">
        <v>206</v>
      </c>
      <c r="G1029" s="6" t="s">
        <v>1512</v>
      </c>
      <c r="H1029" s="3" t="s">
        <v>1513</v>
      </c>
      <c r="I1029" s="6" t="s">
        <v>111</v>
      </c>
      <c r="J1029" s="3">
        <v>4</v>
      </c>
      <c r="K1029" s="3">
        <v>4</v>
      </c>
      <c r="L1029" s="3">
        <v>20</v>
      </c>
      <c r="M1029" s="3">
        <v>6</v>
      </c>
      <c r="N1029" s="3">
        <v>3</v>
      </c>
      <c r="O1029" s="3"/>
      <c r="P1029" s="3"/>
      <c r="Q1029" s="3"/>
      <c r="R1029" s="3" t="s">
        <v>1517</v>
      </c>
      <c r="S1029" s="3" t="s">
        <v>1522</v>
      </c>
      <c r="T1029" s="3">
        <v>0.6</v>
      </c>
      <c r="U1029" s="3">
        <v>20</v>
      </c>
      <c r="V1029" s="3">
        <v>25</v>
      </c>
      <c r="W1029" s="3">
        <v>125</v>
      </c>
      <c r="X1029" s="3" t="s">
        <v>1530</v>
      </c>
      <c r="Y1029" s="3" t="s">
        <v>1538</v>
      </c>
    </row>
    <row r="1030" spans="1:25" ht="15" customHeight="1" x14ac:dyDescent="0.3">
      <c r="A1030" s="5">
        <v>45917</v>
      </c>
      <c r="B1030" s="25">
        <v>29</v>
      </c>
      <c r="C1030" s="3" t="s">
        <v>38</v>
      </c>
      <c r="D1030" s="3" t="s">
        <v>355</v>
      </c>
      <c r="E1030" s="3">
        <v>2</v>
      </c>
      <c r="F1030" s="3">
        <v>208</v>
      </c>
      <c r="G1030" s="6" t="s">
        <v>1082</v>
      </c>
      <c r="H1030" s="3" t="s">
        <v>1303</v>
      </c>
      <c r="I1030" s="6" t="s">
        <v>111</v>
      </c>
      <c r="J1030" s="3">
        <v>16</v>
      </c>
      <c r="K1030" s="23">
        <v>11</v>
      </c>
      <c r="L1030" s="3">
        <v>39</v>
      </c>
      <c r="M1030" s="3">
        <v>25</v>
      </c>
      <c r="N1030" s="3">
        <v>3</v>
      </c>
      <c r="O1030" s="3"/>
      <c r="P1030" s="3"/>
      <c r="Q1030" s="3"/>
      <c r="R1030" s="3" t="s">
        <v>284</v>
      </c>
      <c r="S1030" s="3" t="s">
        <v>71</v>
      </c>
      <c r="T1030" s="3">
        <v>0.1</v>
      </c>
      <c r="U1030" s="3">
        <v>10</v>
      </c>
      <c r="V1030" s="3">
        <v>15</v>
      </c>
      <c r="W1030" s="3">
        <v>140</v>
      </c>
      <c r="X1030" s="3" t="s">
        <v>1531</v>
      </c>
      <c r="Y1030" s="3"/>
    </row>
    <row r="1031" spans="1:25" ht="15" customHeight="1" x14ac:dyDescent="0.3">
      <c r="A1031" s="5">
        <v>45917</v>
      </c>
      <c r="B1031" s="25">
        <v>29</v>
      </c>
      <c r="C1031" s="3" t="s">
        <v>38</v>
      </c>
      <c r="D1031" s="3" t="s">
        <v>355</v>
      </c>
      <c r="E1031" s="3">
        <v>2</v>
      </c>
      <c r="F1031" s="3">
        <v>209</v>
      </c>
      <c r="G1031" s="6" t="s">
        <v>996</v>
      </c>
      <c r="H1031" s="3" t="s">
        <v>1484</v>
      </c>
      <c r="I1031" s="6" t="s">
        <v>111</v>
      </c>
      <c r="J1031" s="3">
        <v>4</v>
      </c>
      <c r="K1031" s="23">
        <v>3</v>
      </c>
      <c r="L1031" s="3">
        <v>26.9</v>
      </c>
      <c r="M1031" s="3">
        <v>13</v>
      </c>
      <c r="N1031" s="3">
        <v>3.8</v>
      </c>
      <c r="O1031" s="3"/>
      <c r="P1031" s="3"/>
      <c r="Q1031" s="3"/>
      <c r="R1031" s="3" t="s">
        <v>1518</v>
      </c>
      <c r="S1031" s="3" t="s">
        <v>1523</v>
      </c>
      <c r="T1031" s="3">
        <v>2</v>
      </c>
      <c r="U1031" s="3">
        <v>10</v>
      </c>
      <c r="V1031" s="3">
        <v>15</v>
      </c>
      <c r="W1031" s="3">
        <v>168</v>
      </c>
      <c r="X1031" s="3" t="s">
        <v>1532</v>
      </c>
      <c r="Y1031" s="3" t="s">
        <v>1539</v>
      </c>
    </row>
    <row r="1032" spans="1:25" ht="15" customHeight="1" x14ac:dyDescent="0.3">
      <c r="A1032" s="5">
        <v>45917</v>
      </c>
      <c r="B1032" s="25">
        <v>29</v>
      </c>
      <c r="C1032" s="3" t="s">
        <v>38</v>
      </c>
      <c r="D1032" s="3" t="s">
        <v>355</v>
      </c>
      <c r="E1032" s="3">
        <v>2</v>
      </c>
      <c r="F1032" s="3">
        <v>210</v>
      </c>
      <c r="G1032" s="6" t="s">
        <v>967</v>
      </c>
      <c r="H1032" s="3" t="s">
        <v>1514</v>
      </c>
      <c r="I1032" s="6" t="s">
        <v>111</v>
      </c>
      <c r="J1032" s="3">
        <v>4</v>
      </c>
      <c r="K1032" s="3">
        <v>4</v>
      </c>
      <c r="L1032" s="3">
        <v>19.7</v>
      </c>
      <c r="M1032" s="3">
        <v>6</v>
      </c>
      <c r="N1032" s="3">
        <v>4</v>
      </c>
      <c r="O1032" s="3"/>
      <c r="P1032" s="3"/>
      <c r="Q1032" s="3"/>
      <c r="R1032" s="3" t="s">
        <v>1519</v>
      </c>
      <c r="S1032" s="3" t="s">
        <v>917</v>
      </c>
      <c r="T1032" s="3">
        <v>1</v>
      </c>
      <c r="U1032" s="3">
        <v>20</v>
      </c>
      <c r="V1032" s="3">
        <v>30</v>
      </c>
      <c r="W1032" s="3">
        <v>101</v>
      </c>
      <c r="X1032" s="3" t="s">
        <v>1533</v>
      </c>
      <c r="Y1032" s="3" t="s">
        <v>1540</v>
      </c>
    </row>
    <row r="1033" spans="1:25" ht="15" customHeight="1" x14ac:dyDescent="0.3">
      <c r="A1033" s="5">
        <v>45917</v>
      </c>
      <c r="B1033" s="25">
        <v>29</v>
      </c>
      <c r="C1033" s="3" t="s">
        <v>38</v>
      </c>
      <c r="D1033" s="3" t="s">
        <v>355</v>
      </c>
      <c r="E1033" s="3">
        <v>2</v>
      </c>
      <c r="F1033" s="3">
        <v>212</v>
      </c>
      <c r="G1033" s="6" t="s">
        <v>887</v>
      </c>
      <c r="H1033" s="3" t="s">
        <v>1303</v>
      </c>
      <c r="I1033" s="6" t="s">
        <v>111</v>
      </c>
      <c r="J1033" s="3">
        <v>12</v>
      </c>
      <c r="K1033" s="3">
        <v>12</v>
      </c>
      <c r="L1033" s="3">
        <v>33.86</v>
      </c>
      <c r="M1033" s="3">
        <v>18</v>
      </c>
      <c r="N1033" s="3">
        <v>3</v>
      </c>
      <c r="O1033" s="3"/>
      <c r="P1033" s="3"/>
      <c r="Q1033" s="3"/>
      <c r="R1033" s="3" t="s">
        <v>1520</v>
      </c>
      <c r="S1033" s="3" t="s">
        <v>1524</v>
      </c>
      <c r="T1033" s="3">
        <v>1</v>
      </c>
      <c r="U1033" s="3">
        <v>18</v>
      </c>
      <c r="V1033" s="3">
        <v>20</v>
      </c>
      <c r="W1033" s="3">
        <v>170</v>
      </c>
      <c r="X1033" s="3" t="s">
        <v>1535</v>
      </c>
      <c r="Y1033" s="3" t="s">
        <v>1541</v>
      </c>
    </row>
    <row r="1034" spans="1:25" ht="15" customHeight="1" x14ac:dyDescent="0.3">
      <c r="A1034" s="27">
        <v>45918</v>
      </c>
      <c r="B1034" s="25">
        <v>29</v>
      </c>
      <c r="C1034" s="3" t="s">
        <v>38</v>
      </c>
      <c r="D1034" s="3" t="s">
        <v>355</v>
      </c>
      <c r="E1034" s="3">
        <v>2</v>
      </c>
      <c r="F1034" s="3">
        <v>102</v>
      </c>
      <c r="G1034" s="6" t="s">
        <v>223</v>
      </c>
      <c r="H1034" s="3" t="s">
        <v>1499</v>
      </c>
      <c r="I1034" s="6" t="s">
        <v>793</v>
      </c>
      <c r="J1034" s="3">
        <v>6</v>
      </c>
      <c r="K1034" s="3">
        <v>6</v>
      </c>
      <c r="L1034" s="3">
        <v>13.7</v>
      </c>
      <c r="M1034" s="3">
        <v>3.5</v>
      </c>
      <c r="N1034" s="3">
        <v>6</v>
      </c>
      <c r="O1034" s="3">
        <v>4.2</v>
      </c>
      <c r="P1034" s="3">
        <v>50</v>
      </c>
      <c r="Q1034" s="3">
        <v>170</v>
      </c>
      <c r="R1034" s="3"/>
      <c r="S1034" s="3"/>
      <c r="T1034" s="3"/>
      <c r="U1034" s="3"/>
      <c r="V1034" s="3"/>
      <c r="W1034" s="3"/>
      <c r="X1034" s="3" t="s">
        <v>79</v>
      </c>
      <c r="Y1034" s="3" t="s">
        <v>84</v>
      </c>
    </row>
    <row r="1035" spans="1:25" ht="15" customHeight="1" x14ac:dyDescent="0.3">
      <c r="A1035" s="27">
        <v>45918</v>
      </c>
      <c r="B1035" s="25">
        <v>29</v>
      </c>
      <c r="C1035" s="3" t="s">
        <v>38</v>
      </c>
      <c r="D1035" s="3" t="s">
        <v>355</v>
      </c>
      <c r="E1035" s="3">
        <v>2</v>
      </c>
      <c r="F1035" s="3">
        <v>162</v>
      </c>
      <c r="G1035" s="6" t="s">
        <v>1542</v>
      </c>
      <c r="H1035" s="3" t="s">
        <v>1543</v>
      </c>
      <c r="I1035" s="6" t="s">
        <v>1024</v>
      </c>
      <c r="J1035" s="3">
        <v>2</v>
      </c>
      <c r="K1035" s="3">
        <v>2</v>
      </c>
      <c r="L1035" s="3">
        <v>24</v>
      </c>
      <c r="M1035" s="3">
        <v>6.5</v>
      </c>
      <c r="N1035" s="3">
        <v>10</v>
      </c>
      <c r="O1035" s="3">
        <v>3.5</v>
      </c>
      <c r="P1035" s="3"/>
      <c r="Q1035" s="3">
        <v>170</v>
      </c>
      <c r="R1035" s="3"/>
      <c r="S1035" s="3"/>
      <c r="T1035" s="3"/>
      <c r="U1035" s="3"/>
      <c r="V1035" s="3"/>
      <c r="W1035" s="3"/>
      <c r="X1035" s="3" t="s">
        <v>288</v>
      </c>
      <c r="Y1035" s="3" t="s">
        <v>83</v>
      </c>
    </row>
    <row r="1036" spans="1:25" ht="15" customHeight="1" x14ac:dyDescent="0.3">
      <c r="A1036" s="27">
        <v>45918</v>
      </c>
      <c r="B1036" s="25">
        <v>29</v>
      </c>
      <c r="C1036" s="3" t="s">
        <v>38</v>
      </c>
      <c r="D1036" s="3" t="s">
        <v>355</v>
      </c>
      <c r="E1036" s="3">
        <v>2</v>
      </c>
      <c r="F1036" s="3">
        <v>163</v>
      </c>
      <c r="G1036" s="6" t="s">
        <v>1500</v>
      </c>
      <c r="H1036" s="3" t="s">
        <v>1501</v>
      </c>
      <c r="I1036" s="6" t="s">
        <v>1024</v>
      </c>
      <c r="J1036" s="3">
        <v>2</v>
      </c>
      <c r="K1036" s="3">
        <v>2</v>
      </c>
      <c r="L1036" s="3">
        <v>21</v>
      </c>
      <c r="M1036" s="3">
        <v>4</v>
      </c>
      <c r="N1036" s="3">
        <v>6</v>
      </c>
      <c r="O1036" s="3">
        <v>2.5</v>
      </c>
      <c r="P1036" s="3">
        <v>30</v>
      </c>
      <c r="Q1036" s="3">
        <v>177</v>
      </c>
      <c r="R1036" s="3"/>
      <c r="S1036" s="3"/>
      <c r="T1036" s="3"/>
      <c r="U1036" s="3"/>
      <c r="V1036" s="3"/>
      <c r="W1036" s="3"/>
      <c r="X1036" s="3" t="s">
        <v>138</v>
      </c>
      <c r="Y1036" s="3" t="s">
        <v>1568</v>
      </c>
    </row>
    <row r="1037" spans="1:25" ht="15" customHeight="1" x14ac:dyDescent="0.3">
      <c r="A1037" s="27">
        <v>45918</v>
      </c>
      <c r="B1037" s="25">
        <v>29</v>
      </c>
      <c r="C1037" s="3" t="s">
        <v>38</v>
      </c>
      <c r="D1037" s="3" t="s">
        <v>355</v>
      </c>
      <c r="E1037" s="3">
        <v>2</v>
      </c>
      <c r="F1037" s="3">
        <v>164</v>
      </c>
      <c r="G1037" s="6" t="s">
        <v>1502</v>
      </c>
      <c r="H1037" s="3" t="s">
        <v>1503</v>
      </c>
      <c r="I1037" s="6" t="s">
        <v>1525</v>
      </c>
      <c r="J1037" s="3">
        <v>2</v>
      </c>
      <c r="K1037" s="3">
        <v>2</v>
      </c>
      <c r="L1037" s="3">
        <v>22.5</v>
      </c>
      <c r="M1037" s="3">
        <v>7</v>
      </c>
      <c r="N1037" s="3">
        <v>11</v>
      </c>
      <c r="O1037" s="3">
        <v>3.8</v>
      </c>
      <c r="P1037" s="3"/>
      <c r="Q1037" s="3">
        <v>170</v>
      </c>
      <c r="R1037" s="3"/>
      <c r="S1037" s="3"/>
      <c r="T1037" s="3"/>
      <c r="U1037" s="3"/>
      <c r="V1037" s="3"/>
      <c r="W1037" s="3"/>
      <c r="X1037" s="3" t="s">
        <v>138</v>
      </c>
      <c r="Y1037" s="3" t="s">
        <v>1018</v>
      </c>
    </row>
    <row r="1038" spans="1:25" ht="15" customHeight="1" x14ac:dyDescent="0.3">
      <c r="A1038" s="27">
        <v>45918</v>
      </c>
      <c r="B1038" s="25">
        <v>29</v>
      </c>
      <c r="C1038" s="3" t="s">
        <v>38</v>
      </c>
      <c r="D1038" s="3" t="s">
        <v>355</v>
      </c>
      <c r="E1038" s="3">
        <v>2</v>
      </c>
      <c r="F1038" s="3">
        <v>182</v>
      </c>
      <c r="G1038" s="6" t="s">
        <v>713</v>
      </c>
      <c r="H1038" s="3" t="s">
        <v>1544</v>
      </c>
      <c r="I1038" s="6" t="s">
        <v>1024</v>
      </c>
      <c r="J1038" s="3">
        <v>4</v>
      </c>
      <c r="K1038" s="3">
        <v>4</v>
      </c>
      <c r="L1038" s="3">
        <v>14.24</v>
      </c>
      <c r="M1038" s="3">
        <v>3.85</v>
      </c>
      <c r="N1038" s="3">
        <v>6</v>
      </c>
      <c r="O1038" s="3">
        <v>3</v>
      </c>
      <c r="P1038" s="3">
        <v>35</v>
      </c>
      <c r="Q1038" s="3">
        <v>175</v>
      </c>
      <c r="R1038" s="3"/>
      <c r="S1038" s="3"/>
      <c r="T1038" s="3"/>
      <c r="U1038" s="3"/>
      <c r="V1038" s="3"/>
      <c r="W1038" s="3"/>
      <c r="X1038" s="3" t="s">
        <v>388</v>
      </c>
      <c r="Y1038" s="3" t="s">
        <v>396</v>
      </c>
    </row>
    <row r="1039" spans="1:25" ht="15" customHeight="1" x14ac:dyDescent="0.3">
      <c r="A1039" s="27">
        <v>45918</v>
      </c>
      <c r="B1039" s="25">
        <v>29</v>
      </c>
      <c r="C1039" s="3" t="s">
        <v>38</v>
      </c>
      <c r="D1039" s="3" t="s">
        <v>355</v>
      </c>
      <c r="E1039" s="3">
        <v>2</v>
      </c>
      <c r="F1039" s="3">
        <v>402</v>
      </c>
      <c r="G1039" s="6" t="s">
        <v>12</v>
      </c>
      <c r="H1039" s="3" t="s">
        <v>1545</v>
      </c>
      <c r="I1039" s="6" t="s">
        <v>1024</v>
      </c>
      <c r="J1039" s="3">
        <v>2</v>
      </c>
      <c r="K1039" s="3">
        <v>2</v>
      </c>
      <c r="L1039" s="3">
        <v>9.1999999999999993</v>
      </c>
      <c r="M1039" s="3"/>
      <c r="N1039" s="3"/>
      <c r="O1039" s="3">
        <v>3.5</v>
      </c>
      <c r="P1039" s="3"/>
      <c r="Q1039" s="3"/>
      <c r="R1039" s="3"/>
      <c r="S1039" s="3"/>
      <c r="T1039" s="3"/>
      <c r="U1039" s="3"/>
      <c r="V1039" s="3"/>
      <c r="W1039" s="3"/>
      <c r="X1039" s="3" t="s">
        <v>1558</v>
      </c>
      <c r="Y1039" s="3"/>
    </row>
    <row r="1040" spans="1:25" ht="15" customHeight="1" x14ac:dyDescent="0.3">
      <c r="A1040" s="27">
        <v>45918</v>
      </c>
      <c r="B1040" s="25">
        <v>29</v>
      </c>
      <c r="C1040" s="3" t="s">
        <v>38</v>
      </c>
      <c r="D1040" s="3" t="s">
        <v>355</v>
      </c>
      <c r="E1040" s="3">
        <v>2</v>
      </c>
      <c r="F1040" s="3">
        <v>404</v>
      </c>
      <c r="G1040" s="6" t="s">
        <v>407</v>
      </c>
      <c r="H1040" s="3" t="s">
        <v>1473</v>
      </c>
      <c r="I1040" s="6" t="s">
        <v>1024</v>
      </c>
      <c r="J1040" s="3">
        <v>2</v>
      </c>
      <c r="K1040" s="3">
        <v>2</v>
      </c>
      <c r="L1040" s="3">
        <v>7.3</v>
      </c>
      <c r="M1040" s="3"/>
      <c r="N1040" s="3"/>
      <c r="O1040" s="3">
        <v>2.5</v>
      </c>
      <c r="P1040" s="3"/>
      <c r="Q1040" s="3"/>
      <c r="R1040" s="3"/>
      <c r="S1040" s="3"/>
      <c r="T1040" s="3"/>
      <c r="U1040" s="3"/>
      <c r="V1040" s="3"/>
      <c r="W1040" s="3"/>
      <c r="X1040" s="3" t="s">
        <v>1559</v>
      </c>
      <c r="Y1040" s="3"/>
    </row>
    <row r="1041" spans="1:25" ht="15" customHeight="1" x14ac:dyDescent="0.3">
      <c r="A1041" s="27">
        <v>45918</v>
      </c>
      <c r="B1041" s="25">
        <v>29</v>
      </c>
      <c r="C1041" s="3" t="s">
        <v>38</v>
      </c>
      <c r="D1041" s="3" t="s">
        <v>355</v>
      </c>
      <c r="E1041" s="3">
        <v>2</v>
      </c>
      <c r="F1041" s="3">
        <v>405</v>
      </c>
      <c r="G1041" s="6" t="s">
        <v>14</v>
      </c>
      <c r="H1041" s="3" t="s">
        <v>1506</v>
      </c>
      <c r="I1041" s="6" t="s">
        <v>1024</v>
      </c>
      <c r="J1041" s="3">
        <v>2</v>
      </c>
      <c r="K1041" s="3">
        <v>2</v>
      </c>
      <c r="L1041" s="3">
        <v>8</v>
      </c>
      <c r="M1041" s="3"/>
      <c r="N1041" s="3"/>
      <c r="O1041" s="3">
        <v>2.5</v>
      </c>
      <c r="P1041" s="3"/>
      <c r="Q1041" s="3"/>
      <c r="R1041" s="3"/>
      <c r="S1041" s="3"/>
      <c r="T1041" s="3"/>
      <c r="U1041" s="3"/>
      <c r="V1041" s="3"/>
      <c r="W1041" s="3"/>
      <c r="X1041" s="3" t="s">
        <v>1560</v>
      </c>
      <c r="Y1041" s="3"/>
    </row>
    <row r="1042" spans="1:25" ht="15" customHeight="1" x14ac:dyDescent="0.3">
      <c r="A1042" s="27">
        <v>45918</v>
      </c>
      <c r="B1042" s="25">
        <v>29</v>
      </c>
      <c r="C1042" s="3" t="s">
        <v>38</v>
      </c>
      <c r="D1042" s="3" t="s">
        <v>355</v>
      </c>
      <c r="E1042" s="3">
        <v>2</v>
      </c>
      <c r="F1042" s="3">
        <v>171</v>
      </c>
      <c r="G1042" s="6" t="s">
        <v>558</v>
      </c>
      <c r="H1042" s="3" t="s">
        <v>1507</v>
      </c>
      <c r="I1042" s="6" t="s">
        <v>1024</v>
      </c>
      <c r="J1042" s="3">
        <v>3</v>
      </c>
      <c r="K1042" s="23">
        <v>2</v>
      </c>
      <c r="L1042" s="3">
        <v>14.76</v>
      </c>
      <c r="M1042" s="3">
        <v>3.8</v>
      </c>
      <c r="N1042" s="3">
        <v>6</v>
      </c>
      <c r="O1042" s="3">
        <v>3</v>
      </c>
      <c r="P1042" s="3"/>
      <c r="Q1042" s="3">
        <v>170</v>
      </c>
      <c r="R1042" s="3"/>
      <c r="S1042" s="3"/>
      <c r="T1042" s="3"/>
      <c r="U1042" s="3"/>
      <c r="V1042" s="3"/>
      <c r="W1042" s="3"/>
      <c r="X1042" s="3" t="s">
        <v>252</v>
      </c>
      <c r="Y1042" s="3" t="s">
        <v>1536</v>
      </c>
    </row>
    <row r="1043" spans="1:25" ht="15" customHeight="1" x14ac:dyDescent="0.3">
      <c r="A1043" s="27">
        <v>45918</v>
      </c>
      <c r="B1043" s="25">
        <v>29</v>
      </c>
      <c r="C1043" s="3" t="s">
        <v>38</v>
      </c>
      <c r="D1043" s="3" t="s">
        <v>355</v>
      </c>
      <c r="E1043" s="3">
        <v>2</v>
      </c>
      <c r="F1043" s="3">
        <v>172</v>
      </c>
      <c r="G1043" s="6" t="s">
        <v>15</v>
      </c>
      <c r="H1043" s="3" t="s">
        <v>1475</v>
      </c>
      <c r="I1043" s="6" t="s">
        <v>1024</v>
      </c>
      <c r="J1043" s="3">
        <v>4</v>
      </c>
      <c r="K1043" s="3">
        <v>4</v>
      </c>
      <c r="L1043" s="3">
        <v>14.18</v>
      </c>
      <c r="M1043" s="3">
        <v>0.55000000000000004</v>
      </c>
      <c r="N1043" s="3">
        <v>8.5</v>
      </c>
      <c r="O1043" s="3">
        <v>7</v>
      </c>
      <c r="P1043" s="3" t="s">
        <v>1515</v>
      </c>
      <c r="Q1043" s="3">
        <v>170</v>
      </c>
      <c r="R1043" s="3"/>
      <c r="S1043" s="3"/>
      <c r="T1043" s="3"/>
      <c r="U1043" s="3"/>
      <c r="V1043" s="3"/>
      <c r="W1043" s="3"/>
      <c r="X1043" s="3" t="s">
        <v>1105</v>
      </c>
      <c r="Y1043" s="3" t="s">
        <v>80</v>
      </c>
    </row>
    <row r="1044" spans="1:25" ht="15" customHeight="1" x14ac:dyDescent="0.3">
      <c r="A1044" s="27">
        <v>45918</v>
      </c>
      <c r="B1044" s="25">
        <v>29</v>
      </c>
      <c r="C1044" s="3" t="s">
        <v>38</v>
      </c>
      <c r="D1044" s="3" t="s">
        <v>355</v>
      </c>
      <c r="E1044" s="3">
        <v>2</v>
      </c>
      <c r="F1044" s="3">
        <v>174</v>
      </c>
      <c r="G1044" s="6" t="s">
        <v>227</v>
      </c>
      <c r="H1044" s="3">
        <v>18798</v>
      </c>
      <c r="I1044" s="6" t="s">
        <v>1024</v>
      </c>
      <c r="J1044" s="3">
        <v>3</v>
      </c>
      <c r="K1044" s="3">
        <v>3</v>
      </c>
      <c r="L1044" s="3">
        <v>18.920000000000002</v>
      </c>
      <c r="M1044" s="3">
        <v>4</v>
      </c>
      <c r="N1044" s="3">
        <v>10</v>
      </c>
      <c r="O1044" s="3">
        <v>5</v>
      </c>
      <c r="P1044" s="3" t="s">
        <v>1461</v>
      </c>
      <c r="Q1044" s="3">
        <v>170</v>
      </c>
      <c r="R1044" s="3"/>
      <c r="S1044" s="3"/>
      <c r="T1044" s="3"/>
      <c r="U1044" s="3"/>
      <c r="V1044" s="3"/>
      <c r="W1044" s="3"/>
      <c r="X1044" s="3" t="s">
        <v>1347</v>
      </c>
      <c r="Y1044" s="3" t="s">
        <v>1569</v>
      </c>
    </row>
    <row r="1045" spans="1:25" ht="15" customHeight="1" x14ac:dyDescent="0.3">
      <c r="A1045" s="27">
        <v>45918</v>
      </c>
      <c r="B1045" s="25">
        <v>29</v>
      </c>
      <c r="C1045" s="3" t="s">
        <v>38</v>
      </c>
      <c r="D1045" s="3" t="s">
        <v>355</v>
      </c>
      <c r="E1045" s="3">
        <v>2</v>
      </c>
      <c r="F1045" s="3">
        <v>176</v>
      </c>
      <c r="G1045" s="6" t="s">
        <v>989</v>
      </c>
      <c r="H1045" s="3" t="s">
        <v>1546</v>
      </c>
      <c r="I1045" s="6" t="s">
        <v>1024</v>
      </c>
      <c r="J1045" s="3">
        <v>5</v>
      </c>
      <c r="K1045" s="3">
        <v>5</v>
      </c>
      <c r="L1045" s="3">
        <v>19.02</v>
      </c>
      <c r="M1045" s="3">
        <v>2.2999999999999998</v>
      </c>
      <c r="N1045" s="3">
        <v>11.5</v>
      </c>
      <c r="O1045" s="3">
        <v>8</v>
      </c>
      <c r="P1045" s="3" t="s">
        <v>1549</v>
      </c>
      <c r="Q1045" s="3">
        <v>170</v>
      </c>
      <c r="R1045" s="3"/>
      <c r="S1045" s="3"/>
      <c r="T1045" s="3"/>
      <c r="U1045" s="3"/>
      <c r="V1045" s="3"/>
      <c r="W1045" s="3"/>
      <c r="X1045" s="3" t="s">
        <v>79</v>
      </c>
      <c r="Y1045" s="3" t="s">
        <v>138</v>
      </c>
    </row>
    <row r="1046" spans="1:25" ht="15" customHeight="1" x14ac:dyDescent="0.3">
      <c r="A1046" s="27">
        <v>45918</v>
      </c>
      <c r="B1046" s="25">
        <v>29</v>
      </c>
      <c r="C1046" s="3" t="s">
        <v>38</v>
      </c>
      <c r="D1046" s="3" t="s">
        <v>355</v>
      </c>
      <c r="E1046" s="3">
        <v>2</v>
      </c>
      <c r="F1046" s="3">
        <v>177</v>
      </c>
      <c r="G1046" s="6" t="s">
        <v>985</v>
      </c>
      <c r="H1046" s="3" t="s">
        <v>1459</v>
      </c>
      <c r="I1046" s="6" t="s">
        <v>1024</v>
      </c>
      <c r="J1046" s="3">
        <v>4</v>
      </c>
      <c r="K1046" s="3">
        <v>4</v>
      </c>
      <c r="L1046" s="3">
        <v>15.13</v>
      </c>
      <c r="M1046" s="3">
        <v>0.8</v>
      </c>
      <c r="N1046" s="3">
        <v>10</v>
      </c>
      <c r="O1046" s="3">
        <v>7.5</v>
      </c>
      <c r="P1046" s="3" t="s">
        <v>1550</v>
      </c>
      <c r="Q1046" s="3">
        <v>180</v>
      </c>
      <c r="R1046" s="3"/>
      <c r="S1046" s="3"/>
      <c r="T1046" s="3"/>
      <c r="U1046" s="3"/>
      <c r="V1046" s="3"/>
      <c r="W1046" s="3"/>
      <c r="X1046" s="3" t="s">
        <v>252</v>
      </c>
      <c r="Y1046" s="3" t="s">
        <v>87</v>
      </c>
    </row>
    <row r="1047" spans="1:25" ht="15" customHeight="1" x14ac:dyDescent="0.3">
      <c r="A1047" s="27">
        <v>45918</v>
      </c>
      <c r="B1047" s="25">
        <v>29</v>
      </c>
      <c r="C1047" s="3" t="s">
        <v>38</v>
      </c>
      <c r="D1047" s="3" t="s">
        <v>355</v>
      </c>
      <c r="E1047" s="3">
        <v>2</v>
      </c>
      <c r="F1047" s="3">
        <v>131</v>
      </c>
      <c r="G1047" s="6" t="s">
        <v>1151</v>
      </c>
      <c r="H1047" s="3" t="s">
        <v>1547</v>
      </c>
      <c r="I1047" s="6" t="s">
        <v>1024</v>
      </c>
      <c r="J1047" s="3">
        <v>3</v>
      </c>
      <c r="K1047" s="3">
        <v>3</v>
      </c>
      <c r="L1047" s="3">
        <v>17.600000000000001</v>
      </c>
      <c r="M1047" s="3">
        <v>3</v>
      </c>
      <c r="N1047" s="3">
        <v>8.25</v>
      </c>
      <c r="O1047" s="3">
        <v>5</v>
      </c>
      <c r="P1047" s="3"/>
      <c r="Q1047" s="3">
        <v>180</v>
      </c>
      <c r="R1047" s="3"/>
      <c r="S1047" s="3"/>
      <c r="T1047" s="3"/>
      <c r="U1047" s="3"/>
      <c r="V1047" s="3"/>
      <c r="W1047" s="3"/>
      <c r="X1047" s="3" t="s">
        <v>1561</v>
      </c>
      <c r="Y1047" s="3" t="s">
        <v>1496</v>
      </c>
    </row>
    <row r="1048" spans="1:25" ht="15" customHeight="1" x14ac:dyDescent="0.3">
      <c r="A1048" s="27">
        <v>45918</v>
      </c>
      <c r="B1048" s="25">
        <v>29</v>
      </c>
      <c r="C1048" s="3" t="s">
        <v>38</v>
      </c>
      <c r="D1048" s="3" t="s">
        <v>355</v>
      </c>
      <c r="E1048" s="3">
        <v>2</v>
      </c>
      <c r="F1048" s="3">
        <v>132</v>
      </c>
      <c r="G1048" s="6" t="s">
        <v>781</v>
      </c>
      <c r="H1048" s="3" t="s">
        <v>1479</v>
      </c>
      <c r="I1048" s="6" t="s">
        <v>1024</v>
      </c>
      <c r="J1048" s="3">
        <v>3</v>
      </c>
      <c r="K1048" s="3">
        <v>3</v>
      </c>
      <c r="L1048" s="3">
        <v>21.47</v>
      </c>
      <c r="M1048" s="3">
        <v>5.4</v>
      </c>
      <c r="N1048" s="3">
        <v>10.7</v>
      </c>
      <c r="O1048" s="3">
        <v>9.5</v>
      </c>
      <c r="P1048" s="3"/>
      <c r="Q1048" s="3">
        <v>180</v>
      </c>
      <c r="R1048" s="3"/>
      <c r="S1048" s="3"/>
      <c r="T1048" s="3"/>
      <c r="U1048" s="3"/>
      <c r="V1048" s="3"/>
      <c r="W1048" s="3"/>
      <c r="X1048" s="3" t="s">
        <v>1492</v>
      </c>
      <c r="Y1048" s="3" t="s">
        <v>399</v>
      </c>
    </row>
    <row r="1049" spans="1:25" ht="15" customHeight="1" x14ac:dyDescent="0.3">
      <c r="A1049" s="27">
        <v>45918</v>
      </c>
      <c r="B1049" s="25">
        <v>29</v>
      </c>
      <c r="C1049" s="3" t="s">
        <v>38</v>
      </c>
      <c r="D1049" s="3" t="s">
        <v>355</v>
      </c>
      <c r="E1049" s="3">
        <v>2</v>
      </c>
      <c r="F1049" s="3">
        <v>134</v>
      </c>
      <c r="G1049" s="6" t="s">
        <v>1480</v>
      </c>
      <c r="H1049" s="3" t="s">
        <v>1481</v>
      </c>
      <c r="I1049" s="6" t="s">
        <v>1024</v>
      </c>
      <c r="J1049" s="3">
        <v>3</v>
      </c>
      <c r="K1049" s="3">
        <v>3</v>
      </c>
      <c r="L1049" s="3">
        <v>15.43</v>
      </c>
      <c r="M1049" s="3">
        <v>4.0999999999999996</v>
      </c>
      <c r="N1049" s="3">
        <v>5.5</v>
      </c>
      <c r="O1049" s="3">
        <v>5</v>
      </c>
      <c r="P1049" s="3"/>
      <c r="Q1049" s="3">
        <v>150</v>
      </c>
      <c r="R1049" s="3"/>
      <c r="S1049" s="3"/>
      <c r="T1049" s="3"/>
      <c r="U1049" s="3"/>
      <c r="V1049" s="3"/>
      <c r="W1049" s="3"/>
      <c r="X1049" s="3" t="s">
        <v>1562</v>
      </c>
      <c r="Y1049" s="3" t="s">
        <v>399</v>
      </c>
    </row>
    <row r="1050" spans="1:25" ht="15" customHeight="1" x14ac:dyDescent="0.3">
      <c r="A1050" s="27">
        <v>45918</v>
      </c>
      <c r="B1050" s="25">
        <v>29</v>
      </c>
      <c r="C1050" s="3" t="s">
        <v>38</v>
      </c>
      <c r="D1050" s="3" t="s">
        <v>355</v>
      </c>
      <c r="E1050" s="3">
        <v>2</v>
      </c>
      <c r="F1050" s="3">
        <v>135</v>
      </c>
      <c r="G1050" s="6" t="s">
        <v>21</v>
      </c>
      <c r="H1050" s="3" t="s">
        <v>1508</v>
      </c>
      <c r="I1050" s="6" t="s">
        <v>1024</v>
      </c>
      <c r="J1050" s="3">
        <v>2</v>
      </c>
      <c r="K1050" s="3">
        <v>2</v>
      </c>
      <c r="L1050" s="3">
        <v>19.87</v>
      </c>
      <c r="M1050" s="3">
        <v>3.8</v>
      </c>
      <c r="N1050" s="3">
        <v>10</v>
      </c>
      <c r="O1050" s="3">
        <v>5</v>
      </c>
      <c r="P1050" s="3"/>
      <c r="Q1050" s="3">
        <v>180</v>
      </c>
      <c r="R1050" s="3"/>
      <c r="S1050" s="3"/>
      <c r="T1050" s="3"/>
      <c r="U1050" s="3"/>
      <c r="V1050" s="3"/>
      <c r="W1050" s="3"/>
      <c r="X1050" s="3" t="s">
        <v>142</v>
      </c>
      <c r="Y1050" s="3" t="s">
        <v>1537</v>
      </c>
    </row>
    <row r="1051" spans="1:25" ht="15" customHeight="1" x14ac:dyDescent="0.3">
      <c r="A1051" s="27">
        <v>45918</v>
      </c>
      <c r="B1051" s="25">
        <v>29</v>
      </c>
      <c r="C1051" s="3" t="s">
        <v>38</v>
      </c>
      <c r="D1051" s="3" t="s">
        <v>355</v>
      </c>
      <c r="E1051" s="3">
        <v>2</v>
      </c>
      <c r="F1051" s="3">
        <v>138</v>
      </c>
      <c r="G1051" s="6" t="s">
        <v>1482</v>
      </c>
      <c r="H1051" s="3" t="s">
        <v>1483</v>
      </c>
      <c r="I1051" s="6" t="s">
        <v>1024</v>
      </c>
      <c r="J1051" s="3">
        <v>3</v>
      </c>
      <c r="K1051" s="3">
        <v>3</v>
      </c>
      <c r="L1051" s="3">
        <v>13.73</v>
      </c>
      <c r="M1051" s="3">
        <v>4</v>
      </c>
      <c r="N1051" s="3">
        <v>5</v>
      </c>
      <c r="O1051" s="3">
        <v>4</v>
      </c>
      <c r="P1051" s="3"/>
      <c r="Q1051" s="3">
        <v>165</v>
      </c>
      <c r="R1051" s="3"/>
      <c r="S1051" s="3"/>
      <c r="T1051" s="3"/>
      <c r="U1051" s="3"/>
      <c r="V1051" s="3"/>
      <c r="W1051" s="3"/>
      <c r="X1051" s="3" t="s">
        <v>84</v>
      </c>
      <c r="Y1051" s="3" t="s">
        <v>153</v>
      </c>
    </row>
    <row r="1052" spans="1:25" ht="15" customHeight="1" x14ac:dyDescent="0.3">
      <c r="A1052" s="27">
        <v>45918</v>
      </c>
      <c r="B1052" s="25">
        <v>29</v>
      </c>
      <c r="C1052" s="3" t="s">
        <v>38</v>
      </c>
      <c r="D1052" s="3" t="s">
        <v>355</v>
      </c>
      <c r="E1052" s="3">
        <v>2</v>
      </c>
      <c r="F1052" s="3">
        <v>201</v>
      </c>
      <c r="G1052" s="6" t="s">
        <v>1509</v>
      </c>
      <c r="H1052" s="3" t="s">
        <v>1510</v>
      </c>
      <c r="I1052" s="6" t="s">
        <v>110</v>
      </c>
      <c r="J1052" s="3">
        <v>24</v>
      </c>
      <c r="K1052" s="23">
        <v>18</v>
      </c>
      <c r="L1052" s="3">
        <v>30.4</v>
      </c>
      <c r="M1052" s="3">
        <v>19</v>
      </c>
      <c r="N1052" s="3">
        <v>3</v>
      </c>
      <c r="O1052" s="3"/>
      <c r="P1052" s="3"/>
      <c r="Q1052" s="3"/>
      <c r="R1052" s="3" t="s">
        <v>1049</v>
      </c>
      <c r="S1052" s="3" t="s">
        <v>244</v>
      </c>
      <c r="T1052" s="3">
        <v>0.5</v>
      </c>
      <c r="U1052" s="3">
        <v>15</v>
      </c>
      <c r="V1052" s="3">
        <v>25</v>
      </c>
      <c r="W1052" s="3">
        <v>120</v>
      </c>
      <c r="X1052" s="3" t="s">
        <v>1528</v>
      </c>
      <c r="Y1052" s="3"/>
    </row>
    <row r="1053" spans="1:25" ht="15" customHeight="1" x14ac:dyDescent="0.3">
      <c r="A1053" s="27">
        <v>45918</v>
      </c>
      <c r="B1053" s="25">
        <v>29</v>
      </c>
      <c r="C1053" s="3" t="s">
        <v>38</v>
      </c>
      <c r="D1053" s="3" t="s">
        <v>355</v>
      </c>
      <c r="E1053" s="3">
        <v>2</v>
      </c>
      <c r="F1053" s="3">
        <v>212</v>
      </c>
      <c r="G1053" s="6" t="s">
        <v>887</v>
      </c>
      <c r="H1053" s="3">
        <v>18808</v>
      </c>
      <c r="I1053" s="6" t="s">
        <v>111</v>
      </c>
      <c r="J1053" s="3">
        <v>12</v>
      </c>
      <c r="K1053" s="3">
        <v>12</v>
      </c>
      <c r="L1053" s="3">
        <v>30.4</v>
      </c>
      <c r="M1053" s="3">
        <v>18</v>
      </c>
      <c r="N1053" s="3">
        <v>3</v>
      </c>
      <c r="O1053" s="3"/>
      <c r="P1053" s="3"/>
      <c r="Q1053" s="3"/>
      <c r="R1053" s="3" t="s">
        <v>1520</v>
      </c>
      <c r="S1053" s="3" t="s">
        <v>1524</v>
      </c>
      <c r="T1053" s="3">
        <v>1</v>
      </c>
      <c r="U1053" s="3">
        <v>18</v>
      </c>
      <c r="V1053" s="3">
        <v>20</v>
      </c>
      <c r="W1053" s="3">
        <v>170</v>
      </c>
      <c r="X1053" s="3" t="s">
        <v>1535</v>
      </c>
      <c r="Y1053" s="3" t="s">
        <v>1570</v>
      </c>
    </row>
    <row r="1054" spans="1:25" ht="15" customHeight="1" x14ac:dyDescent="0.3">
      <c r="A1054" s="27">
        <v>45918</v>
      </c>
      <c r="B1054" s="25">
        <v>29</v>
      </c>
      <c r="C1054" s="3" t="s">
        <v>38</v>
      </c>
      <c r="D1054" s="3" t="s">
        <v>355</v>
      </c>
      <c r="E1054" s="3">
        <v>2</v>
      </c>
      <c r="F1054" s="3">
        <v>205</v>
      </c>
      <c r="G1054" s="6" t="s">
        <v>1548</v>
      </c>
      <c r="H1054" s="3">
        <v>18857</v>
      </c>
      <c r="I1054" s="6" t="s">
        <v>111</v>
      </c>
      <c r="J1054" s="3">
        <v>12</v>
      </c>
      <c r="K1054" s="23">
        <v>10</v>
      </c>
      <c r="L1054" s="3">
        <v>23.9</v>
      </c>
      <c r="M1054" s="3">
        <v>10</v>
      </c>
      <c r="N1054" s="3">
        <v>3</v>
      </c>
      <c r="O1054" s="3"/>
      <c r="P1054" s="3"/>
      <c r="Q1054" s="3"/>
      <c r="R1054" s="3" t="s">
        <v>1551</v>
      </c>
      <c r="S1054" s="3" t="s">
        <v>1555</v>
      </c>
      <c r="T1054" s="3">
        <v>1</v>
      </c>
      <c r="U1054" s="3">
        <v>20</v>
      </c>
      <c r="V1054" s="3">
        <v>25</v>
      </c>
      <c r="W1054" s="3">
        <v>90</v>
      </c>
      <c r="X1054" s="3" t="s">
        <v>683</v>
      </c>
      <c r="Y1054" s="6"/>
    </row>
    <row r="1055" spans="1:25" ht="15" customHeight="1" x14ac:dyDescent="0.3">
      <c r="A1055" s="27">
        <v>45918</v>
      </c>
      <c r="B1055" s="25">
        <v>29</v>
      </c>
      <c r="C1055" s="3" t="s">
        <v>38</v>
      </c>
      <c r="D1055" s="3" t="s">
        <v>355</v>
      </c>
      <c r="E1055" s="3">
        <v>2</v>
      </c>
      <c r="F1055" s="3">
        <v>206</v>
      </c>
      <c r="G1055" s="6" t="s">
        <v>1512</v>
      </c>
      <c r="H1055" s="3" t="s">
        <v>1513</v>
      </c>
      <c r="I1055" s="6" t="s">
        <v>111</v>
      </c>
      <c r="J1055" s="3">
        <v>4</v>
      </c>
      <c r="K1055" s="3">
        <v>4</v>
      </c>
      <c r="L1055" s="3">
        <v>20.100000000000001</v>
      </c>
      <c r="M1055" s="3">
        <v>6</v>
      </c>
      <c r="N1055" s="3">
        <v>3</v>
      </c>
      <c r="O1055" s="3"/>
      <c r="P1055" s="3"/>
      <c r="Q1055" s="3"/>
      <c r="R1055" s="3" t="s">
        <v>1517</v>
      </c>
      <c r="S1055" s="3" t="s">
        <v>1522</v>
      </c>
      <c r="T1055" s="3">
        <v>0.6</v>
      </c>
      <c r="U1055" s="3">
        <v>20</v>
      </c>
      <c r="V1055" s="3">
        <v>25</v>
      </c>
      <c r="W1055" s="3">
        <v>125</v>
      </c>
      <c r="X1055" s="3" t="s">
        <v>1563</v>
      </c>
      <c r="Y1055" s="3" t="s">
        <v>1571</v>
      </c>
    </row>
    <row r="1056" spans="1:25" ht="15" customHeight="1" x14ac:dyDescent="0.3">
      <c r="A1056" s="27">
        <v>45918</v>
      </c>
      <c r="B1056" s="25">
        <v>29</v>
      </c>
      <c r="C1056" s="3" t="s">
        <v>38</v>
      </c>
      <c r="D1056" s="3" t="s">
        <v>355</v>
      </c>
      <c r="E1056" s="3">
        <v>2</v>
      </c>
      <c r="F1056" s="3">
        <v>208</v>
      </c>
      <c r="G1056" s="6" t="s">
        <v>593</v>
      </c>
      <c r="H1056" s="3">
        <v>18842</v>
      </c>
      <c r="I1056" s="6" t="s">
        <v>110</v>
      </c>
      <c r="J1056" s="3">
        <v>4</v>
      </c>
      <c r="K1056" s="23">
        <v>2</v>
      </c>
      <c r="L1056" s="3">
        <v>23.77</v>
      </c>
      <c r="M1056" s="3">
        <v>8</v>
      </c>
      <c r="N1056" s="3">
        <v>5.5</v>
      </c>
      <c r="O1056" s="3"/>
      <c r="P1056" s="3"/>
      <c r="Q1056" s="3"/>
      <c r="R1056" s="3" t="s">
        <v>1552</v>
      </c>
      <c r="S1056" s="3" t="s">
        <v>1556</v>
      </c>
      <c r="T1056" s="3">
        <v>2.5</v>
      </c>
      <c r="U1056" s="3">
        <v>25</v>
      </c>
      <c r="V1056" s="3">
        <v>30</v>
      </c>
      <c r="W1056" s="3">
        <v>140</v>
      </c>
      <c r="X1056" s="3" t="s">
        <v>1564</v>
      </c>
      <c r="Y1056" s="3" t="s">
        <v>1572</v>
      </c>
    </row>
    <row r="1057" spans="1:25" ht="15" customHeight="1" x14ac:dyDescent="0.3">
      <c r="A1057" s="27">
        <v>45918</v>
      </c>
      <c r="B1057" s="25">
        <v>29</v>
      </c>
      <c r="C1057" s="3" t="s">
        <v>38</v>
      </c>
      <c r="D1057" s="3" t="s">
        <v>355</v>
      </c>
      <c r="E1057" s="3">
        <v>2</v>
      </c>
      <c r="F1057" s="3">
        <v>209</v>
      </c>
      <c r="G1057" s="6" t="s">
        <v>996</v>
      </c>
      <c r="H1057" s="3" t="s">
        <v>1484</v>
      </c>
      <c r="I1057" s="6" t="s">
        <v>111</v>
      </c>
      <c r="J1057" s="3">
        <v>4</v>
      </c>
      <c r="K1057" s="23">
        <v>3</v>
      </c>
      <c r="L1057" s="3">
        <v>27</v>
      </c>
      <c r="M1057" s="3">
        <v>13</v>
      </c>
      <c r="N1057" s="3">
        <v>3</v>
      </c>
      <c r="O1057" s="3"/>
      <c r="P1057" s="3"/>
      <c r="Q1057" s="3"/>
      <c r="R1057" s="3" t="s">
        <v>1553</v>
      </c>
      <c r="S1057" s="3" t="s">
        <v>1486</v>
      </c>
      <c r="T1057" s="3">
        <v>2.5</v>
      </c>
      <c r="U1057" s="3">
        <v>25</v>
      </c>
      <c r="V1057" s="3">
        <v>30</v>
      </c>
      <c r="W1057" s="3">
        <v>168</v>
      </c>
      <c r="X1057" s="3" t="s">
        <v>1565</v>
      </c>
      <c r="Y1057" s="3" t="s">
        <v>1573</v>
      </c>
    </row>
    <row r="1058" spans="1:25" ht="15" customHeight="1" x14ac:dyDescent="0.3">
      <c r="A1058" s="27">
        <v>45918</v>
      </c>
      <c r="B1058" s="25">
        <v>29</v>
      </c>
      <c r="C1058" s="3" t="s">
        <v>38</v>
      </c>
      <c r="D1058" s="3" t="s">
        <v>355</v>
      </c>
      <c r="E1058" s="3">
        <v>2</v>
      </c>
      <c r="F1058" s="3">
        <v>210</v>
      </c>
      <c r="G1058" s="6" t="s">
        <v>967</v>
      </c>
      <c r="H1058" s="3" t="s">
        <v>1514</v>
      </c>
      <c r="I1058" s="6" t="s">
        <v>111</v>
      </c>
      <c r="J1058" s="3">
        <v>4</v>
      </c>
      <c r="K1058" s="3">
        <v>4</v>
      </c>
      <c r="L1058" s="3">
        <v>20.7</v>
      </c>
      <c r="M1058" s="3">
        <v>7</v>
      </c>
      <c r="N1058" s="3">
        <v>4</v>
      </c>
      <c r="O1058" s="3"/>
      <c r="P1058" s="3"/>
      <c r="Q1058" s="3"/>
      <c r="R1058" s="3" t="s">
        <v>1519</v>
      </c>
      <c r="S1058" s="3" t="s">
        <v>917</v>
      </c>
      <c r="T1058" s="3">
        <v>1</v>
      </c>
      <c r="U1058" s="3">
        <v>20</v>
      </c>
      <c r="V1058" s="3">
        <v>30</v>
      </c>
      <c r="W1058" s="3">
        <v>101</v>
      </c>
      <c r="X1058" s="3" t="s">
        <v>1533</v>
      </c>
      <c r="Y1058" s="3" t="s">
        <v>1574</v>
      </c>
    </row>
    <row r="1059" spans="1:25" ht="15" customHeight="1" x14ac:dyDescent="0.3">
      <c r="A1059" s="27">
        <v>45918</v>
      </c>
      <c r="B1059" s="25">
        <v>29</v>
      </c>
      <c r="C1059" s="3" t="s">
        <v>38</v>
      </c>
      <c r="D1059" s="3" t="s">
        <v>355</v>
      </c>
      <c r="E1059" s="3">
        <v>2</v>
      </c>
      <c r="F1059" s="3">
        <v>301</v>
      </c>
      <c r="G1059" s="6" t="s">
        <v>30</v>
      </c>
      <c r="H1059" s="3" t="s">
        <v>194</v>
      </c>
      <c r="I1059" s="6" t="s">
        <v>793</v>
      </c>
      <c r="J1059" s="3">
        <v>8</v>
      </c>
      <c r="K1059" s="23">
        <v>5</v>
      </c>
      <c r="L1059" s="3">
        <v>26.1</v>
      </c>
      <c r="M1059" s="3">
        <v>8</v>
      </c>
      <c r="N1059" s="3">
        <v>5.5</v>
      </c>
      <c r="O1059" s="3"/>
      <c r="P1059" s="3"/>
      <c r="Q1059" s="3">
        <v>148</v>
      </c>
      <c r="R1059" s="3" t="s">
        <v>523</v>
      </c>
      <c r="S1059" s="3" t="s">
        <v>1557</v>
      </c>
      <c r="T1059" s="3">
        <v>1.5</v>
      </c>
      <c r="U1059" s="3">
        <v>25</v>
      </c>
      <c r="V1059" s="3">
        <v>35</v>
      </c>
      <c r="W1059" s="3">
        <v>130</v>
      </c>
      <c r="X1059" s="3" t="s">
        <v>1566</v>
      </c>
      <c r="Y1059" s="3" t="s">
        <v>402</v>
      </c>
    </row>
    <row r="1060" spans="1:25" ht="15" customHeight="1" x14ac:dyDescent="0.3">
      <c r="A1060" s="27">
        <v>45918</v>
      </c>
      <c r="B1060" s="25">
        <v>29</v>
      </c>
      <c r="C1060" s="3" t="s">
        <v>38</v>
      </c>
      <c r="D1060" s="3" t="s">
        <v>355</v>
      </c>
      <c r="E1060" s="3">
        <v>2</v>
      </c>
      <c r="F1060" s="3">
        <v>302</v>
      </c>
      <c r="G1060" s="6" t="s">
        <v>31</v>
      </c>
      <c r="H1060" s="3" t="s">
        <v>195</v>
      </c>
      <c r="I1060" s="6" t="s">
        <v>793</v>
      </c>
      <c r="J1060" s="3">
        <v>12</v>
      </c>
      <c r="K1060" s="23">
        <v>11</v>
      </c>
      <c r="L1060" s="3">
        <v>50.97</v>
      </c>
      <c r="M1060" s="3">
        <v>15</v>
      </c>
      <c r="N1060" s="3">
        <v>17</v>
      </c>
      <c r="O1060" s="3"/>
      <c r="P1060" s="3"/>
      <c r="Q1060" s="3">
        <v>160</v>
      </c>
      <c r="R1060" s="3" t="s">
        <v>1554</v>
      </c>
      <c r="S1060" s="3" t="s">
        <v>895</v>
      </c>
      <c r="T1060" s="3">
        <v>3</v>
      </c>
      <c r="U1060" s="3">
        <v>40</v>
      </c>
      <c r="V1060" s="3">
        <v>40</v>
      </c>
      <c r="W1060" s="3">
        <v>150</v>
      </c>
      <c r="X1060" s="3" t="s">
        <v>1567</v>
      </c>
      <c r="Y1060" s="6" t="s">
        <v>1575</v>
      </c>
    </row>
    <row r="1061" spans="1:25" ht="15" customHeight="1" x14ac:dyDescent="0.3">
      <c r="A1061" s="5">
        <v>45919</v>
      </c>
      <c r="B1061" s="25">
        <v>28</v>
      </c>
      <c r="C1061" s="3" t="s">
        <v>38</v>
      </c>
      <c r="D1061" s="3" t="s">
        <v>355</v>
      </c>
      <c r="E1061" s="3">
        <v>2</v>
      </c>
      <c r="F1061" s="3">
        <v>102</v>
      </c>
      <c r="G1061" s="6" t="s">
        <v>1576</v>
      </c>
      <c r="H1061" s="3" t="s">
        <v>1577</v>
      </c>
      <c r="I1061" s="6" t="s">
        <v>793</v>
      </c>
      <c r="J1061" s="3">
        <v>6</v>
      </c>
      <c r="K1061" s="3">
        <v>6</v>
      </c>
      <c r="L1061" s="3">
        <v>13.8</v>
      </c>
      <c r="M1061" s="3">
        <v>3.3</v>
      </c>
      <c r="N1061" s="3">
        <v>6.25</v>
      </c>
      <c r="O1061" s="3">
        <v>4.2</v>
      </c>
      <c r="P1061" s="3">
        <v>50</v>
      </c>
      <c r="Q1061" s="3">
        <v>170</v>
      </c>
      <c r="R1061" s="3"/>
      <c r="S1061" s="3"/>
      <c r="T1061" s="3"/>
      <c r="U1061" s="3"/>
      <c r="V1061" s="3"/>
      <c r="W1061" s="3"/>
      <c r="X1061" s="3" t="s">
        <v>79</v>
      </c>
      <c r="Y1061" s="3" t="s">
        <v>84</v>
      </c>
    </row>
    <row r="1062" spans="1:25" ht="15" customHeight="1" x14ac:dyDescent="0.3">
      <c r="A1062" s="5">
        <v>45919</v>
      </c>
      <c r="B1062" s="25">
        <v>28</v>
      </c>
      <c r="C1062" s="3" t="s">
        <v>38</v>
      </c>
      <c r="D1062" s="3" t="s">
        <v>355</v>
      </c>
      <c r="E1062" s="3">
        <v>2</v>
      </c>
      <c r="F1062" s="3">
        <v>103</v>
      </c>
      <c r="G1062" s="6" t="s">
        <v>163</v>
      </c>
      <c r="H1062" s="3" t="s">
        <v>1578</v>
      </c>
      <c r="I1062" s="6" t="s">
        <v>793</v>
      </c>
      <c r="J1062" s="3">
        <v>5</v>
      </c>
      <c r="K1062" s="3">
        <v>5</v>
      </c>
      <c r="L1062" s="3">
        <v>14.18</v>
      </c>
      <c r="M1062" s="3">
        <v>3.6</v>
      </c>
      <c r="N1062" s="3">
        <v>6.3</v>
      </c>
      <c r="O1062" s="3">
        <v>6.7</v>
      </c>
      <c r="P1062" s="3">
        <v>40</v>
      </c>
      <c r="Q1062" s="3">
        <v>170</v>
      </c>
      <c r="R1062" s="3"/>
      <c r="S1062" s="3"/>
      <c r="T1062" s="3"/>
      <c r="U1062" s="3"/>
      <c r="V1062" s="3"/>
      <c r="W1062" s="3"/>
      <c r="X1062" s="3" t="s">
        <v>251</v>
      </c>
      <c r="Y1062" s="3" t="s">
        <v>254</v>
      </c>
    </row>
    <row r="1063" spans="1:25" ht="15" customHeight="1" x14ac:dyDescent="0.3">
      <c r="A1063" s="5">
        <v>45919</v>
      </c>
      <c r="B1063" s="25">
        <v>28</v>
      </c>
      <c r="C1063" s="3" t="s">
        <v>38</v>
      </c>
      <c r="D1063" s="3" t="s">
        <v>355</v>
      </c>
      <c r="E1063" s="3">
        <v>2</v>
      </c>
      <c r="F1063" s="3">
        <v>104</v>
      </c>
      <c r="G1063" s="6" t="s">
        <v>1465</v>
      </c>
      <c r="H1063" s="3" t="s">
        <v>1466</v>
      </c>
      <c r="I1063" s="6" t="s">
        <v>793</v>
      </c>
      <c r="J1063" s="3">
        <v>9</v>
      </c>
      <c r="K1063" s="3">
        <v>9</v>
      </c>
      <c r="L1063" s="3">
        <v>14.25</v>
      </c>
      <c r="M1063" s="3">
        <v>2.5</v>
      </c>
      <c r="N1063" s="3">
        <v>5.5</v>
      </c>
      <c r="O1063" s="3">
        <v>5</v>
      </c>
      <c r="P1063" s="3"/>
      <c r="Q1063" s="3">
        <v>170</v>
      </c>
      <c r="R1063" s="3"/>
      <c r="S1063" s="3"/>
      <c r="T1063" s="3"/>
      <c r="U1063" s="3"/>
      <c r="V1063" s="3"/>
      <c r="W1063" s="3"/>
      <c r="X1063" s="28" t="s">
        <v>644</v>
      </c>
      <c r="Y1063" s="3" t="s">
        <v>84</v>
      </c>
    </row>
    <row r="1064" spans="1:25" ht="15" customHeight="1" x14ac:dyDescent="0.3">
      <c r="A1064" s="5">
        <v>45919</v>
      </c>
      <c r="B1064" s="25">
        <v>28</v>
      </c>
      <c r="C1064" s="3" t="s">
        <v>38</v>
      </c>
      <c r="D1064" s="3" t="s">
        <v>355</v>
      </c>
      <c r="E1064" s="3">
        <v>2</v>
      </c>
      <c r="F1064" s="3">
        <v>162</v>
      </c>
      <c r="G1064" s="6" t="s">
        <v>1542</v>
      </c>
      <c r="H1064" s="3" t="s">
        <v>1543</v>
      </c>
      <c r="I1064" s="6" t="s">
        <v>1525</v>
      </c>
      <c r="J1064" s="3">
        <v>2</v>
      </c>
      <c r="K1064" s="3">
        <v>2</v>
      </c>
      <c r="L1064" s="3">
        <v>24</v>
      </c>
      <c r="M1064" s="3">
        <v>6.5</v>
      </c>
      <c r="N1064" s="3">
        <v>10</v>
      </c>
      <c r="O1064" s="3">
        <v>3.5</v>
      </c>
      <c r="P1064" s="3"/>
      <c r="Q1064" s="3">
        <v>170</v>
      </c>
      <c r="R1064" s="3"/>
      <c r="S1064" s="3"/>
      <c r="T1064" s="3"/>
      <c r="U1064" s="3"/>
      <c r="V1064" s="3"/>
      <c r="W1064" s="3"/>
      <c r="X1064" s="3" t="s">
        <v>288</v>
      </c>
      <c r="Y1064" s="3" t="s">
        <v>83</v>
      </c>
    </row>
    <row r="1065" spans="1:25" ht="15" customHeight="1" x14ac:dyDescent="0.3">
      <c r="A1065" s="5">
        <v>45919</v>
      </c>
      <c r="B1065" s="25">
        <v>28</v>
      </c>
      <c r="C1065" s="3" t="s">
        <v>38</v>
      </c>
      <c r="D1065" s="3" t="s">
        <v>355</v>
      </c>
      <c r="E1065" s="3">
        <v>2</v>
      </c>
      <c r="F1065" s="3">
        <v>163</v>
      </c>
      <c r="G1065" s="6" t="s">
        <v>1500</v>
      </c>
      <c r="H1065" s="3" t="s">
        <v>1501</v>
      </c>
      <c r="I1065" s="6" t="s">
        <v>1024</v>
      </c>
      <c r="J1065" s="3">
        <v>2</v>
      </c>
      <c r="K1065" s="3">
        <v>2</v>
      </c>
      <c r="L1065" s="3">
        <v>21</v>
      </c>
      <c r="M1065" s="3">
        <v>3</v>
      </c>
      <c r="N1065" s="3">
        <v>6</v>
      </c>
      <c r="O1065" s="3">
        <v>2.5</v>
      </c>
      <c r="P1065" s="3">
        <v>30</v>
      </c>
      <c r="Q1065" s="3">
        <v>177</v>
      </c>
      <c r="R1065" s="3"/>
      <c r="S1065" s="3"/>
      <c r="T1065" s="3"/>
      <c r="U1065" s="3"/>
      <c r="V1065" s="3"/>
      <c r="W1065" s="3"/>
      <c r="X1065" s="3" t="s">
        <v>138</v>
      </c>
      <c r="Y1065" s="3" t="s">
        <v>1568</v>
      </c>
    </row>
    <row r="1066" spans="1:25" ht="15" customHeight="1" x14ac:dyDescent="0.3">
      <c r="A1066" s="5">
        <v>45919</v>
      </c>
      <c r="B1066" s="25">
        <v>28</v>
      </c>
      <c r="C1066" s="3" t="s">
        <v>38</v>
      </c>
      <c r="D1066" s="3" t="s">
        <v>355</v>
      </c>
      <c r="E1066" s="3">
        <v>2</v>
      </c>
      <c r="F1066" s="3">
        <v>182</v>
      </c>
      <c r="G1066" s="6" t="s">
        <v>713</v>
      </c>
      <c r="H1066" s="3" t="s">
        <v>1544</v>
      </c>
      <c r="I1066" s="6" t="s">
        <v>1024</v>
      </c>
      <c r="J1066" s="3">
        <v>4</v>
      </c>
      <c r="K1066" s="3">
        <v>4</v>
      </c>
      <c r="L1066" s="3">
        <v>14.23</v>
      </c>
      <c r="M1066" s="3">
        <v>3.85</v>
      </c>
      <c r="N1066" s="3">
        <v>6</v>
      </c>
      <c r="O1066" s="3">
        <v>3</v>
      </c>
      <c r="P1066" s="3">
        <v>35</v>
      </c>
      <c r="Q1066" s="3">
        <v>175</v>
      </c>
      <c r="R1066" s="3"/>
      <c r="S1066" s="3"/>
      <c r="T1066" s="3"/>
      <c r="U1066" s="3"/>
      <c r="V1066" s="3"/>
      <c r="W1066" s="3"/>
      <c r="X1066" s="3" t="s">
        <v>388</v>
      </c>
      <c r="Y1066" s="3" t="s">
        <v>396</v>
      </c>
    </row>
    <row r="1067" spans="1:25" ht="15" customHeight="1" x14ac:dyDescent="0.3">
      <c r="A1067" s="5">
        <v>45919</v>
      </c>
      <c r="B1067" s="25">
        <v>28</v>
      </c>
      <c r="C1067" s="3" t="s">
        <v>38</v>
      </c>
      <c r="D1067" s="3" t="s">
        <v>355</v>
      </c>
      <c r="E1067" s="3">
        <v>2</v>
      </c>
      <c r="F1067" s="3">
        <v>401</v>
      </c>
      <c r="G1067" s="6" t="s">
        <v>1504</v>
      </c>
      <c r="H1067" s="3" t="s">
        <v>1505</v>
      </c>
      <c r="I1067" s="6" t="s">
        <v>1024</v>
      </c>
      <c r="J1067" s="3">
        <v>1</v>
      </c>
      <c r="K1067" s="3">
        <v>1</v>
      </c>
      <c r="L1067" s="3">
        <v>10.6</v>
      </c>
      <c r="M1067" s="3"/>
      <c r="N1067" s="3"/>
      <c r="O1067" s="3">
        <v>3</v>
      </c>
      <c r="P1067" s="3"/>
      <c r="Q1067" s="3"/>
      <c r="R1067" s="3"/>
      <c r="S1067" s="3"/>
      <c r="T1067" s="3"/>
      <c r="U1067" s="3"/>
      <c r="V1067" s="3"/>
      <c r="W1067" s="3"/>
      <c r="X1067" s="3" t="s">
        <v>1586</v>
      </c>
      <c r="Y1067" s="3"/>
    </row>
    <row r="1068" spans="1:25" ht="15" customHeight="1" x14ac:dyDescent="0.3">
      <c r="A1068" s="5">
        <v>45919</v>
      </c>
      <c r="B1068" s="25">
        <v>28</v>
      </c>
      <c r="C1068" s="3" t="s">
        <v>38</v>
      </c>
      <c r="D1068" s="3" t="s">
        <v>355</v>
      </c>
      <c r="E1068" s="3">
        <v>2</v>
      </c>
      <c r="F1068" s="3">
        <v>402</v>
      </c>
      <c r="G1068" s="6" t="s">
        <v>12</v>
      </c>
      <c r="H1068" s="3" t="s">
        <v>1545</v>
      </c>
      <c r="I1068" s="6" t="s">
        <v>1024</v>
      </c>
      <c r="J1068" s="3">
        <v>2</v>
      </c>
      <c r="K1068" s="3">
        <v>2</v>
      </c>
      <c r="L1068" s="3">
        <v>10</v>
      </c>
      <c r="M1068" s="3"/>
      <c r="N1068" s="3"/>
      <c r="O1068" s="3">
        <v>4</v>
      </c>
      <c r="P1068" s="3"/>
      <c r="Q1068" s="3"/>
      <c r="R1068" s="3"/>
      <c r="S1068" s="3"/>
      <c r="T1068" s="3"/>
      <c r="U1068" s="3"/>
      <c r="V1068" s="3"/>
      <c r="W1068" s="3"/>
      <c r="X1068" s="3" t="s">
        <v>1587</v>
      </c>
      <c r="Y1068" s="3"/>
    </row>
    <row r="1069" spans="1:25" ht="15" customHeight="1" x14ac:dyDescent="0.3">
      <c r="A1069" s="5">
        <v>45919</v>
      </c>
      <c r="B1069" s="25">
        <v>28</v>
      </c>
      <c r="C1069" s="3" t="s">
        <v>38</v>
      </c>
      <c r="D1069" s="3" t="s">
        <v>355</v>
      </c>
      <c r="E1069" s="3">
        <v>2</v>
      </c>
      <c r="F1069" s="3">
        <v>171</v>
      </c>
      <c r="G1069" s="6" t="s">
        <v>558</v>
      </c>
      <c r="H1069" s="3" t="s">
        <v>1507</v>
      </c>
      <c r="I1069" s="6" t="s">
        <v>1024</v>
      </c>
      <c r="J1069" s="3">
        <v>3</v>
      </c>
      <c r="K1069" s="23">
        <v>2</v>
      </c>
      <c r="L1069" s="3">
        <v>15</v>
      </c>
      <c r="M1069" s="3">
        <v>3.8</v>
      </c>
      <c r="N1069" s="3">
        <v>6</v>
      </c>
      <c r="O1069" s="3">
        <v>3</v>
      </c>
      <c r="P1069" s="3"/>
      <c r="Q1069" s="3">
        <v>170</v>
      </c>
      <c r="R1069" s="3"/>
      <c r="S1069" s="3"/>
      <c r="T1069" s="3"/>
      <c r="U1069" s="3"/>
      <c r="V1069" s="3"/>
      <c r="W1069" s="3"/>
      <c r="X1069" s="3" t="s">
        <v>252</v>
      </c>
      <c r="Y1069" s="3" t="s">
        <v>1592</v>
      </c>
    </row>
    <row r="1070" spans="1:25" ht="15" customHeight="1" x14ac:dyDescent="0.3">
      <c r="A1070" s="5">
        <v>45919</v>
      </c>
      <c r="B1070" s="25">
        <v>28</v>
      </c>
      <c r="C1070" s="3" t="s">
        <v>38</v>
      </c>
      <c r="D1070" s="3" t="s">
        <v>355</v>
      </c>
      <c r="E1070" s="3">
        <v>2</v>
      </c>
      <c r="F1070" s="3">
        <v>172</v>
      </c>
      <c r="G1070" s="6" t="s">
        <v>15</v>
      </c>
      <c r="H1070" s="3" t="s">
        <v>1475</v>
      </c>
      <c r="I1070" s="6" t="s">
        <v>1024</v>
      </c>
      <c r="J1070" s="3">
        <v>4</v>
      </c>
      <c r="K1070" s="3">
        <v>4</v>
      </c>
      <c r="L1070" s="3">
        <v>14.14</v>
      </c>
      <c r="M1070" s="3">
        <v>0.55000000000000004</v>
      </c>
      <c r="N1070" s="3">
        <v>8.5</v>
      </c>
      <c r="O1070" s="3">
        <v>7</v>
      </c>
      <c r="P1070" s="3" t="s">
        <v>1580</v>
      </c>
      <c r="Q1070" s="3">
        <v>170</v>
      </c>
      <c r="R1070" s="3"/>
      <c r="S1070" s="3"/>
      <c r="T1070" s="3"/>
      <c r="U1070" s="3"/>
      <c r="V1070" s="3"/>
      <c r="W1070" s="3"/>
      <c r="X1070" s="3" t="s">
        <v>1105</v>
      </c>
      <c r="Y1070" s="3" t="s">
        <v>80</v>
      </c>
    </row>
    <row r="1071" spans="1:25" ht="15" customHeight="1" x14ac:dyDescent="0.3">
      <c r="A1071" s="5">
        <v>45919</v>
      </c>
      <c r="B1071" s="25">
        <v>28</v>
      </c>
      <c r="C1071" s="3" t="s">
        <v>38</v>
      </c>
      <c r="D1071" s="3" t="s">
        <v>355</v>
      </c>
      <c r="E1071" s="3">
        <v>2</v>
      </c>
      <c r="F1071" s="3">
        <v>173</v>
      </c>
      <c r="G1071" s="6" t="s">
        <v>1092</v>
      </c>
      <c r="H1071" s="3" t="s">
        <v>1579</v>
      </c>
      <c r="I1071" s="6" t="s">
        <v>1024</v>
      </c>
      <c r="J1071" s="3">
        <v>5</v>
      </c>
      <c r="K1071" s="3">
        <v>5</v>
      </c>
      <c r="L1071" s="3">
        <v>15.81</v>
      </c>
      <c r="M1071" s="3">
        <v>0.6</v>
      </c>
      <c r="N1071" s="3">
        <v>10.5</v>
      </c>
      <c r="O1071" s="3">
        <v>7</v>
      </c>
      <c r="P1071" s="3" t="s">
        <v>1581</v>
      </c>
      <c r="Q1071" s="3">
        <v>175</v>
      </c>
      <c r="R1071" s="3"/>
      <c r="S1071" s="3"/>
      <c r="T1071" s="3"/>
      <c r="U1071" s="3"/>
      <c r="V1071" s="3"/>
      <c r="W1071" s="3"/>
      <c r="X1071" s="3" t="s">
        <v>79</v>
      </c>
      <c r="Y1071" s="3" t="s">
        <v>87</v>
      </c>
    </row>
    <row r="1072" spans="1:25" ht="15" customHeight="1" x14ac:dyDescent="0.3">
      <c r="A1072" s="5">
        <v>45919</v>
      </c>
      <c r="B1072" s="25">
        <v>28</v>
      </c>
      <c r="C1072" s="3" t="s">
        <v>38</v>
      </c>
      <c r="D1072" s="3" t="s">
        <v>355</v>
      </c>
      <c r="E1072" s="3">
        <v>2</v>
      </c>
      <c r="F1072" s="3">
        <v>177</v>
      </c>
      <c r="G1072" s="6" t="s">
        <v>985</v>
      </c>
      <c r="H1072" s="3" t="s">
        <v>1459</v>
      </c>
      <c r="I1072" s="6" t="s">
        <v>1024</v>
      </c>
      <c r="J1072" s="3">
        <v>4</v>
      </c>
      <c r="K1072" s="3">
        <v>4</v>
      </c>
      <c r="L1072" s="3">
        <v>14.95</v>
      </c>
      <c r="M1072" s="3">
        <v>0.8</v>
      </c>
      <c r="N1072" s="3">
        <v>10</v>
      </c>
      <c r="O1072" s="3">
        <v>7.5</v>
      </c>
      <c r="P1072" s="3" t="s">
        <v>1550</v>
      </c>
      <c r="Q1072" s="3"/>
      <c r="R1072" s="3"/>
      <c r="S1072" s="3"/>
      <c r="T1072" s="3"/>
      <c r="U1072" s="3"/>
      <c r="V1072" s="3"/>
      <c r="W1072" s="3"/>
      <c r="X1072" s="3" t="s">
        <v>252</v>
      </c>
      <c r="Y1072" s="3" t="s">
        <v>87</v>
      </c>
    </row>
    <row r="1073" spans="1:25" ht="15" customHeight="1" x14ac:dyDescent="0.3">
      <c r="A1073" s="5">
        <v>45919</v>
      </c>
      <c r="B1073" s="25">
        <v>28</v>
      </c>
      <c r="C1073" s="3" t="s">
        <v>38</v>
      </c>
      <c r="D1073" s="3" t="s">
        <v>355</v>
      </c>
      <c r="E1073" s="3">
        <v>2</v>
      </c>
      <c r="F1073" s="3">
        <v>131</v>
      </c>
      <c r="G1073" s="6" t="s">
        <v>1151</v>
      </c>
      <c r="H1073" s="3" t="s">
        <v>1547</v>
      </c>
      <c r="I1073" s="6" t="s">
        <v>1024</v>
      </c>
      <c r="J1073" s="3">
        <v>3</v>
      </c>
      <c r="K1073" s="3">
        <v>3</v>
      </c>
      <c r="L1073" s="3">
        <v>17.61</v>
      </c>
      <c r="M1073" s="3">
        <v>3</v>
      </c>
      <c r="N1073" s="3">
        <v>8.25</v>
      </c>
      <c r="O1073" s="3">
        <v>5</v>
      </c>
      <c r="P1073" s="3"/>
      <c r="Q1073" s="3">
        <v>180</v>
      </c>
      <c r="R1073" s="3"/>
      <c r="S1073" s="3"/>
      <c r="T1073" s="3"/>
      <c r="U1073" s="3"/>
      <c r="V1073" s="3"/>
      <c r="W1073" s="3"/>
      <c r="X1073" s="3" t="s">
        <v>1561</v>
      </c>
      <c r="Y1073" s="3" t="s">
        <v>1496</v>
      </c>
    </row>
    <row r="1074" spans="1:25" ht="15" customHeight="1" x14ac:dyDescent="0.3">
      <c r="A1074" s="5">
        <v>45919</v>
      </c>
      <c r="B1074" s="25">
        <v>28</v>
      </c>
      <c r="C1074" s="3" t="s">
        <v>38</v>
      </c>
      <c r="D1074" s="3" t="s">
        <v>355</v>
      </c>
      <c r="E1074" s="3">
        <v>2</v>
      </c>
      <c r="F1074" s="3">
        <v>134</v>
      </c>
      <c r="G1074" s="6" t="s">
        <v>1480</v>
      </c>
      <c r="H1074" s="3" t="s">
        <v>1481</v>
      </c>
      <c r="I1074" s="6" t="s">
        <v>1024</v>
      </c>
      <c r="J1074" s="3">
        <v>3</v>
      </c>
      <c r="K1074" s="3">
        <v>3</v>
      </c>
      <c r="L1074" s="3">
        <v>15.39</v>
      </c>
      <c r="M1074" s="3">
        <v>4.0999999999999996</v>
      </c>
      <c r="N1074" s="3">
        <v>5.5</v>
      </c>
      <c r="O1074" s="3">
        <v>5</v>
      </c>
      <c r="P1074" s="3"/>
      <c r="Q1074" s="3">
        <v>150</v>
      </c>
      <c r="R1074" s="3"/>
      <c r="S1074" s="3"/>
      <c r="T1074" s="3"/>
      <c r="U1074" s="3"/>
      <c r="V1074" s="3"/>
      <c r="W1074" s="3"/>
      <c r="X1074" s="3" t="s">
        <v>1562</v>
      </c>
      <c r="Y1074" s="3" t="s">
        <v>399</v>
      </c>
    </row>
    <row r="1075" spans="1:25" ht="15" customHeight="1" x14ac:dyDescent="0.3">
      <c r="A1075" s="5">
        <v>45919</v>
      </c>
      <c r="B1075" s="25">
        <v>28</v>
      </c>
      <c r="C1075" s="3" t="s">
        <v>38</v>
      </c>
      <c r="D1075" s="3" t="s">
        <v>355</v>
      </c>
      <c r="E1075" s="3">
        <v>2</v>
      </c>
      <c r="F1075" s="3">
        <v>135</v>
      </c>
      <c r="G1075" s="6" t="s">
        <v>21</v>
      </c>
      <c r="H1075" s="3" t="s">
        <v>1508</v>
      </c>
      <c r="I1075" s="6" t="s">
        <v>1024</v>
      </c>
      <c r="J1075" s="3">
        <v>2</v>
      </c>
      <c r="K1075" s="3">
        <v>2</v>
      </c>
      <c r="L1075" s="3">
        <v>19.899999999999999</v>
      </c>
      <c r="M1075" s="3">
        <v>3.8</v>
      </c>
      <c r="N1075" s="3">
        <v>10</v>
      </c>
      <c r="O1075" s="3">
        <v>5</v>
      </c>
      <c r="P1075" s="3"/>
      <c r="Q1075" s="3">
        <v>180</v>
      </c>
      <c r="R1075" s="3"/>
      <c r="S1075" s="3"/>
      <c r="T1075" s="3"/>
      <c r="U1075" s="3"/>
      <c r="V1075" s="3"/>
      <c r="W1075" s="3"/>
      <c r="X1075" s="3" t="s">
        <v>142</v>
      </c>
      <c r="Y1075" s="3" t="s">
        <v>1537</v>
      </c>
    </row>
    <row r="1076" spans="1:25" ht="15" customHeight="1" x14ac:dyDescent="0.3">
      <c r="A1076" s="5">
        <v>45919</v>
      </c>
      <c r="B1076" s="25">
        <v>28</v>
      </c>
      <c r="C1076" s="3" t="s">
        <v>38</v>
      </c>
      <c r="D1076" s="3" t="s">
        <v>355</v>
      </c>
      <c r="E1076" s="3">
        <v>2</v>
      </c>
      <c r="F1076" s="3">
        <v>206</v>
      </c>
      <c r="G1076" s="6" t="s">
        <v>1512</v>
      </c>
      <c r="H1076" s="3" t="s">
        <v>1513</v>
      </c>
      <c r="I1076" s="6" t="s">
        <v>111</v>
      </c>
      <c r="J1076" s="3">
        <v>4</v>
      </c>
      <c r="K1076" s="3">
        <v>4</v>
      </c>
      <c r="L1076" s="3">
        <v>20.100000000000001</v>
      </c>
      <c r="M1076" s="3">
        <v>6</v>
      </c>
      <c r="N1076" s="3">
        <v>3</v>
      </c>
      <c r="O1076" s="3"/>
      <c r="P1076" s="3"/>
      <c r="Q1076" s="3"/>
      <c r="R1076" s="3" t="s">
        <v>1517</v>
      </c>
      <c r="S1076" s="3" t="s">
        <v>1522</v>
      </c>
      <c r="T1076" s="3">
        <v>0.6</v>
      </c>
      <c r="U1076" s="3">
        <v>20</v>
      </c>
      <c r="V1076" s="3">
        <v>25</v>
      </c>
      <c r="W1076" s="3">
        <v>125</v>
      </c>
      <c r="X1076" s="3" t="s">
        <v>1563</v>
      </c>
      <c r="Y1076" s="3" t="s">
        <v>1593</v>
      </c>
    </row>
    <row r="1077" spans="1:25" ht="15" customHeight="1" x14ac:dyDescent="0.3">
      <c r="A1077" s="5">
        <v>45919</v>
      </c>
      <c r="B1077" s="25">
        <v>28</v>
      </c>
      <c r="C1077" s="3" t="s">
        <v>38</v>
      </c>
      <c r="D1077" s="3" t="s">
        <v>355</v>
      </c>
      <c r="E1077" s="3">
        <v>2</v>
      </c>
      <c r="F1077" s="3">
        <v>204</v>
      </c>
      <c r="G1077" s="6" t="s">
        <v>1511</v>
      </c>
      <c r="H1077" s="3">
        <v>18812</v>
      </c>
      <c r="I1077" s="6" t="s">
        <v>111</v>
      </c>
      <c r="J1077" s="3">
        <v>4</v>
      </c>
      <c r="K1077" s="3">
        <v>4</v>
      </c>
      <c r="L1077" s="3">
        <v>31.6</v>
      </c>
      <c r="M1077" s="3">
        <v>20</v>
      </c>
      <c r="N1077" s="3">
        <v>2.8</v>
      </c>
      <c r="O1077" s="3"/>
      <c r="P1077" s="3"/>
      <c r="Q1077" s="3"/>
      <c r="R1077" s="3" t="s">
        <v>523</v>
      </c>
      <c r="S1077" s="3" t="s">
        <v>1521</v>
      </c>
      <c r="T1077" s="3">
        <v>1</v>
      </c>
      <c r="U1077" s="3">
        <v>25</v>
      </c>
      <c r="V1077" s="3">
        <v>30</v>
      </c>
      <c r="W1077" s="3">
        <v>100</v>
      </c>
      <c r="X1077" s="3" t="s">
        <v>1588</v>
      </c>
      <c r="Y1077" s="3"/>
    </row>
    <row r="1078" spans="1:25" ht="15" customHeight="1" x14ac:dyDescent="0.3">
      <c r="A1078" s="5">
        <v>45919</v>
      </c>
      <c r="B1078" s="25">
        <v>28</v>
      </c>
      <c r="C1078" s="3" t="s">
        <v>38</v>
      </c>
      <c r="D1078" s="3" t="s">
        <v>355</v>
      </c>
      <c r="E1078" s="3">
        <v>2</v>
      </c>
      <c r="F1078" s="3">
        <v>205</v>
      </c>
      <c r="G1078" s="6" t="s">
        <v>1548</v>
      </c>
      <c r="H1078" s="3">
        <v>18857</v>
      </c>
      <c r="I1078" s="6" t="s">
        <v>111</v>
      </c>
      <c r="J1078" s="3">
        <v>12</v>
      </c>
      <c r="K1078" s="23">
        <v>10</v>
      </c>
      <c r="L1078" s="3">
        <v>24</v>
      </c>
      <c r="M1078" s="3">
        <v>10</v>
      </c>
      <c r="N1078" s="3">
        <v>3</v>
      </c>
      <c r="O1078" s="3"/>
      <c r="P1078" s="3"/>
      <c r="Q1078" s="3"/>
      <c r="R1078" s="3" t="s">
        <v>1551</v>
      </c>
      <c r="S1078" s="3" t="s">
        <v>1555</v>
      </c>
      <c r="T1078" s="3">
        <v>1</v>
      </c>
      <c r="U1078" s="3">
        <v>20</v>
      </c>
      <c r="V1078" s="3">
        <v>25</v>
      </c>
      <c r="W1078" s="3">
        <v>90</v>
      </c>
      <c r="X1078" s="3" t="s">
        <v>683</v>
      </c>
      <c r="Y1078" s="3"/>
    </row>
    <row r="1079" spans="1:25" ht="15" customHeight="1" x14ac:dyDescent="0.3">
      <c r="A1079" s="5">
        <v>45919</v>
      </c>
      <c r="B1079" s="25">
        <v>28</v>
      </c>
      <c r="C1079" s="3" t="s">
        <v>38</v>
      </c>
      <c r="D1079" s="3" t="s">
        <v>355</v>
      </c>
      <c r="E1079" s="3">
        <v>2</v>
      </c>
      <c r="F1079" s="3">
        <v>201</v>
      </c>
      <c r="G1079" s="6" t="s">
        <v>1509</v>
      </c>
      <c r="H1079" s="3" t="s">
        <v>1510</v>
      </c>
      <c r="I1079" s="6" t="s">
        <v>110</v>
      </c>
      <c r="J1079" s="3">
        <v>24</v>
      </c>
      <c r="K1079" s="23">
        <v>16</v>
      </c>
      <c r="L1079" s="3">
        <v>30.3</v>
      </c>
      <c r="M1079" s="3">
        <v>19</v>
      </c>
      <c r="N1079" s="3">
        <v>3</v>
      </c>
      <c r="O1079" s="3"/>
      <c r="P1079" s="3"/>
      <c r="Q1079" s="3"/>
      <c r="R1079" s="3" t="s">
        <v>1049</v>
      </c>
      <c r="S1079" s="3" t="s">
        <v>244</v>
      </c>
      <c r="T1079" s="3">
        <v>0.5</v>
      </c>
      <c r="U1079" s="3">
        <v>15</v>
      </c>
      <c r="V1079" s="3">
        <v>25</v>
      </c>
      <c r="W1079" s="3">
        <v>120</v>
      </c>
      <c r="X1079" s="3" t="s">
        <v>1528</v>
      </c>
      <c r="Y1079" s="3"/>
    </row>
    <row r="1080" spans="1:25" ht="15" customHeight="1" x14ac:dyDescent="0.3">
      <c r="A1080" s="5">
        <v>45919</v>
      </c>
      <c r="B1080" s="25">
        <v>28</v>
      </c>
      <c r="C1080" s="3" t="s">
        <v>38</v>
      </c>
      <c r="D1080" s="3" t="s">
        <v>355</v>
      </c>
      <c r="E1080" s="3">
        <v>2</v>
      </c>
      <c r="F1080" s="3">
        <v>207</v>
      </c>
      <c r="G1080" s="6" t="s">
        <v>476</v>
      </c>
      <c r="H1080" s="3">
        <v>18834</v>
      </c>
      <c r="I1080" s="6" t="s">
        <v>111</v>
      </c>
      <c r="J1080" s="3">
        <v>12</v>
      </c>
      <c r="K1080" s="23">
        <v>9</v>
      </c>
      <c r="L1080" s="3">
        <v>35.200000000000003</v>
      </c>
      <c r="M1080" s="3">
        <v>16</v>
      </c>
      <c r="N1080" s="3">
        <v>3</v>
      </c>
      <c r="O1080" s="3"/>
      <c r="P1080" s="3"/>
      <c r="Q1080" s="3"/>
      <c r="R1080" s="3" t="s">
        <v>637</v>
      </c>
      <c r="S1080" s="3" t="s">
        <v>75</v>
      </c>
      <c r="T1080" s="3">
        <v>2.5</v>
      </c>
      <c r="U1080" s="3">
        <v>15</v>
      </c>
      <c r="V1080" s="3">
        <v>20</v>
      </c>
      <c r="W1080" s="3">
        <v>140</v>
      </c>
      <c r="X1080" s="3" t="s">
        <v>1589</v>
      </c>
      <c r="Y1080" s="3" t="s">
        <v>1594</v>
      </c>
    </row>
    <row r="1081" spans="1:25" ht="15" customHeight="1" x14ac:dyDescent="0.3">
      <c r="A1081" s="5">
        <v>45919</v>
      </c>
      <c r="B1081" s="25">
        <v>28</v>
      </c>
      <c r="C1081" s="3" t="s">
        <v>38</v>
      </c>
      <c r="D1081" s="3" t="s">
        <v>355</v>
      </c>
      <c r="E1081" s="3">
        <v>2</v>
      </c>
      <c r="F1081" s="3">
        <v>208</v>
      </c>
      <c r="G1081" s="6" t="s">
        <v>593</v>
      </c>
      <c r="H1081" s="3">
        <v>18842</v>
      </c>
      <c r="I1081" s="6" t="s">
        <v>110</v>
      </c>
      <c r="J1081" s="3">
        <v>4</v>
      </c>
      <c r="K1081" s="23">
        <v>2</v>
      </c>
      <c r="L1081" s="3">
        <v>23.65</v>
      </c>
      <c r="M1081" s="3">
        <v>8</v>
      </c>
      <c r="N1081" s="3">
        <v>5.5</v>
      </c>
      <c r="O1081" s="3"/>
      <c r="P1081" s="3"/>
      <c r="Q1081" s="3"/>
      <c r="R1081" s="3" t="s">
        <v>1582</v>
      </c>
      <c r="S1081" s="3" t="s">
        <v>318</v>
      </c>
      <c r="T1081" s="3">
        <v>2.5</v>
      </c>
      <c r="U1081" s="3">
        <v>25</v>
      </c>
      <c r="V1081" s="3">
        <v>30</v>
      </c>
      <c r="W1081" s="3">
        <v>140</v>
      </c>
      <c r="X1081" s="3" t="s">
        <v>1590</v>
      </c>
      <c r="Y1081" s="3" t="s">
        <v>1595</v>
      </c>
    </row>
    <row r="1082" spans="1:25" ht="15" customHeight="1" x14ac:dyDescent="0.3">
      <c r="A1082" s="5">
        <v>45919</v>
      </c>
      <c r="B1082" s="25">
        <v>28</v>
      </c>
      <c r="C1082" s="3" t="s">
        <v>38</v>
      </c>
      <c r="D1082" s="3" t="s">
        <v>355</v>
      </c>
      <c r="E1082" s="3">
        <v>2</v>
      </c>
      <c r="F1082" s="3">
        <v>209</v>
      </c>
      <c r="G1082" s="6" t="s">
        <v>996</v>
      </c>
      <c r="H1082" s="3" t="s">
        <v>1484</v>
      </c>
      <c r="I1082" s="6" t="s">
        <v>111</v>
      </c>
      <c r="J1082" s="3">
        <v>4</v>
      </c>
      <c r="K1082" s="23">
        <v>3</v>
      </c>
      <c r="L1082" s="3">
        <v>27</v>
      </c>
      <c r="M1082" s="3">
        <v>13</v>
      </c>
      <c r="N1082" s="3">
        <v>3</v>
      </c>
      <c r="O1082" s="3"/>
      <c r="P1082" s="3"/>
      <c r="Q1082" s="3"/>
      <c r="R1082" s="3" t="s">
        <v>1583</v>
      </c>
      <c r="S1082" s="3" t="s">
        <v>1584</v>
      </c>
      <c r="T1082" s="3">
        <v>2.5</v>
      </c>
      <c r="U1082" s="3">
        <v>25</v>
      </c>
      <c r="V1082" s="3">
        <v>30</v>
      </c>
      <c r="W1082" s="3">
        <v>168</v>
      </c>
      <c r="X1082" s="3" t="s">
        <v>1565</v>
      </c>
      <c r="Y1082" s="3" t="s">
        <v>1596</v>
      </c>
    </row>
    <row r="1083" spans="1:25" ht="15" customHeight="1" x14ac:dyDescent="0.3">
      <c r="A1083" s="5">
        <v>45919</v>
      </c>
      <c r="B1083" s="25">
        <v>28</v>
      </c>
      <c r="C1083" s="3" t="s">
        <v>38</v>
      </c>
      <c r="D1083" s="3" t="s">
        <v>355</v>
      </c>
      <c r="E1083" s="3">
        <v>2</v>
      </c>
      <c r="F1083" s="3">
        <v>210</v>
      </c>
      <c r="G1083" s="6" t="s">
        <v>967</v>
      </c>
      <c r="H1083" s="3" t="s">
        <v>1514</v>
      </c>
      <c r="I1083" s="6" t="s">
        <v>111</v>
      </c>
      <c r="J1083" s="3">
        <v>4</v>
      </c>
      <c r="K1083" s="3">
        <v>4</v>
      </c>
      <c r="L1083" s="3">
        <v>19.7</v>
      </c>
      <c r="M1083" s="3">
        <v>6</v>
      </c>
      <c r="N1083" s="3">
        <v>4</v>
      </c>
      <c r="O1083" s="3"/>
      <c r="P1083" s="3"/>
      <c r="Q1083" s="3"/>
      <c r="R1083" s="3" t="s">
        <v>1519</v>
      </c>
      <c r="S1083" s="3" t="s">
        <v>917</v>
      </c>
      <c r="T1083" s="3">
        <v>1</v>
      </c>
      <c r="U1083" s="3">
        <v>20</v>
      </c>
      <c r="V1083" s="3">
        <v>30</v>
      </c>
      <c r="W1083" s="3">
        <v>101</v>
      </c>
      <c r="X1083" s="3" t="s">
        <v>1533</v>
      </c>
      <c r="Y1083" s="3" t="s">
        <v>1597</v>
      </c>
    </row>
    <row r="1084" spans="1:25" ht="15" customHeight="1" x14ac:dyDescent="0.3">
      <c r="A1084" s="5">
        <v>45919</v>
      </c>
      <c r="B1084" s="25">
        <v>28</v>
      </c>
      <c r="C1084" s="3" t="s">
        <v>38</v>
      </c>
      <c r="D1084" s="3" t="s">
        <v>355</v>
      </c>
      <c r="E1084" s="3">
        <v>2</v>
      </c>
      <c r="F1084" s="3">
        <v>301</v>
      </c>
      <c r="G1084" s="6" t="s">
        <v>30</v>
      </c>
      <c r="H1084" s="3" t="s">
        <v>194</v>
      </c>
      <c r="I1084" s="6" t="s">
        <v>793</v>
      </c>
      <c r="J1084" s="3">
        <v>8</v>
      </c>
      <c r="K1084" s="23">
        <v>5</v>
      </c>
      <c r="L1084" s="3">
        <v>26.1</v>
      </c>
      <c r="M1084" s="3">
        <v>8</v>
      </c>
      <c r="N1084" s="3">
        <v>5.5</v>
      </c>
      <c r="O1084" s="3"/>
      <c r="P1084" s="3"/>
      <c r="Q1084" s="3">
        <v>148</v>
      </c>
      <c r="R1084" s="3" t="s">
        <v>523</v>
      </c>
      <c r="S1084" s="3" t="s">
        <v>1557</v>
      </c>
      <c r="T1084" s="3">
        <v>1.5</v>
      </c>
      <c r="U1084" s="3">
        <v>25</v>
      </c>
      <c r="V1084" s="3">
        <v>35</v>
      </c>
      <c r="W1084" s="3">
        <v>130</v>
      </c>
      <c r="X1084" s="3" t="s">
        <v>1566</v>
      </c>
      <c r="Y1084" s="3" t="s">
        <v>1598</v>
      </c>
    </row>
    <row r="1085" spans="1:25" ht="15" customHeight="1" x14ac:dyDescent="0.3">
      <c r="A1085" s="5">
        <v>45919</v>
      </c>
      <c r="B1085" s="25">
        <v>28</v>
      </c>
      <c r="C1085" s="3" t="s">
        <v>38</v>
      </c>
      <c r="D1085" s="3" t="s">
        <v>355</v>
      </c>
      <c r="E1085" s="3">
        <v>2</v>
      </c>
      <c r="F1085" s="3">
        <v>302</v>
      </c>
      <c r="G1085" s="6" t="s">
        <v>31</v>
      </c>
      <c r="H1085" s="3" t="s">
        <v>195</v>
      </c>
      <c r="I1085" s="6" t="s">
        <v>793</v>
      </c>
      <c r="J1085" s="3">
        <v>12</v>
      </c>
      <c r="K1085" s="23">
        <v>11</v>
      </c>
      <c r="L1085" s="3">
        <v>52.98</v>
      </c>
      <c r="M1085" s="3">
        <v>16</v>
      </c>
      <c r="N1085" s="3">
        <v>18</v>
      </c>
      <c r="O1085" s="3"/>
      <c r="P1085" s="3"/>
      <c r="Q1085" s="3">
        <v>160</v>
      </c>
      <c r="R1085" s="3" t="s">
        <v>1554</v>
      </c>
      <c r="S1085" s="3" t="s">
        <v>895</v>
      </c>
      <c r="T1085" s="3">
        <v>3</v>
      </c>
      <c r="U1085" s="3">
        <v>40</v>
      </c>
      <c r="V1085" s="3">
        <v>40</v>
      </c>
      <c r="W1085" s="3">
        <v>150</v>
      </c>
      <c r="X1085" s="3" t="s">
        <v>1534</v>
      </c>
      <c r="Y1085" s="6" t="s">
        <v>1575</v>
      </c>
    </row>
    <row r="1086" spans="1:25" ht="15" customHeight="1" x14ac:dyDescent="0.3">
      <c r="A1086" s="5">
        <v>45919</v>
      </c>
      <c r="B1086" s="25">
        <v>28</v>
      </c>
      <c r="C1086" s="3" t="s">
        <v>38</v>
      </c>
      <c r="D1086" s="3" t="s">
        <v>355</v>
      </c>
      <c r="E1086" s="3">
        <v>2</v>
      </c>
      <c r="F1086" s="3">
        <v>303</v>
      </c>
      <c r="G1086" s="6" t="s">
        <v>32</v>
      </c>
      <c r="H1086" s="3" t="s">
        <v>238</v>
      </c>
      <c r="I1086" s="6" t="s">
        <v>793</v>
      </c>
      <c r="J1086" s="3">
        <v>12</v>
      </c>
      <c r="K1086" s="23">
        <v>8</v>
      </c>
      <c r="L1086" s="3">
        <v>37.5</v>
      </c>
      <c r="M1086" s="3">
        <v>15</v>
      </c>
      <c r="N1086" s="3">
        <v>6</v>
      </c>
      <c r="O1086" s="3"/>
      <c r="P1086" s="3"/>
      <c r="Q1086" s="3">
        <v>165</v>
      </c>
      <c r="R1086" s="3" t="s">
        <v>851</v>
      </c>
      <c r="S1086" s="3" t="s">
        <v>1585</v>
      </c>
      <c r="T1086" s="3">
        <v>3</v>
      </c>
      <c r="U1086" s="3">
        <v>30</v>
      </c>
      <c r="V1086" s="3">
        <v>50</v>
      </c>
      <c r="W1086" s="3">
        <v>135</v>
      </c>
      <c r="X1086" s="3" t="s">
        <v>1591</v>
      </c>
      <c r="Y1086" s="6" t="s">
        <v>1599</v>
      </c>
    </row>
    <row r="1087" spans="1:25" ht="15" customHeight="1" x14ac:dyDescent="0.3">
      <c r="A1087" s="27">
        <v>45920</v>
      </c>
      <c r="B1087" s="25">
        <v>28</v>
      </c>
      <c r="C1087" s="3" t="s">
        <v>38</v>
      </c>
      <c r="D1087" s="3" t="s">
        <v>355</v>
      </c>
      <c r="E1087" s="3">
        <v>2</v>
      </c>
      <c r="F1087" s="3">
        <v>102</v>
      </c>
      <c r="G1087" s="6" t="s">
        <v>834</v>
      </c>
      <c r="H1087" s="3" t="s">
        <v>1600</v>
      </c>
      <c r="I1087" s="6" t="s">
        <v>793</v>
      </c>
      <c r="J1087" s="3">
        <v>6</v>
      </c>
      <c r="K1087" s="3">
        <v>6</v>
      </c>
      <c r="L1087" s="3">
        <v>15.3</v>
      </c>
      <c r="M1087" s="3">
        <v>5.3</v>
      </c>
      <c r="N1087" s="3">
        <v>5.5</v>
      </c>
      <c r="O1087" s="3">
        <v>5</v>
      </c>
      <c r="P1087" s="3">
        <v>31</v>
      </c>
      <c r="Q1087" s="3">
        <v>170</v>
      </c>
      <c r="R1087" s="3"/>
      <c r="S1087" s="3"/>
      <c r="T1087" s="3"/>
      <c r="U1087" s="3"/>
      <c r="V1087" s="3"/>
      <c r="W1087" s="3"/>
      <c r="X1087" s="3" t="s">
        <v>496</v>
      </c>
      <c r="Y1087" s="3" t="s">
        <v>84</v>
      </c>
    </row>
    <row r="1088" spans="1:25" ht="15" customHeight="1" x14ac:dyDescent="0.3">
      <c r="A1088" s="27">
        <v>45920</v>
      </c>
      <c r="B1088" s="25">
        <v>28</v>
      </c>
      <c r="C1088" s="3" t="s">
        <v>38</v>
      </c>
      <c r="D1088" s="3" t="s">
        <v>355</v>
      </c>
      <c r="E1088" s="3">
        <v>2</v>
      </c>
      <c r="F1088" s="3">
        <v>103</v>
      </c>
      <c r="G1088" s="6" t="s">
        <v>163</v>
      </c>
      <c r="H1088" s="3" t="s">
        <v>1578</v>
      </c>
      <c r="I1088" s="6" t="s">
        <v>793</v>
      </c>
      <c r="J1088" s="3">
        <v>5</v>
      </c>
      <c r="K1088" s="3">
        <v>5</v>
      </c>
      <c r="L1088" s="3">
        <v>14.48</v>
      </c>
      <c r="M1088" s="3">
        <v>3.6</v>
      </c>
      <c r="N1088" s="3">
        <v>6.3</v>
      </c>
      <c r="O1088" s="3">
        <v>6.7</v>
      </c>
      <c r="P1088" s="3">
        <v>40</v>
      </c>
      <c r="Q1088" s="3">
        <v>170</v>
      </c>
      <c r="R1088" s="3"/>
      <c r="S1088" s="3"/>
      <c r="T1088" s="3"/>
      <c r="U1088" s="3"/>
      <c r="V1088" s="3"/>
      <c r="W1088" s="3"/>
      <c r="X1088" s="3" t="s">
        <v>251</v>
      </c>
      <c r="Y1088" s="3" t="s">
        <v>254</v>
      </c>
    </row>
    <row r="1089" spans="1:25" ht="15" customHeight="1" x14ac:dyDescent="0.3">
      <c r="A1089" s="27">
        <v>45920</v>
      </c>
      <c r="B1089" s="25">
        <v>28</v>
      </c>
      <c r="C1089" s="3" t="s">
        <v>38</v>
      </c>
      <c r="D1089" s="3" t="s">
        <v>355</v>
      </c>
      <c r="E1089" s="3">
        <v>2</v>
      </c>
      <c r="F1089" s="3">
        <v>104</v>
      </c>
      <c r="G1089" s="6" t="s">
        <v>1465</v>
      </c>
      <c r="H1089" s="3" t="s">
        <v>1466</v>
      </c>
      <c r="I1089" s="6" t="s">
        <v>793</v>
      </c>
      <c r="J1089" s="3">
        <v>9</v>
      </c>
      <c r="K1089" s="3">
        <v>9</v>
      </c>
      <c r="L1089" s="3">
        <v>14.89</v>
      </c>
      <c r="M1089" s="3">
        <v>2.5</v>
      </c>
      <c r="N1089" s="3">
        <v>5.5</v>
      </c>
      <c r="O1089" s="3">
        <v>5</v>
      </c>
      <c r="P1089" s="3"/>
      <c r="Q1089" s="3">
        <v>170</v>
      </c>
      <c r="R1089" s="3"/>
      <c r="S1089" s="3"/>
      <c r="T1089" s="3"/>
      <c r="U1089" s="3"/>
      <c r="V1089" s="3"/>
      <c r="W1089" s="3"/>
      <c r="X1089" s="3" t="s">
        <v>644</v>
      </c>
      <c r="Y1089" s="3" t="s">
        <v>84</v>
      </c>
    </row>
    <row r="1090" spans="1:25" ht="15" customHeight="1" x14ac:dyDescent="0.3">
      <c r="A1090" s="27">
        <v>45920</v>
      </c>
      <c r="B1090" s="25">
        <v>28</v>
      </c>
      <c r="C1090" s="3" t="s">
        <v>38</v>
      </c>
      <c r="D1090" s="3" t="s">
        <v>355</v>
      </c>
      <c r="E1090" s="3">
        <v>2</v>
      </c>
      <c r="F1090" s="3">
        <v>172</v>
      </c>
      <c r="G1090" s="6" t="s">
        <v>472</v>
      </c>
      <c r="H1090" s="3" t="s">
        <v>1457</v>
      </c>
      <c r="I1090" s="6" t="s">
        <v>1024</v>
      </c>
      <c r="J1090" s="3">
        <v>4</v>
      </c>
      <c r="K1090" s="3">
        <v>4</v>
      </c>
      <c r="L1090" s="3">
        <v>17.86</v>
      </c>
      <c r="M1090" s="3">
        <v>2</v>
      </c>
      <c r="N1090" s="3">
        <v>11.5</v>
      </c>
      <c r="O1090" s="3">
        <v>9</v>
      </c>
      <c r="P1090" s="3" t="s">
        <v>1460</v>
      </c>
      <c r="Q1090" s="3">
        <v>170</v>
      </c>
      <c r="R1090" s="3"/>
      <c r="S1090" s="3"/>
      <c r="T1090" s="3"/>
      <c r="U1090" s="3"/>
      <c r="V1090" s="3"/>
      <c r="W1090" s="3"/>
      <c r="X1090" s="3" t="s">
        <v>79</v>
      </c>
      <c r="Y1090" s="3" t="s">
        <v>80</v>
      </c>
    </row>
    <row r="1091" spans="1:25" ht="15" customHeight="1" x14ac:dyDescent="0.3">
      <c r="A1091" s="27">
        <v>45920</v>
      </c>
      <c r="B1091" s="25">
        <v>28</v>
      </c>
      <c r="C1091" s="3" t="s">
        <v>38</v>
      </c>
      <c r="D1091" s="3" t="s">
        <v>355</v>
      </c>
      <c r="E1091" s="3">
        <v>2</v>
      </c>
      <c r="F1091" s="3">
        <v>173</v>
      </c>
      <c r="G1091" s="6" t="s">
        <v>883</v>
      </c>
      <c r="H1091" s="3" t="s">
        <v>1366</v>
      </c>
      <c r="I1091" s="6" t="s">
        <v>1024</v>
      </c>
      <c r="J1091" s="3">
        <v>5</v>
      </c>
      <c r="K1091" s="3">
        <v>5</v>
      </c>
      <c r="L1091" s="3">
        <v>17.39</v>
      </c>
      <c r="M1091" s="3">
        <v>1.75</v>
      </c>
      <c r="N1091" s="3">
        <v>10.5</v>
      </c>
      <c r="O1091" s="3">
        <v>7</v>
      </c>
      <c r="P1091" s="3" t="s">
        <v>1516</v>
      </c>
      <c r="Q1091" s="3">
        <v>170</v>
      </c>
      <c r="R1091" s="3"/>
      <c r="S1091" s="3"/>
      <c r="T1091" s="3"/>
      <c r="U1091" s="3"/>
      <c r="V1091" s="3"/>
      <c r="W1091" s="3"/>
      <c r="X1091" s="3" t="s">
        <v>288</v>
      </c>
      <c r="Y1091" s="3" t="s">
        <v>87</v>
      </c>
    </row>
    <row r="1092" spans="1:25" ht="15" customHeight="1" x14ac:dyDescent="0.3">
      <c r="A1092" s="27">
        <v>45920</v>
      </c>
      <c r="B1092" s="25">
        <v>28</v>
      </c>
      <c r="C1092" s="3" t="s">
        <v>38</v>
      </c>
      <c r="D1092" s="3" t="s">
        <v>355</v>
      </c>
      <c r="E1092" s="3">
        <v>2</v>
      </c>
      <c r="F1092" s="3">
        <v>182</v>
      </c>
      <c r="G1092" s="6" t="s">
        <v>713</v>
      </c>
      <c r="H1092" s="3" t="s">
        <v>1544</v>
      </c>
      <c r="I1092" s="6" t="s">
        <v>1024</v>
      </c>
      <c r="J1092" s="3">
        <v>4</v>
      </c>
      <c r="K1092" s="3">
        <v>4</v>
      </c>
      <c r="L1092" s="3">
        <v>14.27</v>
      </c>
      <c r="M1092" s="3">
        <v>3.85</v>
      </c>
      <c r="N1092" s="3">
        <v>6</v>
      </c>
      <c r="O1092" s="3">
        <v>3</v>
      </c>
      <c r="P1092" s="3">
        <v>35</v>
      </c>
      <c r="Q1092" s="3">
        <v>175</v>
      </c>
      <c r="R1092" s="3"/>
      <c r="S1092" s="3"/>
      <c r="T1092" s="3"/>
      <c r="U1092" s="3"/>
      <c r="V1092" s="3"/>
      <c r="W1092" s="3"/>
      <c r="X1092" s="3" t="s">
        <v>388</v>
      </c>
      <c r="Y1092" s="3" t="s">
        <v>396</v>
      </c>
    </row>
    <row r="1093" spans="1:25" ht="15" customHeight="1" x14ac:dyDescent="0.3">
      <c r="A1093" s="27">
        <v>45920</v>
      </c>
      <c r="B1093" s="25">
        <v>28</v>
      </c>
      <c r="C1093" s="3" t="s">
        <v>38</v>
      </c>
      <c r="D1093" s="3" t="s">
        <v>355</v>
      </c>
      <c r="E1093" s="3">
        <v>2</v>
      </c>
      <c r="F1093" s="3">
        <v>401</v>
      </c>
      <c r="G1093" s="6" t="s">
        <v>1504</v>
      </c>
      <c r="H1093" s="3" t="s">
        <v>1505</v>
      </c>
      <c r="I1093" s="6" t="s">
        <v>1024</v>
      </c>
      <c r="J1093" s="3">
        <v>1</v>
      </c>
      <c r="K1093" s="3">
        <v>1</v>
      </c>
      <c r="L1093" s="3">
        <v>10.8</v>
      </c>
      <c r="M1093" s="3"/>
      <c r="N1093" s="3"/>
      <c r="O1093" s="3">
        <v>3</v>
      </c>
      <c r="P1093" s="3"/>
      <c r="Q1093" s="3"/>
      <c r="R1093" s="3"/>
      <c r="S1093" s="3"/>
      <c r="T1093" s="3"/>
      <c r="U1093" s="3"/>
      <c r="V1093" s="3"/>
      <c r="W1093" s="3"/>
      <c r="X1093" s="3" t="s">
        <v>1586</v>
      </c>
      <c r="Y1093" s="3"/>
    </row>
    <row r="1094" spans="1:25" ht="15" customHeight="1" x14ac:dyDescent="0.3">
      <c r="A1094" s="27">
        <v>45920</v>
      </c>
      <c r="B1094" s="25">
        <v>28</v>
      </c>
      <c r="C1094" s="3" t="s">
        <v>38</v>
      </c>
      <c r="D1094" s="3" t="s">
        <v>355</v>
      </c>
      <c r="E1094" s="3">
        <v>2</v>
      </c>
      <c r="F1094" s="3">
        <v>404</v>
      </c>
      <c r="G1094" s="6" t="s">
        <v>407</v>
      </c>
      <c r="H1094" s="3" t="s">
        <v>1473</v>
      </c>
      <c r="I1094" s="6" t="s">
        <v>1024</v>
      </c>
      <c r="J1094" s="3">
        <v>2</v>
      </c>
      <c r="K1094" s="3">
        <v>2</v>
      </c>
      <c r="L1094" s="3">
        <v>7.3</v>
      </c>
      <c r="M1094" s="3"/>
      <c r="N1094" s="3"/>
      <c r="O1094" s="3">
        <v>2.5</v>
      </c>
      <c r="P1094" s="3"/>
      <c r="Q1094" s="3"/>
      <c r="R1094" s="3"/>
      <c r="S1094" s="3"/>
      <c r="T1094" s="3"/>
      <c r="U1094" s="3"/>
      <c r="V1094" s="3"/>
      <c r="W1094" s="3"/>
      <c r="X1094" s="3" t="s">
        <v>1559</v>
      </c>
      <c r="Y1094" s="3"/>
    </row>
    <row r="1095" spans="1:25" ht="15" customHeight="1" x14ac:dyDescent="0.3">
      <c r="A1095" s="27">
        <v>45920</v>
      </c>
      <c r="B1095" s="25">
        <v>28</v>
      </c>
      <c r="C1095" s="3" t="s">
        <v>38</v>
      </c>
      <c r="D1095" s="3" t="s">
        <v>355</v>
      </c>
      <c r="E1095" s="3">
        <v>2</v>
      </c>
      <c r="F1095" s="3">
        <v>405</v>
      </c>
      <c r="G1095" s="6" t="s">
        <v>14</v>
      </c>
      <c r="H1095" s="3" t="s">
        <v>1506</v>
      </c>
      <c r="I1095" s="6" t="s">
        <v>1024</v>
      </c>
      <c r="J1095" s="3">
        <v>2</v>
      </c>
      <c r="K1095" s="3">
        <v>2</v>
      </c>
      <c r="L1095" s="3">
        <v>8</v>
      </c>
      <c r="M1095" s="3"/>
      <c r="N1095" s="3"/>
      <c r="O1095" s="3">
        <v>2.5</v>
      </c>
      <c r="P1095" s="3"/>
      <c r="Q1095" s="3"/>
      <c r="R1095" s="3"/>
      <c r="S1095" s="3"/>
      <c r="T1095" s="3"/>
      <c r="U1095" s="3"/>
      <c r="V1095" s="3"/>
      <c r="W1095" s="3"/>
      <c r="X1095" s="3" t="s">
        <v>1560</v>
      </c>
      <c r="Y1095" s="3"/>
    </row>
    <row r="1096" spans="1:25" ht="15" customHeight="1" x14ac:dyDescent="0.3">
      <c r="A1096" s="27">
        <v>45920</v>
      </c>
      <c r="B1096" s="25">
        <v>28</v>
      </c>
      <c r="C1096" s="3" t="s">
        <v>38</v>
      </c>
      <c r="D1096" s="3" t="s">
        <v>355</v>
      </c>
      <c r="E1096" s="3">
        <v>2</v>
      </c>
      <c r="F1096" s="3">
        <v>162</v>
      </c>
      <c r="G1096" s="6" t="s">
        <v>1454</v>
      </c>
      <c r="H1096" s="3" t="s">
        <v>1455</v>
      </c>
      <c r="I1096" s="6" t="s">
        <v>1024</v>
      </c>
      <c r="J1096" s="3">
        <v>2</v>
      </c>
      <c r="K1096" s="3">
        <v>2</v>
      </c>
      <c r="L1096" s="3">
        <v>22.8</v>
      </c>
      <c r="M1096" s="3">
        <v>6.5</v>
      </c>
      <c r="N1096" s="3">
        <v>10</v>
      </c>
      <c r="O1096" s="3">
        <v>3.5</v>
      </c>
      <c r="P1096" s="3">
        <v>30</v>
      </c>
      <c r="Q1096" s="3">
        <v>170</v>
      </c>
      <c r="R1096" s="3"/>
      <c r="S1096" s="3"/>
      <c r="T1096" s="3"/>
      <c r="U1096" s="3"/>
      <c r="V1096" s="3"/>
      <c r="W1096" s="3"/>
      <c r="X1096" s="3" t="s">
        <v>288</v>
      </c>
      <c r="Y1096" s="3" t="s">
        <v>83</v>
      </c>
    </row>
    <row r="1097" spans="1:25" ht="15" customHeight="1" x14ac:dyDescent="0.3">
      <c r="A1097" s="27">
        <v>45920</v>
      </c>
      <c r="B1097" s="25">
        <v>28</v>
      </c>
      <c r="C1097" s="3" t="s">
        <v>38</v>
      </c>
      <c r="D1097" s="3" t="s">
        <v>355</v>
      </c>
      <c r="E1097" s="3">
        <v>2</v>
      </c>
      <c r="F1097" s="3">
        <v>177</v>
      </c>
      <c r="G1097" s="6" t="s">
        <v>985</v>
      </c>
      <c r="H1097" s="3" t="s">
        <v>1459</v>
      </c>
      <c r="I1097" s="6" t="s">
        <v>1024</v>
      </c>
      <c r="J1097" s="3">
        <v>4</v>
      </c>
      <c r="K1097" s="3">
        <v>4</v>
      </c>
      <c r="L1097" s="3">
        <v>14.87</v>
      </c>
      <c r="M1097" s="3">
        <v>0.8</v>
      </c>
      <c r="N1097" s="3">
        <v>10</v>
      </c>
      <c r="O1097" s="3">
        <v>7.5</v>
      </c>
      <c r="P1097" s="3" t="s">
        <v>1550</v>
      </c>
      <c r="Q1097" s="3"/>
      <c r="R1097" s="3"/>
      <c r="S1097" s="3"/>
      <c r="T1097" s="3"/>
      <c r="U1097" s="3"/>
      <c r="V1097" s="3"/>
      <c r="W1097" s="3"/>
      <c r="X1097" s="3" t="s">
        <v>252</v>
      </c>
      <c r="Y1097" s="3" t="s">
        <v>87</v>
      </c>
    </row>
    <row r="1098" spans="1:25" ht="15" customHeight="1" x14ac:dyDescent="0.3">
      <c r="A1098" s="27">
        <v>45920</v>
      </c>
      <c r="B1098" s="25">
        <v>28</v>
      </c>
      <c r="C1098" s="3" t="s">
        <v>38</v>
      </c>
      <c r="D1098" s="3" t="s">
        <v>355</v>
      </c>
      <c r="E1098" s="3">
        <v>2</v>
      </c>
      <c r="F1098" s="3">
        <v>131</v>
      </c>
      <c r="G1098" s="6" t="s">
        <v>1151</v>
      </c>
      <c r="H1098" s="3" t="s">
        <v>1547</v>
      </c>
      <c r="I1098" s="6" t="s">
        <v>1024</v>
      </c>
      <c r="J1098" s="3">
        <v>3</v>
      </c>
      <c r="K1098" s="3">
        <v>3</v>
      </c>
      <c r="L1098" s="3">
        <v>17.62</v>
      </c>
      <c r="M1098" s="3">
        <v>3</v>
      </c>
      <c r="N1098" s="3">
        <v>8.25</v>
      </c>
      <c r="O1098" s="3">
        <v>5</v>
      </c>
      <c r="P1098" s="3"/>
      <c r="Q1098" s="3">
        <v>180</v>
      </c>
      <c r="R1098" s="3"/>
      <c r="S1098" s="3"/>
      <c r="T1098" s="3"/>
      <c r="U1098" s="3"/>
      <c r="V1098" s="3"/>
      <c r="W1098" s="3"/>
      <c r="X1098" s="3" t="s">
        <v>1561</v>
      </c>
      <c r="Y1098" s="3" t="s">
        <v>1496</v>
      </c>
    </row>
    <row r="1099" spans="1:25" ht="15" customHeight="1" x14ac:dyDescent="0.3">
      <c r="A1099" s="27">
        <v>45920</v>
      </c>
      <c r="B1099" s="25">
        <v>28</v>
      </c>
      <c r="C1099" s="3" t="s">
        <v>38</v>
      </c>
      <c r="D1099" s="3" t="s">
        <v>355</v>
      </c>
      <c r="E1099" s="3">
        <v>2</v>
      </c>
      <c r="F1099" s="3">
        <v>134</v>
      </c>
      <c r="G1099" s="6" t="s">
        <v>1601</v>
      </c>
      <c r="H1099" s="3" t="s">
        <v>1602</v>
      </c>
      <c r="I1099" s="6" t="s">
        <v>1024</v>
      </c>
      <c r="J1099" s="3">
        <v>3</v>
      </c>
      <c r="K1099" s="3">
        <v>3</v>
      </c>
      <c r="L1099" s="3">
        <v>15.97</v>
      </c>
      <c r="M1099" s="3">
        <v>4.0999999999999996</v>
      </c>
      <c r="N1099" s="3">
        <v>5.5</v>
      </c>
      <c r="O1099" s="3">
        <v>5</v>
      </c>
      <c r="P1099" s="3"/>
      <c r="Q1099" s="3">
        <v>150</v>
      </c>
      <c r="R1099" s="3"/>
      <c r="S1099" s="3"/>
      <c r="T1099" s="3"/>
      <c r="U1099" s="3"/>
      <c r="V1099" s="3"/>
      <c r="W1099" s="3"/>
      <c r="X1099" s="3" t="s">
        <v>1562</v>
      </c>
      <c r="Y1099" s="3" t="s">
        <v>399</v>
      </c>
    </row>
    <row r="1100" spans="1:25" ht="15" customHeight="1" x14ac:dyDescent="0.3">
      <c r="A1100" s="27">
        <v>45920</v>
      </c>
      <c r="B1100" s="25">
        <v>28</v>
      </c>
      <c r="C1100" s="3" t="s">
        <v>38</v>
      </c>
      <c r="D1100" s="3" t="s">
        <v>355</v>
      </c>
      <c r="E1100" s="3">
        <v>2</v>
      </c>
      <c r="F1100" s="3">
        <v>135</v>
      </c>
      <c r="G1100" s="6" t="s">
        <v>21</v>
      </c>
      <c r="H1100" s="3" t="s">
        <v>1508</v>
      </c>
      <c r="I1100" s="6" t="s">
        <v>1024</v>
      </c>
      <c r="J1100" s="3">
        <v>2</v>
      </c>
      <c r="K1100" s="3">
        <v>2</v>
      </c>
      <c r="L1100" s="3">
        <v>19.96</v>
      </c>
      <c r="M1100" s="3">
        <v>3.8</v>
      </c>
      <c r="N1100" s="3">
        <v>10</v>
      </c>
      <c r="O1100" s="3">
        <v>5</v>
      </c>
      <c r="P1100" s="3"/>
      <c r="Q1100" s="3">
        <v>180</v>
      </c>
      <c r="R1100" s="3"/>
      <c r="S1100" s="3"/>
      <c r="T1100" s="3"/>
      <c r="U1100" s="3"/>
      <c r="V1100" s="3"/>
      <c r="W1100" s="3"/>
      <c r="X1100" s="3" t="s">
        <v>142</v>
      </c>
      <c r="Y1100" s="3" t="s">
        <v>1537</v>
      </c>
    </row>
    <row r="1101" spans="1:25" ht="15" customHeight="1" x14ac:dyDescent="0.3">
      <c r="A1101" s="27">
        <v>45920</v>
      </c>
      <c r="B1101" s="25">
        <v>28</v>
      </c>
      <c r="C1101" s="3" t="s">
        <v>38</v>
      </c>
      <c r="D1101" s="3" t="s">
        <v>355</v>
      </c>
      <c r="E1101" s="3">
        <v>2</v>
      </c>
      <c r="F1101" s="3">
        <v>201</v>
      </c>
      <c r="G1101" s="6" t="s">
        <v>1509</v>
      </c>
      <c r="H1101" s="3" t="s">
        <v>1510</v>
      </c>
      <c r="I1101" s="6" t="s">
        <v>110</v>
      </c>
      <c r="J1101" s="3">
        <v>24</v>
      </c>
      <c r="K1101" s="23">
        <v>18</v>
      </c>
      <c r="L1101" s="3">
        <v>30.2</v>
      </c>
      <c r="M1101" s="3">
        <v>19</v>
      </c>
      <c r="N1101" s="3">
        <v>3</v>
      </c>
      <c r="O1101" s="3"/>
      <c r="P1101" s="3"/>
      <c r="Q1101" s="3"/>
      <c r="R1101" s="3" t="s">
        <v>1049</v>
      </c>
      <c r="S1101" s="3" t="s">
        <v>244</v>
      </c>
      <c r="T1101" s="3">
        <v>0.5</v>
      </c>
      <c r="U1101" s="3">
        <v>15</v>
      </c>
      <c r="V1101" s="3">
        <v>25</v>
      </c>
      <c r="W1101" s="3">
        <v>120</v>
      </c>
      <c r="X1101" s="3" t="s">
        <v>1528</v>
      </c>
      <c r="Y1101" s="3"/>
    </row>
    <row r="1102" spans="1:25" ht="15" customHeight="1" x14ac:dyDescent="0.3">
      <c r="A1102" s="27">
        <v>45920</v>
      </c>
      <c r="B1102" s="25">
        <v>28</v>
      </c>
      <c r="C1102" s="3" t="s">
        <v>38</v>
      </c>
      <c r="D1102" s="3" t="s">
        <v>355</v>
      </c>
      <c r="E1102" s="3">
        <v>2</v>
      </c>
      <c r="F1102" s="3">
        <v>205</v>
      </c>
      <c r="G1102" s="6" t="s">
        <v>1548</v>
      </c>
      <c r="H1102" s="3">
        <v>18857</v>
      </c>
      <c r="I1102" s="6" t="s">
        <v>111</v>
      </c>
      <c r="J1102" s="3">
        <v>12</v>
      </c>
      <c r="K1102" s="23">
        <v>10</v>
      </c>
      <c r="L1102" s="3">
        <v>24.1</v>
      </c>
      <c r="M1102" s="3">
        <v>10</v>
      </c>
      <c r="N1102" s="3">
        <v>3</v>
      </c>
      <c r="O1102" s="3"/>
      <c r="P1102" s="3"/>
      <c r="Q1102" s="3"/>
      <c r="R1102" s="3" t="s">
        <v>1551</v>
      </c>
      <c r="S1102" s="3" t="s">
        <v>1555</v>
      </c>
      <c r="T1102" s="3">
        <v>1</v>
      </c>
      <c r="U1102" s="3">
        <v>20</v>
      </c>
      <c r="V1102" s="3">
        <v>25</v>
      </c>
      <c r="W1102" s="3">
        <v>90</v>
      </c>
      <c r="X1102" s="3" t="s">
        <v>683</v>
      </c>
      <c r="Y1102" s="3"/>
    </row>
    <row r="1103" spans="1:25" ht="15" customHeight="1" x14ac:dyDescent="0.3">
      <c r="A1103" s="27">
        <v>45920</v>
      </c>
      <c r="B1103" s="25">
        <v>28</v>
      </c>
      <c r="C1103" s="3" t="s">
        <v>38</v>
      </c>
      <c r="D1103" s="3" t="s">
        <v>355</v>
      </c>
      <c r="E1103" s="3">
        <v>2</v>
      </c>
      <c r="F1103" s="3">
        <v>206</v>
      </c>
      <c r="G1103" s="6" t="s">
        <v>1603</v>
      </c>
      <c r="H1103" s="3" t="s">
        <v>1604</v>
      </c>
      <c r="I1103" s="6" t="s">
        <v>111</v>
      </c>
      <c r="J1103" s="3">
        <v>4</v>
      </c>
      <c r="K1103" s="3">
        <v>4</v>
      </c>
      <c r="L1103" s="3">
        <v>20.100000000000001</v>
      </c>
      <c r="M1103" s="3">
        <v>6</v>
      </c>
      <c r="N1103" s="3">
        <v>3</v>
      </c>
      <c r="O1103" s="3"/>
      <c r="P1103" s="3"/>
      <c r="Q1103" s="3"/>
      <c r="R1103" s="3" t="s">
        <v>1517</v>
      </c>
      <c r="S1103" s="3" t="s">
        <v>1522</v>
      </c>
      <c r="T1103" s="3">
        <v>0.6</v>
      </c>
      <c r="U1103" s="3">
        <v>20</v>
      </c>
      <c r="V1103" s="3">
        <v>25</v>
      </c>
      <c r="W1103" s="3">
        <v>125</v>
      </c>
      <c r="X1103" s="3" t="s">
        <v>1563</v>
      </c>
      <c r="Y1103" s="3" t="s">
        <v>1593</v>
      </c>
    </row>
    <row r="1104" spans="1:25" ht="15" customHeight="1" x14ac:dyDescent="0.3">
      <c r="A1104" s="27">
        <v>45920</v>
      </c>
      <c r="B1104" s="25">
        <v>28</v>
      </c>
      <c r="C1104" s="3" t="s">
        <v>38</v>
      </c>
      <c r="D1104" s="3" t="s">
        <v>355</v>
      </c>
      <c r="E1104" s="3">
        <v>2</v>
      </c>
      <c r="F1104" s="3">
        <v>207</v>
      </c>
      <c r="G1104" s="6" t="s">
        <v>476</v>
      </c>
      <c r="H1104" s="3">
        <v>18834</v>
      </c>
      <c r="I1104" s="6" t="s">
        <v>111</v>
      </c>
      <c r="J1104" s="3">
        <v>12</v>
      </c>
      <c r="K1104" s="23">
        <v>9</v>
      </c>
      <c r="L1104" s="28">
        <v>30.69</v>
      </c>
      <c r="M1104" s="3">
        <v>16</v>
      </c>
      <c r="N1104" s="3">
        <v>3</v>
      </c>
      <c r="O1104" s="3"/>
      <c r="P1104" s="3"/>
      <c r="Q1104" s="3"/>
      <c r="R1104" s="3" t="s">
        <v>637</v>
      </c>
      <c r="S1104" s="3" t="s">
        <v>75</v>
      </c>
      <c r="T1104" s="3">
        <v>2.5</v>
      </c>
      <c r="U1104" s="3">
        <v>15</v>
      </c>
      <c r="V1104" s="3">
        <v>20</v>
      </c>
      <c r="W1104" s="3">
        <v>140</v>
      </c>
      <c r="X1104" s="3" t="s">
        <v>1589</v>
      </c>
      <c r="Y1104" s="3" t="s">
        <v>1594</v>
      </c>
    </row>
    <row r="1105" spans="1:25" ht="15" customHeight="1" x14ac:dyDescent="0.3">
      <c r="A1105" s="27">
        <v>45920</v>
      </c>
      <c r="B1105" s="25">
        <v>28</v>
      </c>
      <c r="C1105" s="3" t="s">
        <v>38</v>
      </c>
      <c r="D1105" s="3" t="s">
        <v>355</v>
      </c>
      <c r="E1105" s="3">
        <v>2</v>
      </c>
      <c r="F1105" s="3">
        <v>208</v>
      </c>
      <c r="G1105" s="6" t="s">
        <v>593</v>
      </c>
      <c r="H1105" s="3">
        <v>18842</v>
      </c>
      <c r="I1105" s="6" t="s">
        <v>110</v>
      </c>
      <c r="J1105" s="3">
        <v>4</v>
      </c>
      <c r="K1105" s="23">
        <v>2</v>
      </c>
      <c r="L1105" s="3">
        <v>23.66</v>
      </c>
      <c r="M1105" s="3">
        <v>8</v>
      </c>
      <c r="N1105" s="3">
        <v>5.5</v>
      </c>
      <c r="O1105" s="3"/>
      <c r="P1105" s="3"/>
      <c r="Q1105" s="3"/>
      <c r="R1105" s="3" t="s">
        <v>1582</v>
      </c>
      <c r="S1105" s="3" t="s">
        <v>318</v>
      </c>
      <c r="T1105" s="3">
        <v>2.5</v>
      </c>
      <c r="U1105" s="3">
        <v>25</v>
      </c>
      <c r="V1105" s="3">
        <v>30</v>
      </c>
      <c r="W1105" s="3">
        <v>140</v>
      </c>
      <c r="X1105" s="3" t="s">
        <v>1590</v>
      </c>
      <c r="Y1105" s="3" t="s">
        <v>1595</v>
      </c>
    </row>
    <row r="1106" spans="1:25" ht="15" customHeight="1" x14ac:dyDescent="0.3">
      <c r="A1106" s="27">
        <v>45920</v>
      </c>
      <c r="B1106" s="25">
        <v>28</v>
      </c>
      <c r="C1106" s="3" t="s">
        <v>38</v>
      </c>
      <c r="D1106" s="3" t="s">
        <v>355</v>
      </c>
      <c r="E1106" s="3">
        <v>2</v>
      </c>
      <c r="F1106" s="3">
        <v>209</v>
      </c>
      <c r="G1106" s="6" t="s">
        <v>996</v>
      </c>
      <c r="H1106" s="3" t="s">
        <v>1484</v>
      </c>
      <c r="I1106" s="6" t="s">
        <v>111</v>
      </c>
      <c r="J1106" s="3">
        <v>4</v>
      </c>
      <c r="K1106" s="23">
        <v>3</v>
      </c>
      <c r="L1106" s="3">
        <v>27.1</v>
      </c>
      <c r="M1106" s="3">
        <v>13</v>
      </c>
      <c r="N1106" s="3">
        <v>3</v>
      </c>
      <c r="O1106" s="3"/>
      <c r="P1106" s="3"/>
      <c r="Q1106" s="3"/>
      <c r="R1106" s="3" t="s">
        <v>1583</v>
      </c>
      <c r="S1106" s="3" t="s">
        <v>1584</v>
      </c>
      <c r="T1106" s="3">
        <v>2.5</v>
      </c>
      <c r="U1106" s="3">
        <v>25</v>
      </c>
      <c r="V1106" s="3">
        <v>30</v>
      </c>
      <c r="W1106" s="3">
        <v>168</v>
      </c>
      <c r="X1106" s="3" t="s">
        <v>1565</v>
      </c>
      <c r="Y1106" s="3" t="s">
        <v>1596</v>
      </c>
    </row>
    <row r="1107" spans="1:25" ht="15" customHeight="1" x14ac:dyDescent="0.3">
      <c r="A1107" s="27">
        <v>45920</v>
      </c>
      <c r="B1107" s="25">
        <v>28</v>
      </c>
      <c r="C1107" s="3" t="s">
        <v>38</v>
      </c>
      <c r="D1107" s="3" t="s">
        <v>545</v>
      </c>
      <c r="E1107" s="3">
        <v>2</v>
      </c>
      <c r="F1107" s="3">
        <v>210</v>
      </c>
      <c r="G1107" s="6" t="s">
        <v>999</v>
      </c>
      <c r="H1107" s="3" t="s">
        <v>1000</v>
      </c>
      <c r="I1107" s="6" t="s">
        <v>111</v>
      </c>
      <c r="J1107" s="3">
        <v>4</v>
      </c>
      <c r="K1107" s="3">
        <v>4</v>
      </c>
      <c r="L1107" s="3">
        <v>18.8</v>
      </c>
      <c r="M1107" s="3">
        <v>6</v>
      </c>
      <c r="N1107" s="3">
        <v>4</v>
      </c>
      <c r="O1107" s="3"/>
      <c r="P1107" s="3"/>
      <c r="Q1107" s="3"/>
      <c r="R1107" s="3" t="s">
        <v>1033</v>
      </c>
      <c r="S1107" s="3" t="s">
        <v>1035</v>
      </c>
      <c r="T1107" s="3">
        <v>1</v>
      </c>
      <c r="U1107" s="3">
        <v>20</v>
      </c>
      <c r="V1107" s="3">
        <v>30</v>
      </c>
      <c r="W1107" s="3">
        <v>100</v>
      </c>
      <c r="X1107" s="3" t="s">
        <v>730</v>
      </c>
      <c r="Y1107" s="3" t="s">
        <v>1043</v>
      </c>
    </row>
    <row r="1108" spans="1:25" ht="15" customHeight="1" x14ac:dyDescent="0.3">
      <c r="A1108" s="27">
        <v>45920</v>
      </c>
      <c r="B1108" s="25">
        <v>28</v>
      </c>
      <c r="C1108" s="3" t="s">
        <v>38</v>
      </c>
      <c r="D1108" s="3" t="s">
        <v>355</v>
      </c>
      <c r="E1108" s="3">
        <v>2</v>
      </c>
      <c r="F1108" s="3">
        <v>301</v>
      </c>
      <c r="G1108" s="6" t="s">
        <v>30</v>
      </c>
      <c r="H1108" s="3" t="s">
        <v>194</v>
      </c>
      <c r="I1108" s="6" t="s">
        <v>793</v>
      </c>
      <c r="J1108" s="3">
        <v>8</v>
      </c>
      <c r="K1108" s="23">
        <v>5</v>
      </c>
      <c r="L1108" s="3">
        <v>26.1</v>
      </c>
      <c r="M1108" s="3">
        <v>8</v>
      </c>
      <c r="N1108" s="3">
        <v>5.5</v>
      </c>
      <c r="O1108" s="3"/>
      <c r="P1108" s="3"/>
      <c r="Q1108" s="3">
        <v>148</v>
      </c>
      <c r="R1108" s="3" t="s">
        <v>523</v>
      </c>
      <c r="S1108" s="3" t="s">
        <v>1557</v>
      </c>
      <c r="T1108" s="3">
        <v>1.5</v>
      </c>
      <c r="U1108" s="3">
        <v>25</v>
      </c>
      <c r="V1108" s="3">
        <v>35</v>
      </c>
      <c r="W1108" s="3">
        <v>130</v>
      </c>
      <c r="X1108" s="3" t="s">
        <v>1566</v>
      </c>
      <c r="Y1108" s="3" t="s">
        <v>1598</v>
      </c>
    </row>
    <row r="1109" spans="1:25" ht="15" customHeight="1" x14ac:dyDescent="0.3">
      <c r="A1109" s="27">
        <v>45920</v>
      </c>
      <c r="B1109" s="25">
        <v>28</v>
      </c>
      <c r="C1109" s="3" t="s">
        <v>38</v>
      </c>
      <c r="D1109" s="3" t="s">
        <v>355</v>
      </c>
      <c r="E1109" s="3">
        <v>2</v>
      </c>
      <c r="F1109" s="3">
        <v>303</v>
      </c>
      <c r="G1109" s="6" t="s">
        <v>32</v>
      </c>
      <c r="H1109" s="3" t="s">
        <v>238</v>
      </c>
      <c r="I1109" s="6" t="s">
        <v>793</v>
      </c>
      <c r="J1109" s="3">
        <v>12</v>
      </c>
      <c r="K1109" s="23">
        <v>8</v>
      </c>
      <c r="L1109" s="28">
        <v>36.299999999999997</v>
      </c>
      <c r="M1109" s="3">
        <v>15</v>
      </c>
      <c r="N1109" s="3">
        <v>6</v>
      </c>
      <c r="O1109" s="3"/>
      <c r="P1109" s="3"/>
      <c r="Q1109" s="3">
        <v>165</v>
      </c>
      <c r="R1109" s="3" t="s">
        <v>851</v>
      </c>
      <c r="S1109" s="3" t="s">
        <v>1585</v>
      </c>
      <c r="T1109" s="3">
        <v>3</v>
      </c>
      <c r="U1109" s="3">
        <v>30</v>
      </c>
      <c r="V1109" s="3">
        <v>50</v>
      </c>
      <c r="W1109" s="3">
        <v>135</v>
      </c>
      <c r="X1109" s="3" t="s">
        <v>1591</v>
      </c>
      <c r="Y1109" s="6" t="s">
        <v>1599</v>
      </c>
    </row>
    <row r="1110" spans="1:25" ht="15" customHeight="1" x14ac:dyDescent="0.3">
      <c r="A1110" s="5">
        <v>45922</v>
      </c>
      <c r="B1110" s="25">
        <v>28</v>
      </c>
      <c r="C1110" s="3" t="s">
        <v>38</v>
      </c>
      <c r="D1110" s="3" t="s">
        <v>545</v>
      </c>
      <c r="E1110" s="3">
        <v>2</v>
      </c>
      <c r="F1110" s="3">
        <v>102</v>
      </c>
      <c r="G1110" s="6" t="s">
        <v>834</v>
      </c>
      <c r="H1110" s="3" t="s">
        <v>1600</v>
      </c>
      <c r="I1110" s="6" t="s">
        <v>793</v>
      </c>
      <c r="J1110" s="3">
        <v>6</v>
      </c>
      <c r="K1110" s="3">
        <v>6</v>
      </c>
      <c r="L1110" s="3">
        <v>15.13</v>
      </c>
      <c r="M1110" s="3">
        <v>5</v>
      </c>
      <c r="N1110" s="3">
        <v>5.3</v>
      </c>
      <c r="O1110" s="3">
        <v>5</v>
      </c>
      <c r="P1110" s="3"/>
      <c r="Q1110" s="3">
        <v>170</v>
      </c>
      <c r="R1110" s="3"/>
      <c r="S1110" s="3"/>
      <c r="T1110" s="3"/>
      <c r="U1110" s="3"/>
      <c r="V1110" s="3"/>
      <c r="W1110" s="3"/>
      <c r="X1110" s="3" t="s">
        <v>1610</v>
      </c>
      <c r="Y1110" s="3" t="s">
        <v>84</v>
      </c>
    </row>
    <row r="1111" spans="1:25" ht="15" customHeight="1" x14ac:dyDescent="0.3">
      <c r="A1111" s="5">
        <v>45922</v>
      </c>
      <c r="B1111" s="25">
        <v>28</v>
      </c>
      <c r="C1111" s="3" t="s">
        <v>38</v>
      </c>
      <c r="D1111" s="3" t="s">
        <v>545</v>
      </c>
      <c r="E1111" s="3">
        <v>2</v>
      </c>
      <c r="F1111" s="3">
        <v>103</v>
      </c>
      <c r="G1111" s="6" t="s">
        <v>163</v>
      </c>
      <c r="H1111" s="3" t="s">
        <v>1578</v>
      </c>
      <c r="I1111" s="6" t="s">
        <v>793</v>
      </c>
      <c r="J1111" s="3">
        <v>5</v>
      </c>
      <c r="K1111" s="3">
        <v>5</v>
      </c>
      <c r="L1111" s="3">
        <v>14.9</v>
      </c>
      <c r="M1111" s="3">
        <v>3.9</v>
      </c>
      <c r="N1111" s="3">
        <v>6.8</v>
      </c>
      <c r="O1111" s="3">
        <v>6.7</v>
      </c>
      <c r="P1111" s="3">
        <v>40</v>
      </c>
      <c r="Q1111" s="3">
        <v>170</v>
      </c>
      <c r="R1111" s="3"/>
      <c r="S1111" s="3"/>
      <c r="T1111" s="3"/>
      <c r="U1111" s="3"/>
      <c r="V1111" s="3"/>
      <c r="W1111" s="3"/>
      <c r="X1111" s="3" t="s">
        <v>251</v>
      </c>
      <c r="Y1111" s="3" t="s">
        <v>1615</v>
      </c>
    </row>
    <row r="1112" spans="1:25" ht="15" customHeight="1" x14ac:dyDescent="0.3">
      <c r="A1112" s="5">
        <v>45922</v>
      </c>
      <c r="B1112" s="25">
        <v>28</v>
      </c>
      <c r="C1112" s="3" t="s">
        <v>38</v>
      </c>
      <c r="D1112" s="3" t="s">
        <v>545</v>
      </c>
      <c r="E1112" s="3">
        <v>2</v>
      </c>
      <c r="F1112" s="3">
        <v>164</v>
      </c>
      <c r="G1112" s="6" t="s">
        <v>1621</v>
      </c>
      <c r="H1112" s="3" t="s">
        <v>1622</v>
      </c>
      <c r="I1112" s="6" t="s">
        <v>1024</v>
      </c>
      <c r="J1112" s="3">
        <v>2</v>
      </c>
      <c r="K1112" s="3">
        <v>2</v>
      </c>
      <c r="L1112" s="3">
        <v>22.8</v>
      </c>
      <c r="M1112" s="3">
        <v>7</v>
      </c>
      <c r="N1112" s="3">
        <v>11</v>
      </c>
      <c r="O1112" s="3">
        <v>3.9</v>
      </c>
      <c r="P1112" s="3">
        <v>45</v>
      </c>
      <c r="Q1112" s="3">
        <v>170</v>
      </c>
      <c r="R1112" s="3"/>
      <c r="S1112" s="3"/>
      <c r="T1112" s="3"/>
      <c r="U1112" s="3"/>
      <c r="V1112" s="3"/>
      <c r="W1112" s="3"/>
      <c r="X1112" s="3" t="s">
        <v>138</v>
      </c>
      <c r="Y1112" s="3" t="s">
        <v>1018</v>
      </c>
    </row>
    <row r="1113" spans="1:25" ht="15" customHeight="1" x14ac:dyDescent="0.3">
      <c r="A1113" s="5">
        <v>45922</v>
      </c>
      <c r="B1113" s="25">
        <v>28</v>
      </c>
      <c r="C1113" s="3" t="s">
        <v>38</v>
      </c>
      <c r="D1113" s="3" t="s">
        <v>545</v>
      </c>
      <c r="E1113" s="3">
        <v>2</v>
      </c>
      <c r="F1113" s="3">
        <v>182</v>
      </c>
      <c r="G1113" s="6" t="s">
        <v>713</v>
      </c>
      <c r="H1113" s="3" t="s">
        <v>1544</v>
      </c>
      <c r="I1113" s="6" t="s">
        <v>1024</v>
      </c>
      <c r="J1113" s="3">
        <v>4</v>
      </c>
      <c r="K1113" s="3">
        <v>4</v>
      </c>
      <c r="L1113" s="3">
        <v>14.21</v>
      </c>
      <c r="M1113" s="3">
        <v>3.85</v>
      </c>
      <c r="N1113" s="3">
        <v>6</v>
      </c>
      <c r="O1113" s="3">
        <v>3</v>
      </c>
      <c r="P1113" s="3">
        <v>35</v>
      </c>
      <c r="Q1113" s="3">
        <v>175</v>
      </c>
      <c r="R1113" s="3"/>
      <c r="S1113" s="3"/>
      <c r="T1113" s="3"/>
      <c r="U1113" s="3"/>
      <c r="V1113" s="3"/>
      <c r="W1113" s="3"/>
      <c r="X1113" s="3" t="s">
        <v>388</v>
      </c>
      <c r="Y1113" s="3" t="s">
        <v>396</v>
      </c>
    </row>
    <row r="1114" spans="1:25" ht="15" customHeight="1" x14ac:dyDescent="0.3">
      <c r="A1114" s="5">
        <v>45922</v>
      </c>
      <c r="B1114" s="25">
        <v>28</v>
      </c>
      <c r="C1114" s="3" t="s">
        <v>38</v>
      </c>
      <c r="D1114" s="3" t="s">
        <v>545</v>
      </c>
      <c r="E1114" s="3">
        <v>2</v>
      </c>
      <c r="F1114" s="3">
        <v>401</v>
      </c>
      <c r="G1114" s="6" t="s">
        <v>1504</v>
      </c>
      <c r="H1114" s="3" t="s">
        <v>1505</v>
      </c>
      <c r="I1114" s="6" t="s">
        <v>1024</v>
      </c>
      <c r="J1114" s="3">
        <v>1</v>
      </c>
      <c r="K1114" s="3">
        <v>1</v>
      </c>
      <c r="L1114" s="3">
        <v>10.7</v>
      </c>
      <c r="M1114" s="3"/>
      <c r="N1114" s="3"/>
      <c r="O1114" s="3">
        <v>3</v>
      </c>
      <c r="P1114" s="3"/>
      <c r="Q1114" s="3"/>
      <c r="R1114" s="3"/>
      <c r="S1114" s="3"/>
      <c r="T1114" s="3"/>
      <c r="U1114" s="3"/>
      <c r="V1114" s="3"/>
      <c r="W1114" s="3"/>
      <c r="X1114" s="3" t="s">
        <v>1611</v>
      </c>
      <c r="Y1114" s="3"/>
    </row>
    <row r="1115" spans="1:25" ht="15" customHeight="1" x14ac:dyDescent="0.3">
      <c r="A1115" s="5">
        <v>45922</v>
      </c>
      <c r="B1115" s="25">
        <v>28</v>
      </c>
      <c r="C1115" s="3" t="s">
        <v>38</v>
      </c>
      <c r="D1115" s="3" t="s">
        <v>545</v>
      </c>
      <c r="E1115" s="3">
        <v>2</v>
      </c>
      <c r="F1115" s="3">
        <v>404</v>
      </c>
      <c r="G1115" s="6" t="s">
        <v>407</v>
      </c>
      <c r="H1115" s="3" t="s">
        <v>1473</v>
      </c>
      <c r="I1115" s="6" t="s">
        <v>1024</v>
      </c>
      <c r="J1115" s="3">
        <v>2</v>
      </c>
      <c r="K1115" s="3">
        <v>2</v>
      </c>
      <c r="L1115" s="3">
        <v>7.4</v>
      </c>
      <c r="M1115" s="3"/>
      <c r="N1115" s="3"/>
      <c r="O1115" s="3">
        <v>2.5</v>
      </c>
      <c r="P1115" s="3"/>
      <c r="Q1115" s="3"/>
      <c r="R1115" s="3"/>
      <c r="S1115" s="3"/>
      <c r="T1115" s="3"/>
      <c r="U1115" s="3"/>
      <c r="V1115" s="3"/>
      <c r="W1115" s="3"/>
      <c r="X1115" s="3" t="s">
        <v>1559</v>
      </c>
      <c r="Y1115" s="3"/>
    </row>
    <row r="1116" spans="1:25" ht="15" customHeight="1" x14ac:dyDescent="0.3">
      <c r="A1116" s="5">
        <v>45922</v>
      </c>
      <c r="B1116" s="25">
        <v>28</v>
      </c>
      <c r="C1116" s="3" t="s">
        <v>38</v>
      </c>
      <c r="D1116" s="3" t="s">
        <v>545</v>
      </c>
      <c r="E1116" s="3">
        <v>2</v>
      </c>
      <c r="F1116" s="3">
        <v>405</v>
      </c>
      <c r="G1116" s="6" t="s">
        <v>1623</v>
      </c>
      <c r="H1116" s="3" t="s">
        <v>1624</v>
      </c>
      <c r="I1116" s="6" t="s">
        <v>1024</v>
      </c>
      <c r="J1116" s="3">
        <v>2</v>
      </c>
      <c r="K1116" s="3">
        <v>2</v>
      </c>
      <c r="L1116" s="3">
        <v>8</v>
      </c>
      <c r="M1116" s="3"/>
      <c r="N1116" s="3"/>
      <c r="O1116" s="3">
        <v>2</v>
      </c>
      <c r="P1116" s="3"/>
      <c r="Q1116" s="3"/>
      <c r="R1116" s="3"/>
      <c r="S1116" s="3"/>
      <c r="T1116" s="3"/>
      <c r="U1116" s="3"/>
      <c r="V1116" s="3"/>
      <c r="W1116" s="3"/>
      <c r="X1116" s="3" t="s">
        <v>1612</v>
      </c>
      <c r="Y1116" s="3"/>
    </row>
    <row r="1117" spans="1:25" ht="15" customHeight="1" x14ac:dyDescent="0.3">
      <c r="A1117" s="5">
        <v>45922</v>
      </c>
      <c r="B1117" s="25">
        <v>28</v>
      </c>
      <c r="C1117" s="3" t="s">
        <v>38</v>
      </c>
      <c r="D1117" s="3" t="s">
        <v>545</v>
      </c>
      <c r="E1117" s="3">
        <v>2</v>
      </c>
      <c r="F1117" s="3">
        <v>171</v>
      </c>
      <c r="G1117" s="6" t="s">
        <v>558</v>
      </c>
      <c r="H1117" s="3" t="s">
        <v>1507</v>
      </c>
      <c r="I1117" s="6" t="s">
        <v>1024</v>
      </c>
      <c r="J1117" s="3">
        <v>3</v>
      </c>
      <c r="K1117" s="29">
        <v>3</v>
      </c>
      <c r="L1117" s="3">
        <v>13.65</v>
      </c>
      <c r="M1117" s="3">
        <v>3.6</v>
      </c>
      <c r="N1117" s="3">
        <v>5.2</v>
      </c>
      <c r="O1117" s="3">
        <v>4</v>
      </c>
      <c r="P1117" s="3"/>
      <c r="Q1117" s="3">
        <v>170</v>
      </c>
      <c r="R1117" s="3"/>
      <c r="S1117" s="3"/>
      <c r="T1117" s="3"/>
      <c r="U1117" s="3"/>
      <c r="V1117" s="3"/>
      <c r="W1117" s="3"/>
      <c r="X1117" s="3" t="s">
        <v>252</v>
      </c>
      <c r="Y1117" s="3" t="s">
        <v>1441</v>
      </c>
    </row>
    <row r="1118" spans="1:25" ht="15" customHeight="1" x14ac:dyDescent="0.3">
      <c r="A1118" s="5">
        <v>45922</v>
      </c>
      <c r="B1118" s="25">
        <v>28</v>
      </c>
      <c r="C1118" s="3" t="s">
        <v>38</v>
      </c>
      <c r="D1118" s="3" t="s">
        <v>545</v>
      </c>
      <c r="E1118" s="3">
        <v>2</v>
      </c>
      <c r="F1118" s="3">
        <v>172</v>
      </c>
      <c r="G1118" s="6" t="s">
        <v>472</v>
      </c>
      <c r="H1118" s="3" t="s">
        <v>1625</v>
      </c>
      <c r="I1118" s="6" t="s">
        <v>1024</v>
      </c>
      <c r="J1118" s="3">
        <v>4</v>
      </c>
      <c r="K1118" s="3">
        <v>4</v>
      </c>
      <c r="L1118" s="3">
        <v>17.940000000000001</v>
      </c>
      <c r="M1118" s="3">
        <v>0.7</v>
      </c>
      <c r="N1118" s="3">
        <v>12</v>
      </c>
      <c r="O1118" s="3">
        <v>8</v>
      </c>
      <c r="P1118" s="3" t="s">
        <v>1605</v>
      </c>
      <c r="Q1118" s="3">
        <v>170</v>
      </c>
      <c r="R1118" s="3"/>
      <c r="S1118" s="3"/>
      <c r="T1118" s="3"/>
      <c r="U1118" s="3"/>
      <c r="V1118" s="3"/>
      <c r="W1118" s="3"/>
      <c r="X1118" s="3" t="s">
        <v>288</v>
      </c>
      <c r="Y1118" s="3" t="s">
        <v>84</v>
      </c>
    </row>
    <row r="1119" spans="1:25" ht="15" customHeight="1" x14ac:dyDescent="0.3">
      <c r="A1119" s="5">
        <v>45922</v>
      </c>
      <c r="B1119" s="25">
        <v>28</v>
      </c>
      <c r="C1119" s="3" t="s">
        <v>38</v>
      </c>
      <c r="D1119" s="3" t="s">
        <v>545</v>
      </c>
      <c r="E1119" s="3">
        <v>2</v>
      </c>
      <c r="F1119" s="3">
        <v>175</v>
      </c>
      <c r="G1119" s="6" t="s">
        <v>590</v>
      </c>
      <c r="H1119" s="3" t="s">
        <v>1626</v>
      </c>
      <c r="I1119" s="6" t="s">
        <v>1024</v>
      </c>
      <c r="J1119" s="3">
        <v>5</v>
      </c>
      <c r="K1119" s="3">
        <v>5</v>
      </c>
      <c r="L1119" s="3">
        <v>14.12</v>
      </c>
      <c r="M1119" s="3">
        <v>0.55000000000000004</v>
      </c>
      <c r="N1119" s="3">
        <v>9.1</v>
      </c>
      <c r="O1119" s="3">
        <v>7</v>
      </c>
      <c r="P1119" s="3" t="s">
        <v>1606</v>
      </c>
      <c r="Q1119" s="3">
        <v>170</v>
      </c>
      <c r="R1119" s="3"/>
      <c r="S1119" s="3"/>
      <c r="T1119" s="3"/>
      <c r="U1119" s="3"/>
      <c r="V1119" s="3"/>
      <c r="W1119" s="3"/>
      <c r="X1119" s="3" t="s">
        <v>79</v>
      </c>
      <c r="Y1119" s="3" t="s">
        <v>87</v>
      </c>
    </row>
    <row r="1120" spans="1:25" ht="15" customHeight="1" x14ac:dyDescent="0.3">
      <c r="A1120" s="5">
        <v>45922</v>
      </c>
      <c r="B1120" s="25">
        <v>28</v>
      </c>
      <c r="C1120" s="3" t="s">
        <v>38</v>
      </c>
      <c r="D1120" s="3" t="s">
        <v>545</v>
      </c>
      <c r="E1120" s="3">
        <v>2</v>
      </c>
      <c r="F1120" s="3">
        <v>176</v>
      </c>
      <c r="G1120" s="6" t="s">
        <v>17</v>
      </c>
      <c r="H1120" s="3" t="s">
        <v>1627</v>
      </c>
      <c r="I1120" s="6" t="s">
        <v>1024</v>
      </c>
      <c r="J1120" s="3">
        <v>5</v>
      </c>
      <c r="K1120" s="3">
        <v>5</v>
      </c>
      <c r="L1120" s="3">
        <v>19.36</v>
      </c>
      <c r="M1120" s="3">
        <v>1</v>
      </c>
      <c r="N1120" s="3">
        <v>10.7</v>
      </c>
      <c r="O1120" s="3">
        <v>7</v>
      </c>
      <c r="P1120" s="3" t="s">
        <v>1607</v>
      </c>
      <c r="Q1120" s="3">
        <v>170</v>
      </c>
      <c r="R1120" s="3"/>
      <c r="S1120" s="3"/>
      <c r="T1120" s="3"/>
      <c r="U1120" s="3"/>
      <c r="V1120" s="3"/>
      <c r="W1120" s="3"/>
      <c r="X1120" s="3" t="s">
        <v>79</v>
      </c>
      <c r="Y1120" s="3" t="s">
        <v>138</v>
      </c>
    </row>
    <row r="1121" spans="1:25" ht="15" customHeight="1" x14ac:dyDescent="0.3">
      <c r="A1121" s="5">
        <v>45922</v>
      </c>
      <c r="B1121" s="25">
        <v>28</v>
      </c>
      <c r="C1121" s="3" t="s">
        <v>38</v>
      </c>
      <c r="D1121" s="3" t="s">
        <v>545</v>
      </c>
      <c r="E1121" s="3">
        <v>2</v>
      </c>
      <c r="F1121" s="3">
        <v>177</v>
      </c>
      <c r="G1121" s="6" t="s">
        <v>985</v>
      </c>
      <c r="H1121" s="3" t="s">
        <v>1459</v>
      </c>
      <c r="I1121" s="6" t="s">
        <v>1024</v>
      </c>
      <c r="J1121" s="3">
        <v>4</v>
      </c>
      <c r="K1121" s="3">
        <v>4</v>
      </c>
      <c r="L1121" s="3">
        <v>15</v>
      </c>
      <c r="M1121" s="3">
        <v>0.8</v>
      </c>
      <c r="N1121" s="3">
        <v>10</v>
      </c>
      <c r="O1121" s="3">
        <v>7.5</v>
      </c>
      <c r="P1121" s="3" t="s">
        <v>1550</v>
      </c>
      <c r="Q1121" s="3">
        <v>180</v>
      </c>
      <c r="R1121" s="3"/>
      <c r="S1121" s="3"/>
      <c r="T1121" s="3"/>
      <c r="U1121" s="3"/>
      <c r="V1121" s="3"/>
      <c r="W1121" s="3"/>
      <c r="X1121" s="3" t="s">
        <v>252</v>
      </c>
      <c r="Y1121" s="3" t="s">
        <v>87</v>
      </c>
    </row>
    <row r="1122" spans="1:25" ht="15" customHeight="1" x14ac:dyDescent="0.3">
      <c r="A1122" s="5">
        <v>45922</v>
      </c>
      <c r="B1122" s="25">
        <v>28</v>
      </c>
      <c r="C1122" s="3" t="s">
        <v>38</v>
      </c>
      <c r="D1122" s="3" t="s">
        <v>545</v>
      </c>
      <c r="E1122" s="3">
        <v>2</v>
      </c>
      <c r="F1122" s="3">
        <v>131</v>
      </c>
      <c r="G1122" s="6" t="s">
        <v>1151</v>
      </c>
      <c r="H1122" s="3" t="s">
        <v>1547</v>
      </c>
      <c r="I1122" s="6" t="s">
        <v>1024</v>
      </c>
      <c r="J1122" s="3">
        <v>3</v>
      </c>
      <c r="K1122" s="3">
        <v>3</v>
      </c>
      <c r="L1122" s="3">
        <v>17.62</v>
      </c>
      <c r="M1122" s="3">
        <v>3</v>
      </c>
      <c r="N1122" s="3">
        <v>8.25</v>
      </c>
      <c r="O1122" s="3">
        <v>5</v>
      </c>
      <c r="P1122" s="3"/>
      <c r="Q1122" s="3">
        <v>180</v>
      </c>
      <c r="R1122" s="3"/>
      <c r="S1122" s="3"/>
      <c r="T1122" s="3"/>
      <c r="U1122" s="3"/>
      <c r="V1122" s="3"/>
      <c r="W1122" s="3"/>
      <c r="X1122" s="3" t="s">
        <v>1561</v>
      </c>
      <c r="Y1122" s="3" t="s">
        <v>1496</v>
      </c>
    </row>
    <row r="1123" spans="1:25" ht="15" customHeight="1" x14ac:dyDescent="0.3">
      <c r="A1123" s="5">
        <v>45922</v>
      </c>
      <c r="B1123" s="25">
        <v>28</v>
      </c>
      <c r="C1123" s="3" t="s">
        <v>38</v>
      </c>
      <c r="D1123" s="3" t="s">
        <v>545</v>
      </c>
      <c r="E1123" s="3">
        <v>2</v>
      </c>
      <c r="F1123" s="3">
        <v>132</v>
      </c>
      <c r="G1123" s="6" t="s">
        <v>1628</v>
      </c>
      <c r="H1123" s="3" t="s">
        <v>1629</v>
      </c>
      <c r="I1123" s="6" t="s">
        <v>1024</v>
      </c>
      <c r="J1123" s="3">
        <v>3</v>
      </c>
      <c r="K1123" s="3">
        <v>3</v>
      </c>
      <c r="L1123" s="3">
        <v>21.12</v>
      </c>
      <c r="M1123" s="3">
        <v>5.5</v>
      </c>
      <c r="N1123" s="3">
        <v>10.25</v>
      </c>
      <c r="O1123" s="3">
        <v>7</v>
      </c>
      <c r="P1123" s="3"/>
      <c r="Q1123" s="3">
        <v>180</v>
      </c>
      <c r="R1123" s="3"/>
      <c r="S1123" s="3"/>
      <c r="T1123" s="3"/>
      <c r="U1123" s="3"/>
      <c r="V1123" s="3"/>
      <c r="W1123" s="3"/>
      <c r="X1123" s="3" t="s">
        <v>1492</v>
      </c>
      <c r="Y1123" s="3" t="s">
        <v>1217</v>
      </c>
    </row>
    <row r="1124" spans="1:25" ht="15" customHeight="1" x14ac:dyDescent="0.3">
      <c r="A1124" s="5">
        <v>45922</v>
      </c>
      <c r="B1124" s="25">
        <v>28</v>
      </c>
      <c r="C1124" s="3" t="s">
        <v>38</v>
      </c>
      <c r="D1124" s="3" t="s">
        <v>545</v>
      </c>
      <c r="E1124" s="3">
        <v>2</v>
      </c>
      <c r="F1124" s="3">
        <v>134</v>
      </c>
      <c r="G1124" s="6" t="s">
        <v>1630</v>
      </c>
      <c r="H1124" s="3" t="s">
        <v>1631</v>
      </c>
      <c r="I1124" s="6" t="s">
        <v>1024</v>
      </c>
      <c r="J1124" s="3">
        <v>3</v>
      </c>
      <c r="K1124" s="3">
        <v>3</v>
      </c>
      <c r="L1124" s="3">
        <v>15.57</v>
      </c>
      <c r="M1124" s="3">
        <v>3</v>
      </c>
      <c r="N1124" s="3">
        <v>6</v>
      </c>
      <c r="O1124" s="3">
        <v>5</v>
      </c>
      <c r="P1124" s="3"/>
      <c r="Q1124" s="3">
        <v>170</v>
      </c>
      <c r="R1124" s="3"/>
      <c r="S1124" s="3"/>
      <c r="T1124" s="3"/>
      <c r="U1124" s="3"/>
      <c r="V1124" s="3"/>
      <c r="W1124" s="3"/>
      <c r="X1124" s="3" t="s">
        <v>1494</v>
      </c>
      <c r="Y1124" s="3" t="s">
        <v>1616</v>
      </c>
    </row>
    <row r="1125" spans="1:25" ht="15" customHeight="1" x14ac:dyDescent="0.3">
      <c r="A1125" s="5">
        <v>45922</v>
      </c>
      <c r="B1125" s="25">
        <v>28</v>
      </c>
      <c r="C1125" s="3" t="s">
        <v>38</v>
      </c>
      <c r="D1125" s="3" t="s">
        <v>545</v>
      </c>
      <c r="E1125" s="3">
        <v>2</v>
      </c>
      <c r="F1125" s="3">
        <v>135</v>
      </c>
      <c r="G1125" s="6" t="s">
        <v>21</v>
      </c>
      <c r="H1125" s="3" t="s">
        <v>1508</v>
      </c>
      <c r="I1125" s="6" t="s">
        <v>1024</v>
      </c>
      <c r="J1125" s="3">
        <v>2</v>
      </c>
      <c r="K1125" s="3">
        <v>2</v>
      </c>
      <c r="L1125" s="3">
        <v>19.87</v>
      </c>
      <c r="M1125" s="3">
        <v>3.8</v>
      </c>
      <c r="N1125" s="3">
        <v>10</v>
      </c>
      <c r="O1125" s="3">
        <v>5</v>
      </c>
      <c r="P1125" s="3"/>
      <c r="Q1125" s="3"/>
      <c r="R1125" s="3"/>
      <c r="S1125" s="3"/>
      <c r="T1125" s="3"/>
      <c r="U1125" s="3"/>
      <c r="V1125" s="3"/>
      <c r="W1125" s="3"/>
      <c r="X1125" s="3" t="s">
        <v>142</v>
      </c>
      <c r="Y1125" s="3" t="s">
        <v>1537</v>
      </c>
    </row>
    <row r="1126" spans="1:25" ht="15" customHeight="1" x14ac:dyDescent="0.3">
      <c r="A1126" s="5">
        <v>45922</v>
      </c>
      <c r="B1126" s="25">
        <v>28</v>
      </c>
      <c r="C1126" s="3" t="s">
        <v>38</v>
      </c>
      <c r="D1126" s="3" t="s">
        <v>545</v>
      </c>
      <c r="E1126" s="3">
        <v>2</v>
      </c>
      <c r="F1126" s="3">
        <v>201</v>
      </c>
      <c r="G1126" s="6" t="s">
        <v>1509</v>
      </c>
      <c r="H1126" s="3" t="s">
        <v>1510</v>
      </c>
      <c r="I1126" s="6" t="s">
        <v>110</v>
      </c>
      <c r="J1126" s="3">
        <v>24</v>
      </c>
      <c r="K1126" s="23">
        <v>18</v>
      </c>
      <c r="L1126" s="3">
        <v>30</v>
      </c>
      <c r="M1126" s="3">
        <v>19</v>
      </c>
      <c r="N1126" s="3">
        <v>3</v>
      </c>
      <c r="O1126" s="3"/>
      <c r="P1126" s="3"/>
      <c r="Q1126" s="3"/>
      <c r="R1126" s="3" t="s">
        <v>1049</v>
      </c>
      <c r="S1126" s="3" t="s">
        <v>244</v>
      </c>
      <c r="T1126" s="3">
        <v>0.5</v>
      </c>
      <c r="U1126" s="3">
        <v>15</v>
      </c>
      <c r="V1126" s="3">
        <v>25</v>
      </c>
      <c r="W1126" s="3">
        <v>120</v>
      </c>
      <c r="X1126" s="3" t="s">
        <v>1528</v>
      </c>
      <c r="Y1126" s="3"/>
    </row>
    <row r="1127" spans="1:25" ht="15" customHeight="1" x14ac:dyDescent="0.3">
      <c r="A1127" s="5">
        <v>45922</v>
      </c>
      <c r="B1127" s="25">
        <v>28</v>
      </c>
      <c r="C1127" s="3" t="s">
        <v>38</v>
      </c>
      <c r="D1127" s="3" t="s">
        <v>545</v>
      </c>
      <c r="E1127" s="3">
        <v>2</v>
      </c>
      <c r="F1127" s="3">
        <v>205</v>
      </c>
      <c r="G1127" s="6" t="s">
        <v>1548</v>
      </c>
      <c r="H1127" s="3">
        <v>18857</v>
      </c>
      <c r="I1127" s="6" t="s">
        <v>111</v>
      </c>
      <c r="J1127" s="3">
        <v>12</v>
      </c>
      <c r="K1127" s="23">
        <v>10</v>
      </c>
      <c r="L1127" s="3">
        <v>23.9</v>
      </c>
      <c r="M1127" s="3">
        <v>10</v>
      </c>
      <c r="N1127" s="3">
        <v>3</v>
      </c>
      <c r="O1127" s="3"/>
      <c r="P1127" s="3"/>
      <c r="Q1127" s="3"/>
      <c r="R1127" s="3" t="s">
        <v>386</v>
      </c>
      <c r="S1127" s="3" t="s">
        <v>72</v>
      </c>
      <c r="T1127" s="3">
        <v>1</v>
      </c>
      <c r="U1127" s="3">
        <v>20</v>
      </c>
      <c r="V1127" s="3">
        <v>25</v>
      </c>
      <c r="W1127" s="3">
        <v>90</v>
      </c>
      <c r="X1127" s="3" t="s">
        <v>1613</v>
      </c>
      <c r="Y1127" s="3"/>
    </row>
    <row r="1128" spans="1:25" ht="15" customHeight="1" x14ac:dyDescent="0.3">
      <c r="A1128" s="5">
        <v>45922</v>
      </c>
      <c r="B1128" s="25">
        <v>28</v>
      </c>
      <c r="C1128" s="3" t="s">
        <v>38</v>
      </c>
      <c r="D1128" s="3" t="s">
        <v>545</v>
      </c>
      <c r="E1128" s="3">
        <v>2</v>
      </c>
      <c r="F1128" s="3">
        <v>207</v>
      </c>
      <c r="G1128" s="6" t="s">
        <v>476</v>
      </c>
      <c r="H1128" s="3">
        <v>18834</v>
      </c>
      <c r="I1128" s="6" t="s">
        <v>111</v>
      </c>
      <c r="J1128" s="3">
        <v>12</v>
      </c>
      <c r="K1128" s="23">
        <v>9</v>
      </c>
      <c r="L1128" s="3">
        <v>30.04</v>
      </c>
      <c r="M1128" s="3">
        <v>12</v>
      </c>
      <c r="N1128" s="3">
        <v>3</v>
      </c>
      <c r="O1128" s="3"/>
      <c r="P1128" s="3"/>
      <c r="Q1128" s="3"/>
      <c r="R1128" s="3" t="s">
        <v>637</v>
      </c>
      <c r="S1128" s="3" t="s">
        <v>75</v>
      </c>
      <c r="T1128" s="3">
        <v>2</v>
      </c>
      <c r="U1128" s="3">
        <v>15</v>
      </c>
      <c r="V1128" s="3">
        <v>20</v>
      </c>
      <c r="W1128" s="3">
        <v>140</v>
      </c>
      <c r="X1128" s="3" t="s">
        <v>1614</v>
      </c>
      <c r="Y1128" s="3" t="s">
        <v>1617</v>
      </c>
    </row>
    <row r="1129" spans="1:25" ht="15" customHeight="1" x14ac:dyDescent="0.3">
      <c r="A1129" s="5">
        <v>45922</v>
      </c>
      <c r="B1129" s="25">
        <v>28</v>
      </c>
      <c r="C1129" s="3" t="s">
        <v>38</v>
      </c>
      <c r="D1129" s="3" t="s">
        <v>545</v>
      </c>
      <c r="E1129" s="3">
        <v>2</v>
      </c>
      <c r="F1129" s="3">
        <v>208</v>
      </c>
      <c r="G1129" s="6" t="s">
        <v>593</v>
      </c>
      <c r="H1129" s="3">
        <v>18842</v>
      </c>
      <c r="I1129" s="6" t="s">
        <v>110</v>
      </c>
      <c r="J1129" s="3">
        <v>4</v>
      </c>
      <c r="K1129" s="23">
        <v>2</v>
      </c>
      <c r="L1129" s="3">
        <v>23.67</v>
      </c>
      <c r="M1129" s="3">
        <v>8</v>
      </c>
      <c r="N1129" s="3">
        <v>5.5</v>
      </c>
      <c r="O1129" s="3"/>
      <c r="P1129" s="3"/>
      <c r="Q1129" s="3"/>
      <c r="R1129" s="3" t="s">
        <v>1552</v>
      </c>
      <c r="S1129" s="3" t="s">
        <v>573</v>
      </c>
      <c r="T1129" s="3">
        <v>2.5</v>
      </c>
      <c r="U1129" s="3">
        <v>25</v>
      </c>
      <c r="V1129" s="3">
        <v>30</v>
      </c>
      <c r="W1129" s="3">
        <v>140</v>
      </c>
      <c r="X1129" s="3" t="s">
        <v>1564</v>
      </c>
      <c r="Y1129" s="3" t="s">
        <v>1618</v>
      </c>
    </row>
    <row r="1130" spans="1:25" ht="15" customHeight="1" x14ac:dyDescent="0.3">
      <c r="A1130" s="5">
        <v>45922</v>
      </c>
      <c r="B1130" s="25">
        <v>28</v>
      </c>
      <c r="C1130" s="3" t="s">
        <v>38</v>
      </c>
      <c r="D1130" s="3" t="s">
        <v>545</v>
      </c>
      <c r="E1130" s="3">
        <v>2</v>
      </c>
      <c r="F1130" s="3">
        <v>209</v>
      </c>
      <c r="G1130" s="6" t="s">
        <v>996</v>
      </c>
      <c r="H1130" s="3" t="s">
        <v>1484</v>
      </c>
      <c r="I1130" s="6" t="s">
        <v>111</v>
      </c>
      <c r="J1130" s="3">
        <v>4</v>
      </c>
      <c r="K1130" s="23">
        <v>3</v>
      </c>
      <c r="L1130" s="3">
        <v>27</v>
      </c>
      <c r="M1130" s="3">
        <v>13</v>
      </c>
      <c r="N1130" s="3">
        <v>3</v>
      </c>
      <c r="O1130" s="3"/>
      <c r="P1130" s="3"/>
      <c r="Q1130" s="3"/>
      <c r="R1130" s="3" t="s">
        <v>1608</v>
      </c>
      <c r="S1130" s="3" t="s">
        <v>1523</v>
      </c>
      <c r="T1130" s="3">
        <v>2.5</v>
      </c>
      <c r="U1130" s="3">
        <v>25</v>
      </c>
      <c r="V1130" s="3">
        <v>30</v>
      </c>
      <c r="W1130" s="3">
        <v>170</v>
      </c>
      <c r="X1130" s="3" t="s">
        <v>1565</v>
      </c>
      <c r="Y1130" s="3" t="s">
        <v>1619</v>
      </c>
    </row>
    <row r="1131" spans="1:25" ht="15" customHeight="1" x14ac:dyDescent="0.3">
      <c r="A1131" s="5">
        <v>45922</v>
      </c>
      <c r="B1131" s="25">
        <v>28</v>
      </c>
      <c r="C1131" s="3" t="s">
        <v>38</v>
      </c>
      <c r="D1131" s="3" t="s">
        <v>545</v>
      </c>
      <c r="E1131" s="3">
        <v>2</v>
      </c>
      <c r="F1131" s="3">
        <v>210</v>
      </c>
      <c r="G1131" s="6" t="s">
        <v>999</v>
      </c>
      <c r="H1131" s="3" t="s">
        <v>1632</v>
      </c>
      <c r="I1131" s="6" t="s">
        <v>111</v>
      </c>
      <c r="J1131" s="3">
        <v>4</v>
      </c>
      <c r="K1131" s="23">
        <v>3</v>
      </c>
      <c r="L1131" s="3">
        <v>19.7</v>
      </c>
      <c r="M1131" s="3">
        <v>6</v>
      </c>
      <c r="N1131" s="3">
        <v>4</v>
      </c>
      <c r="O1131" s="3"/>
      <c r="P1131" s="3"/>
      <c r="Q1131" s="3"/>
      <c r="R1131" s="3" t="s">
        <v>1609</v>
      </c>
      <c r="S1131" s="3" t="s">
        <v>869</v>
      </c>
      <c r="T1131" s="3">
        <v>1</v>
      </c>
      <c r="U1131" s="3">
        <v>20</v>
      </c>
      <c r="V1131" s="3">
        <v>30</v>
      </c>
      <c r="W1131" s="3">
        <v>101</v>
      </c>
      <c r="X1131" s="3" t="s">
        <v>1533</v>
      </c>
      <c r="Y1131" s="3" t="s">
        <v>1620</v>
      </c>
    </row>
    <row r="1132" spans="1:25" ht="15" customHeight="1" x14ac:dyDescent="0.3">
      <c r="A1132" s="27">
        <v>45923</v>
      </c>
      <c r="B1132" s="25">
        <v>28</v>
      </c>
      <c r="C1132" s="3" t="s">
        <v>38</v>
      </c>
      <c r="D1132" s="3" t="s">
        <v>545</v>
      </c>
      <c r="E1132" s="3">
        <v>2</v>
      </c>
      <c r="F1132" s="3">
        <v>102</v>
      </c>
      <c r="G1132" s="6" t="s">
        <v>834</v>
      </c>
      <c r="H1132" s="3" t="s">
        <v>1600</v>
      </c>
      <c r="I1132" s="6" t="s">
        <v>793</v>
      </c>
      <c r="J1132" s="3">
        <v>6</v>
      </c>
      <c r="K1132" s="3">
        <v>6</v>
      </c>
      <c r="L1132" s="3">
        <v>16</v>
      </c>
      <c r="M1132" s="3">
        <v>5.5</v>
      </c>
      <c r="N1132" s="3">
        <v>5.7</v>
      </c>
      <c r="O1132" s="3">
        <v>5</v>
      </c>
      <c r="P1132" s="3"/>
      <c r="Q1132" s="3">
        <v>170</v>
      </c>
      <c r="R1132" s="3"/>
      <c r="S1132" s="3"/>
      <c r="T1132" s="3"/>
      <c r="U1132" s="3"/>
      <c r="V1132" s="3"/>
      <c r="W1132" s="3"/>
      <c r="X1132" s="3" t="s">
        <v>1654</v>
      </c>
      <c r="Y1132" s="3" t="s">
        <v>84</v>
      </c>
    </row>
    <row r="1133" spans="1:25" ht="15" customHeight="1" x14ac:dyDescent="0.3">
      <c r="A1133" s="27">
        <v>45923</v>
      </c>
      <c r="B1133" s="25">
        <v>28</v>
      </c>
      <c r="C1133" s="3" t="s">
        <v>38</v>
      </c>
      <c r="D1133" s="3" t="s">
        <v>545</v>
      </c>
      <c r="E1133" s="3">
        <v>2</v>
      </c>
      <c r="F1133" s="3">
        <v>103</v>
      </c>
      <c r="G1133" s="6" t="s">
        <v>163</v>
      </c>
      <c r="H1133" s="3" t="s">
        <v>1578</v>
      </c>
      <c r="I1133" s="6" t="s">
        <v>793</v>
      </c>
      <c r="J1133" s="3">
        <v>5</v>
      </c>
      <c r="K1133" s="3">
        <v>5</v>
      </c>
      <c r="L1133" s="3">
        <v>14.52</v>
      </c>
      <c r="M1133" s="3">
        <v>3.8</v>
      </c>
      <c r="N1133" s="3">
        <v>6.7</v>
      </c>
      <c r="O1133" s="3">
        <v>6</v>
      </c>
      <c r="P1133" s="3">
        <v>40</v>
      </c>
      <c r="Q1133" s="3">
        <v>165</v>
      </c>
      <c r="R1133" s="3"/>
      <c r="S1133" s="3"/>
      <c r="T1133" s="3"/>
      <c r="U1133" s="3"/>
      <c r="V1133" s="3"/>
      <c r="W1133" s="3"/>
      <c r="X1133" s="3" t="s">
        <v>251</v>
      </c>
      <c r="Y1133" s="3" t="s">
        <v>1615</v>
      </c>
    </row>
    <row r="1134" spans="1:25" ht="15" customHeight="1" x14ac:dyDescent="0.3">
      <c r="A1134" s="27">
        <v>45923</v>
      </c>
      <c r="B1134" s="25">
        <v>28</v>
      </c>
      <c r="C1134" s="3" t="s">
        <v>38</v>
      </c>
      <c r="D1134" s="3" t="s">
        <v>545</v>
      </c>
      <c r="E1134" s="3">
        <v>2</v>
      </c>
      <c r="F1134" s="3">
        <v>104</v>
      </c>
      <c r="G1134" s="6" t="s">
        <v>1465</v>
      </c>
      <c r="H1134" s="3" t="s">
        <v>1633</v>
      </c>
      <c r="I1134" s="6" t="s">
        <v>793</v>
      </c>
      <c r="J1134" s="3">
        <v>9</v>
      </c>
      <c r="K1134" s="3">
        <v>9</v>
      </c>
      <c r="L1134" s="3">
        <v>15.03</v>
      </c>
      <c r="M1134" s="3">
        <v>4.2</v>
      </c>
      <c r="N1134" s="3">
        <v>5</v>
      </c>
      <c r="O1134" s="3">
        <v>5</v>
      </c>
      <c r="P1134" s="3"/>
      <c r="Q1134" s="3">
        <v>170</v>
      </c>
      <c r="R1134" s="3"/>
      <c r="S1134" s="3"/>
      <c r="T1134" s="3"/>
      <c r="U1134" s="3"/>
      <c r="V1134" s="3"/>
      <c r="W1134" s="3"/>
      <c r="X1134" s="3" t="s">
        <v>1655</v>
      </c>
      <c r="Y1134" s="3" t="s">
        <v>87</v>
      </c>
    </row>
    <row r="1135" spans="1:25" ht="15" customHeight="1" x14ac:dyDescent="0.3">
      <c r="A1135" s="27">
        <v>45923</v>
      </c>
      <c r="B1135" s="25">
        <v>28</v>
      </c>
      <c r="C1135" s="3" t="s">
        <v>38</v>
      </c>
      <c r="D1135" s="3" t="s">
        <v>545</v>
      </c>
      <c r="E1135" s="3">
        <v>2</v>
      </c>
      <c r="F1135" s="3">
        <v>162</v>
      </c>
      <c r="G1135" s="6" t="s">
        <v>1454</v>
      </c>
      <c r="H1135" s="3" t="s">
        <v>1634</v>
      </c>
      <c r="I1135" s="6" t="s">
        <v>793</v>
      </c>
      <c r="J1135" s="3">
        <v>2</v>
      </c>
      <c r="K1135" s="3">
        <v>2</v>
      </c>
      <c r="L1135" s="3">
        <v>24</v>
      </c>
      <c r="M1135" s="3">
        <v>6.5</v>
      </c>
      <c r="N1135" s="3">
        <v>10</v>
      </c>
      <c r="O1135" s="3">
        <v>3.5</v>
      </c>
      <c r="P1135" s="3">
        <v>18</v>
      </c>
      <c r="Q1135" s="3">
        <v>170</v>
      </c>
      <c r="R1135" s="3"/>
      <c r="S1135" s="3"/>
      <c r="T1135" s="3"/>
      <c r="U1135" s="3"/>
      <c r="V1135" s="3"/>
      <c r="W1135" s="3"/>
      <c r="X1135" s="3" t="s">
        <v>288</v>
      </c>
      <c r="Y1135" s="3" t="s">
        <v>83</v>
      </c>
    </row>
    <row r="1136" spans="1:25" ht="15" customHeight="1" x14ac:dyDescent="0.3">
      <c r="A1136" s="27">
        <v>45923</v>
      </c>
      <c r="B1136" s="25">
        <v>28</v>
      </c>
      <c r="C1136" s="3" t="s">
        <v>38</v>
      </c>
      <c r="D1136" s="3" t="s">
        <v>545</v>
      </c>
      <c r="E1136" s="3">
        <v>2</v>
      </c>
      <c r="F1136" s="3">
        <v>163</v>
      </c>
      <c r="G1136" s="6" t="s">
        <v>1635</v>
      </c>
      <c r="H1136" s="3" t="s">
        <v>1636</v>
      </c>
      <c r="I1136" s="6" t="s">
        <v>793</v>
      </c>
      <c r="J1136" s="3">
        <v>2</v>
      </c>
      <c r="K1136" s="3">
        <v>2</v>
      </c>
      <c r="L1136" s="3">
        <v>18.59</v>
      </c>
      <c r="M1136" s="3">
        <v>3</v>
      </c>
      <c r="N1136" s="3">
        <v>6</v>
      </c>
      <c r="O1136" s="3">
        <v>2.4</v>
      </c>
      <c r="P1136" s="3"/>
      <c r="Q1136" s="3">
        <v>177</v>
      </c>
      <c r="R1136" s="3"/>
      <c r="S1136" s="3"/>
      <c r="T1136" s="3"/>
      <c r="U1136" s="3"/>
      <c r="V1136" s="3"/>
      <c r="W1136" s="3"/>
      <c r="X1136" s="3" t="s">
        <v>1656</v>
      </c>
      <c r="Y1136" s="3" t="s">
        <v>1568</v>
      </c>
    </row>
    <row r="1137" spans="1:25" ht="15" customHeight="1" x14ac:dyDescent="0.3">
      <c r="A1137" s="27">
        <v>45923</v>
      </c>
      <c r="B1137" s="25">
        <v>28</v>
      </c>
      <c r="C1137" s="3" t="s">
        <v>38</v>
      </c>
      <c r="D1137" s="3" t="s">
        <v>545</v>
      </c>
      <c r="E1137" s="3">
        <v>2</v>
      </c>
      <c r="F1137" s="3">
        <v>164</v>
      </c>
      <c r="G1137" s="6" t="s">
        <v>1621</v>
      </c>
      <c r="H1137" s="3" t="s">
        <v>1622</v>
      </c>
      <c r="I1137" s="6" t="s">
        <v>793</v>
      </c>
      <c r="J1137" s="3">
        <v>2</v>
      </c>
      <c r="K1137" s="3">
        <v>2</v>
      </c>
      <c r="L1137" s="3">
        <v>22.8</v>
      </c>
      <c r="M1137" s="3">
        <v>6.5</v>
      </c>
      <c r="N1137" s="3">
        <v>11</v>
      </c>
      <c r="O1137" s="3">
        <v>3.9</v>
      </c>
      <c r="P1137" s="3">
        <v>45</v>
      </c>
      <c r="Q1137" s="3">
        <v>170</v>
      </c>
      <c r="R1137" s="3"/>
      <c r="S1137" s="3"/>
      <c r="T1137" s="3"/>
      <c r="U1137" s="3"/>
      <c r="V1137" s="3"/>
      <c r="W1137" s="3"/>
      <c r="X1137" s="3" t="s">
        <v>138</v>
      </c>
      <c r="Y1137" s="3" t="s">
        <v>1018</v>
      </c>
    </row>
    <row r="1138" spans="1:25" ht="15" customHeight="1" x14ac:dyDescent="0.3">
      <c r="A1138" s="27">
        <v>45923</v>
      </c>
      <c r="B1138" s="25">
        <v>28</v>
      </c>
      <c r="C1138" s="3" t="s">
        <v>38</v>
      </c>
      <c r="D1138" s="3" t="s">
        <v>545</v>
      </c>
      <c r="E1138" s="3">
        <v>2</v>
      </c>
      <c r="F1138" s="3">
        <v>181</v>
      </c>
      <c r="G1138" s="6" t="s">
        <v>57</v>
      </c>
      <c r="H1138" s="3">
        <v>18836</v>
      </c>
      <c r="I1138" s="6" t="s">
        <v>793</v>
      </c>
      <c r="J1138" s="3">
        <v>4</v>
      </c>
      <c r="K1138" s="3">
        <v>4</v>
      </c>
      <c r="L1138" s="3">
        <v>15</v>
      </c>
      <c r="M1138" s="3">
        <v>3.5</v>
      </c>
      <c r="N1138" s="3">
        <v>5.5</v>
      </c>
      <c r="O1138" s="3">
        <v>3</v>
      </c>
      <c r="P1138" s="3">
        <v>55</v>
      </c>
      <c r="Q1138" s="3">
        <v>180</v>
      </c>
      <c r="R1138" s="3"/>
      <c r="S1138" s="3"/>
      <c r="T1138" s="3"/>
      <c r="U1138" s="3"/>
      <c r="V1138" s="3"/>
      <c r="W1138" s="3"/>
      <c r="X1138" s="3" t="s">
        <v>1657</v>
      </c>
      <c r="Y1138" s="3" t="s">
        <v>396</v>
      </c>
    </row>
    <row r="1139" spans="1:25" ht="15" customHeight="1" x14ac:dyDescent="0.3">
      <c r="A1139" s="27">
        <v>45923</v>
      </c>
      <c r="B1139" s="25">
        <v>28</v>
      </c>
      <c r="C1139" s="3" t="s">
        <v>38</v>
      </c>
      <c r="D1139" s="3" t="s">
        <v>545</v>
      </c>
      <c r="E1139" s="3">
        <v>2</v>
      </c>
      <c r="F1139" s="3">
        <v>182</v>
      </c>
      <c r="G1139" s="6" t="s">
        <v>713</v>
      </c>
      <c r="H1139" s="3" t="s">
        <v>1544</v>
      </c>
      <c r="I1139" s="6" t="s">
        <v>793</v>
      </c>
      <c r="J1139" s="3">
        <v>4</v>
      </c>
      <c r="K1139" s="3">
        <v>4</v>
      </c>
      <c r="L1139" s="3">
        <v>14.26</v>
      </c>
      <c r="M1139" s="3">
        <v>3.85</v>
      </c>
      <c r="N1139" s="3">
        <v>6</v>
      </c>
      <c r="O1139" s="3">
        <v>3</v>
      </c>
      <c r="P1139" s="3">
        <v>35</v>
      </c>
      <c r="Q1139" s="3">
        <v>175</v>
      </c>
      <c r="R1139" s="3"/>
      <c r="S1139" s="3"/>
      <c r="T1139" s="3"/>
      <c r="U1139" s="3"/>
      <c r="V1139" s="3"/>
      <c r="W1139" s="3"/>
      <c r="X1139" s="3" t="s">
        <v>388</v>
      </c>
      <c r="Y1139" s="3" t="s">
        <v>396</v>
      </c>
    </row>
    <row r="1140" spans="1:25" ht="15" customHeight="1" x14ac:dyDescent="0.3">
      <c r="A1140" s="27">
        <v>45923</v>
      </c>
      <c r="B1140" s="25">
        <v>28</v>
      </c>
      <c r="C1140" s="3" t="s">
        <v>38</v>
      </c>
      <c r="D1140" s="3" t="s">
        <v>545</v>
      </c>
      <c r="E1140" s="3">
        <v>2</v>
      </c>
      <c r="F1140" s="3">
        <v>401</v>
      </c>
      <c r="G1140" s="6" t="s">
        <v>1504</v>
      </c>
      <c r="H1140" s="3" t="s">
        <v>1505</v>
      </c>
      <c r="I1140" s="6" t="s">
        <v>793</v>
      </c>
      <c r="J1140" s="3">
        <v>1</v>
      </c>
      <c r="K1140" s="3">
        <v>1</v>
      </c>
      <c r="L1140" s="3">
        <v>10.23</v>
      </c>
      <c r="M1140" s="3"/>
      <c r="N1140" s="3"/>
      <c r="O1140" s="3">
        <v>3</v>
      </c>
      <c r="P1140" s="3"/>
      <c r="Q1140" s="3"/>
      <c r="R1140" s="3"/>
      <c r="S1140" s="3"/>
      <c r="T1140" s="3"/>
      <c r="U1140" s="3"/>
      <c r="V1140" s="3"/>
      <c r="W1140" s="3"/>
      <c r="X1140" s="3" t="s">
        <v>1611</v>
      </c>
      <c r="Y1140" s="3"/>
    </row>
    <row r="1141" spans="1:25" ht="15" customHeight="1" x14ac:dyDescent="0.3">
      <c r="A1141" s="27">
        <v>45923</v>
      </c>
      <c r="B1141" s="25">
        <v>28</v>
      </c>
      <c r="C1141" s="3" t="s">
        <v>38</v>
      </c>
      <c r="D1141" s="3" t="s">
        <v>545</v>
      </c>
      <c r="E1141" s="3">
        <v>2</v>
      </c>
      <c r="F1141" s="3">
        <v>171</v>
      </c>
      <c r="G1141" s="6" t="s">
        <v>18</v>
      </c>
      <c r="H1141" s="3" t="s">
        <v>1637</v>
      </c>
      <c r="I1141" s="6" t="s">
        <v>793</v>
      </c>
      <c r="J1141" s="3">
        <v>3</v>
      </c>
      <c r="K1141" s="3">
        <v>3</v>
      </c>
      <c r="L1141" s="3">
        <v>16.78</v>
      </c>
      <c r="M1141" s="3">
        <v>5</v>
      </c>
      <c r="N1141" s="3">
        <v>7</v>
      </c>
      <c r="O1141" s="3">
        <v>3.5</v>
      </c>
      <c r="P1141" s="3"/>
      <c r="Q1141" s="3">
        <v>175</v>
      </c>
      <c r="R1141" s="3"/>
      <c r="S1141" s="3"/>
      <c r="T1141" s="3"/>
      <c r="U1141" s="3"/>
      <c r="V1141" s="3"/>
      <c r="W1141" s="3"/>
      <c r="X1141" s="3" t="s">
        <v>252</v>
      </c>
      <c r="Y1141" s="3" t="s">
        <v>254</v>
      </c>
    </row>
    <row r="1142" spans="1:25" ht="15" customHeight="1" x14ac:dyDescent="0.3">
      <c r="A1142" s="27">
        <v>45923</v>
      </c>
      <c r="B1142" s="25">
        <v>28</v>
      </c>
      <c r="C1142" s="3" t="s">
        <v>38</v>
      </c>
      <c r="D1142" s="3" t="s">
        <v>545</v>
      </c>
      <c r="E1142" s="3">
        <v>2</v>
      </c>
      <c r="F1142" s="3">
        <v>172</v>
      </c>
      <c r="G1142" s="6" t="s">
        <v>1638</v>
      </c>
      <c r="H1142" s="3" t="s">
        <v>1639</v>
      </c>
      <c r="I1142" s="6" t="s">
        <v>793</v>
      </c>
      <c r="J1142" s="3">
        <v>4</v>
      </c>
      <c r="K1142" s="3">
        <v>4</v>
      </c>
      <c r="L1142" s="3">
        <v>21.31</v>
      </c>
      <c r="M1142" s="3">
        <v>4</v>
      </c>
      <c r="N1142" s="3">
        <v>13</v>
      </c>
      <c r="O1142" s="3">
        <v>10.199999999999999</v>
      </c>
      <c r="P1142" s="3" t="s">
        <v>1648</v>
      </c>
      <c r="Q1142" s="3">
        <v>175</v>
      </c>
      <c r="R1142" s="3"/>
      <c r="S1142" s="3"/>
      <c r="T1142" s="3"/>
      <c r="U1142" s="3"/>
      <c r="V1142" s="3"/>
      <c r="W1142" s="3"/>
      <c r="X1142" s="3" t="s">
        <v>1105</v>
      </c>
      <c r="Y1142" s="3" t="s">
        <v>87</v>
      </c>
    </row>
    <row r="1143" spans="1:25" ht="15" customHeight="1" x14ac:dyDescent="0.3">
      <c r="A1143" s="27">
        <v>45923</v>
      </c>
      <c r="B1143" s="25">
        <v>28</v>
      </c>
      <c r="C1143" s="3" t="s">
        <v>38</v>
      </c>
      <c r="D1143" s="3" t="s">
        <v>545</v>
      </c>
      <c r="E1143" s="3">
        <v>2</v>
      </c>
      <c r="F1143" s="3">
        <v>175</v>
      </c>
      <c r="G1143" s="6" t="s">
        <v>590</v>
      </c>
      <c r="H1143" s="3" t="s">
        <v>1626</v>
      </c>
      <c r="I1143" s="6" t="s">
        <v>793</v>
      </c>
      <c r="J1143" s="3">
        <v>5</v>
      </c>
      <c r="K1143" s="3">
        <v>5</v>
      </c>
      <c r="L1143" s="3">
        <v>14.66</v>
      </c>
      <c r="M1143" s="3">
        <v>0.55000000000000004</v>
      </c>
      <c r="N1143" s="3">
        <v>9.6</v>
      </c>
      <c r="O1143" s="3">
        <v>7</v>
      </c>
      <c r="P1143" s="3" t="s">
        <v>1606</v>
      </c>
      <c r="Q1143" s="3">
        <v>170</v>
      </c>
      <c r="R1143" s="3"/>
      <c r="S1143" s="3"/>
      <c r="T1143" s="3"/>
      <c r="U1143" s="3"/>
      <c r="V1143" s="3"/>
      <c r="W1143" s="3"/>
      <c r="X1143" s="3" t="s">
        <v>79</v>
      </c>
      <c r="Y1143" s="3" t="s">
        <v>87</v>
      </c>
    </row>
    <row r="1144" spans="1:25" ht="15" customHeight="1" x14ac:dyDescent="0.3">
      <c r="A1144" s="27">
        <v>45923</v>
      </c>
      <c r="B1144" s="25">
        <v>28</v>
      </c>
      <c r="C1144" s="3" t="s">
        <v>38</v>
      </c>
      <c r="D1144" s="3" t="s">
        <v>545</v>
      </c>
      <c r="E1144" s="3">
        <v>2</v>
      </c>
      <c r="F1144" s="3">
        <v>176</v>
      </c>
      <c r="G1144" s="6" t="s">
        <v>17</v>
      </c>
      <c r="H1144" s="3" t="s">
        <v>1627</v>
      </c>
      <c r="I1144" s="6" t="s">
        <v>793</v>
      </c>
      <c r="J1144" s="3">
        <v>5</v>
      </c>
      <c r="K1144" s="3">
        <v>5</v>
      </c>
      <c r="L1144" s="3">
        <v>19.28</v>
      </c>
      <c r="M1144" s="3">
        <v>1</v>
      </c>
      <c r="N1144" s="3">
        <v>10.7</v>
      </c>
      <c r="O1144" s="3">
        <v>7</v>
      </c>
      <c r="P1144" s="3" t="s">
        <v>1607</v>
      </c>
      <c r="Q1144" s="3">
        <v>170</v>
      </c>
      <c r="R1144" s="3"/>
      <c r="S1144" s="3"/>
      <c r="T1144" s="3"/>
      <c r="U1144" s="3"/>
      <c r="V1144" s="3"/>
      <c r="W1144" s="3"/>
      <c r="X1144" s="3" t="s">
        <v>79</v>
      </c>
      <c r="Y1144" s="3" t="s">
        <v>138</v>
      </c>
    </row>
    <row r="1145" spans="1:25" ht="15" customHeight="1" x14ac:dyDescent="0.3">
      <c r="A1145" s="27">
        <v>45923</v>
      </c>
      <c r="B1145" s="25">
        <v>28</v>
      </c>
      <c r="C1145" s="3" t="s">
        <v>38</v>
      </c>
      <c r="D1145" s="3" t="s">
        <v>545</v>
      </c>
      <c r="E1145" s="3">
        <v>2</v>
      </c>
      <c r="F1145" s="3">
        <v>131</v>
      </c>
      <c r="G1145" s="6" t="s">
        <v>1151</v>
      </c>
      <c r="H1145" s="3" t="s">
        <v>1547</v>
      </c>
      <c r="I1145" s="6" t="s">
        <v>793</v>
      </c>
      <c r="J1145" s="3">
        <v>3</v>
      </c>
      <c r="K1145" s="3">
        <v>3</v>
      </c>
      <c r="L1145" s="3">
        <v>17.87</v>
      </c>
      <c r="M1145" s="3">
        <v>3.3</v>
      </c>
      <c r="N1145" s="3">
        <v>8.1999999999999993</v>
      </c>
      <c r="O1145" s="3">
        <v>5</v>
      </c>
      <c r="P1145" s="3"/>
      <c r="Q1145" s="3">
        <v>175</v>
      </c>
      <c r="R1145" s="3"/>
      <c r="S1145" s="3"/>
      <c r="T1145" s="3"/>
      <c r="U1145" s="3"/>
      <c r="V1145" s="3"/>
      <c r="W1145" s="3"/>
      <c r="X1145" s="3" t="s">
        <v>1658</v>
      </c>
      <c r="Y1145" s="3" t="s">
        <v>1273</v>
      </c>
    </row>
    <row r="1146" spans="1:25" ht="15" customHeight="1" x14ac:dyDescent="0.3">
      <c r="A1146" s="27">
        <v>45923</v>
      </c>
      <c r="B1146" s="25">
        <v>28</v>
      </c>
      <c r="C1146" s="3" t="s">
        <v>38</v>
      </c>
      <c r="D1146" s="3" t="s">
        <v>545</v>
      </c>
      <c r="E1146" s="3">
        <v>2</v>
      </c>
      <c r="F1146" s="3">
        <v>132</v>
      </c>
      <c r="G1146" s="6" t="s">
        <v>1628</v>
      </c>
      <c r="H1146" s="3" t="s">
        <v>1629</v>
      </c>
      <c r="I1146" s="6" t="s">
        <v>793</v>
      </c>
      <c r="J1146" s="3">
        <v>3</v>
      </c>
      <c r="K1146" s="3">
        <v>3</v>
      </c>
      <c r="L1146" s="3">
        <v>21.16</v>
      </c>
      <c r="M1146" s="3">
        <v>5.5</v>
      </c>
      <c r="N1146" s="3">
        <v>10.25</v>
      </c>
      <c r="O1146" s="3">
        <v>6.5</v>
      </c>
      <c r="P1146" s="3"/>
      <c r="Q1146" s="3">
        <v>175</v>
      </c>
      <c r="R1146" s="3"/>
      <c r="S1146" s="3"/>
      <c r="T1146" s="3"/>
      <c r="U1146" s="3"/>
      <c r="V1146" s="3"/>
      <c r="W1146" s="3"/>
      <c r="X1146" s="3" t="s">
        <v>1492</v>
      </c>
      <c r="Y1146" s="3" t="s">
        <v>1217</v>
      </c>
    </row>
    <row r="1147" spans="1:25" ht="15" customHeight="1" x14ac:dyDescent="0.3">
      <c r="A1147" s="27">
        <v>45923</v>
      </c>
      <c r="B1147" s="25">
        <v>28</v>
      </c>
      <c r="C1147" s="3" t="s">
        <v>38</v>
      </c>
      <c r="D1147" s="3" t="s">
        <v>545</v>
      </c>
      <c r="E1147" s="3">
        <v>2</v>
      </c>
      <c r="F1147" s="3">
        <v>134</v>
      </c>
      <c r="G1147" s="6" t="s">
        <v>1640</v>
      </c>
      <c r="H1147" s="3" t="s">
        <v>1641</v>
      </c>
      <c r="I1147" s="6" t="s">
        <v>793</v>
      </c>
      <c r="J1147" s="3">
        <v>3</v>
      </c>
      <c r="K1147" s="3">
        <v>3</v>
      </c>
      <c r="L1147" s="3">
        <v>15.7</v>
      </c>
      <c r="M1147" s="3">
        <v>3.5</v>
      </c>
      <c r="N1147" s="3">
        <v>6.2</v>
      </c>
      <c r="O1147" s="3">
        <v>5</v>
      </c>
      <c r="P1147" s="3"/>
      <c r="Q1147" s="3">
        <v>170</v>
      </c>
      <c r="R1147" s="3"/>
      <c r="S1147" s="3"/>
      <c r="T1147" s="3"/>
      <c r="U1147" s="3"/>
      <c r="V1147" s="3"/>
      <c r="W1147" s="3"/>
      <c r="X1147" s="3" t="s">
        <v>87</v>
      </c>
      <c r="Y1147" s="3" t="s">
        <v>399</v>
      </c>
    </row>
    <row r="1148" spans="1:25" ht="15" customHeight="1" x14ac:dyDescent="0.3">
      <c r="A1148" s="27">
        <v>45923</v>
      </c>
      <c r="B1148" s="25">
        <v>28</v>
      </c>
      <c r="C1148" s="3" t="s">
        <v>38</v>
      </c>
      <c r="D1148" s="3" t="s">
        <v>545</v>
      </c>
      <c r="E1148" s="3">
        <v>2</v>
      </c>
      <c r="F1148" s="3">
        <v>135</v>
      </c>
      <c r="G1148" s="6" t="s">
        <v>1642</v>
      </c>
      <c r="H1148" s="3" t="s">
        <v>1643</v>
      </c>
      <c r="I1148" s="6" t="s">
        <v>793</v>
      </c>
      <c r="J1148" s="3">
        <v>2</v>
      </c>
      <c r="K1148" s="3">
        <v>2</v>
      </c>
      <c r="L1148" s="3">
        <v>19.87</v>
      </c>
      <c r="M1148" s="3">
        <v>3.8</v>
      </c>
      <c r="N1148" s="3">
        <v>10</v>
      </c>
      <c r="O1148" s="3">
        <v>5</v>
      </c>
      <c r="P1148" s="3"/>
      <c r="Q1148" s="3">
        <v>180</v>
      </c>
      <c r="R1148" s="3"/>
      <c r="S1148" s="3"/>
      <c r="T1148" s="3"/>
      <c r="U1148" s="3"/>
      <c r="V1148" s="3"/>
      <c r="W1148" s="3"/>
      <c r="X1148" s="3" t="s">
        <v>1494</v>
      </c>
      <c r="Y1148" s="3" t="s">
        <v>399</v>
      </c>
    </row>
    <row r="1149" spans="1:25" ht="15" customHeight="1" x14ac:dyDescent="0.3">
      <c r="A1149" s="27">
        <v>45923</v>
      </c>
      <c r="B1149" s="25">
        <v>28</v>
      </c>
      <c r="C1149" s="3" t="s">
        <v>38</v>
      </c>
      <c r="D1149" s="3" t="s">
        <v>545</v>
      </c>
      <c r="E1149" s="3">
        <v>2</v>
      </c>
      <c r="F1149" s="3">
        <v>203</v>
      </c>
      <c r="G1149" s="6" t="s">
        <v>23</v>
      </c>
      <c r="H1149" s="3" t="s">
        <v>1256</v>
      </c>
      <c r="I1149" s="6" t="s">
        <v>111</v>
      </c>
      <c r="J1149" s="3">
        <v>8</v>
      </c>
      <c r="K1149" s="3">
        <v>8</v>
      </c>
      <c r="L1149" s="3">
        <v>18.5</v>
      </c>
      <c r="M1149" s="3">
        <v>5</v>
      </c>
      <c r="N1149" s="3">
        <v>3.5</v>
      </c>
      <c r="O1149" s="3"/>
      <c r="P1149" s="3"/>
      <c r="Q1149" s="3"/>
      <c r="R1149" s="3" t="s">
        <v>1649</v>
      </c>
      <c r="S1149" s="3" t="s">
        <v>72</v>
      </c>
      <c r="T1149" s="3">
        <v>1.5</v>
      </c>
      <c r="U1149" s="3">
        <v>20</v>
      </c>
      <c r="V1149" s="3">
        <v>25</v>
      </c>
      <c r="W1149" s="3">
        <v>95</v>
      </c>
      <c r="X1149" s="3" t="s">
        <v>1659</v>
      </c>
      <c r="Y1149" s="3" t="s">
        <v>1663</v>
      </c>
    </row>
    <row r="1150" spans="1:25" ht="15" customHeight="1" x14ac:dyDescent="0.3">
      <c r="A1150" s="27">
        <v>45923</v>
      </c>
      <c r="B1150" s="25">
        <v>28</v>
      </c>
      <c r="C1150" s="3" t="s">
        <v>38</v>
      </c>
      <c r="D1150" s="3" t="s">
        <v>545</v>
      </c>
      <c r="E1150" s="3">
        <v>2</v>
      </c>
      <c r="F1150" s="3">
        <v>204</v>
      </c>
      <c r="G1150" s="6" t="s">
        <v>1644</v>
      </c>
      <c r="H1150" s="3">
        <v>18812</v>
      </c>
      <c r="I1150" s="6" t="s">
        <v>111</v>
      </c>
      <c r="J1150" s="3">
        <v>4</v>
      </c>
      <c r="K1150" s="3">
        <v>4</v>
      </c>
      <c r="L1150" s="3">
        <v>31.6</v>
      </c>
      <c r="M1150" s="3">
        <v>20</v>
      </c>
      <c r="N1150" s="3">
        <v>2.8</v>
      </c>
      <c r="O1150" s="3"/>
      <c r="P1150" s="3"/>
      <c r="Q1150" s="3"/>
      <c r="R1150" s="3" t="s">
        <v>71</v>
      </c>
      <c r="S1150" s="3" t="s">
        <v>1651</v>
      </c>
      <c r="T1150" s="3">
        <v>1</v>
      </c>
      <c r="U1150" s="3">
        <v>25</v>
      </c>
      <c r="V1150" s="3">
        <v>30</v>
      </c>
      <c r="W1150" s="3">
        <v>100</v>
      </c>
      <c r="X1150" s="3" t="s">
        <v>1588</v>
      </c>
      <c r="Y1150" s="3"/>
    </row>
    <row r="1151" spans="1:25" ht="15" customHeight="1" x14ac:dyDescent="0.3">
      <c r="A1151" s="27">
        <v>45923</v>
      </c>
      <c r="B1151" s="25">
        <v>28</v>
      </c>
      <c r="C1151" s="3" t="s">
        <v>38</v>
      </c>
      <c r="D1151" s="3" t="s">
        <v>545</v>
      </c>
      <c r="E1151" s="3">
        <v>2</v>
      </c>
      <c r="F1151" s="3">
        <v>205</v>
      </c>
      <c r="G1151" s="6" t="s">
        <v>1548</v>
      </c>
      <c r="H1151" s="3">
        <v>18857</v>
      </c>
      <c r="I1151" s="6" t="s">
        <v>111</v>
      </c>
      <c r="J1151" s="3">
        <v>12</v>
      </c>
      <c r="K1151" s="23">
        <v>10</v>
      </c>
      <c r="L1151" s="3">
        <v>23.5</v>
      </c>
      <c r="M1151" s="3">
        <v>10</v>
      </c>
      <c r="N1151" s="3">
        <v>3</v>
      </c>
      <c r="O1151" s="3"/>
      <c r="P1151" s="3"/>
      <c r="Q1151" s="3"/>
      <c r="R1151" s="3" t="s">
        <v>386</v>
      </c>
      <c r="S1151" s="3" t="s">
        <v>72</v>
      </c>
      <c r="T1151" s="3">
        <v>1</v>
      </c>
      <c r="U1151" s="3">
        <v>20</v>
      </c>
      <c r="V1151" s="3">
        <v>25</v>
      </c>
      <c r="W1151" s="3">
        <v>90</v>
      </c>
      <c r="X1151" s="3" t="s">
        <v>1613</v>
      </c>
      <c r="Y1151" s="3"/>
    </row>
    <row r="1152" spans="1:25" ht="15" customHeight="1" x14ac:dyDescent="0.3">
      <c r="A1152" s="27">
        <v>45923</v>
      </c>
      <c r="B1152" s="25">
        <v>28</v>
      </c>
      <c r="C1152" s="3" t="s">
        <v>38</v>
      </c>
      <c r="D1152" s="3" t="s">
        <v>545</v>
      </c>
      <c r="E1152" s="3">
        <v>2</v>
      </c>
      <c r="F1152" s="3">
        <v>207</v>
      </c>
      <c r="G1152" s="6" t="s">
        <v>476</v>
      </c>
      <c r="H1152" s="3">
        <v>18834</v>
      </c>
      <c r="I1152" s="6" t="s">
        <v>111</v>
      </c>
      <c r="J1152" s="3">
        <v>12</v>
      </c>
      <c r="K1152" s="23">
        <v>9</v>
      </c>
      <c r="L1152" s="3">
        <v>29.47</v>
      </c>
      <c r="M1152" s="3">
        <v>12</v>
      </c>
      <c r="N1152" s="3">
        <v>3</v>
      </c>
      <c r="O1152" s="3"/>
      <c r="P1152" s="3"/>
      <c r="Q1152" s="3"/>
      <c r="R1152" s="3" t="s">
        <v>637</v>
      </c>
      <c r="S1152" s="3" t="s">
        <v>75</v>
      </c>
      <c r="T1152" s="3">
        <v>2</v>
      </c>
      <c r="U1152" s="3">
        <v>15</v>
      </c>
      <c r="V1152" s="3">
        <v>20</v>
      </c>
      <c r="W1152" s="3">
        <v>140</v>
      </c>
      <c r="X1152" s="3" t="s">
        <v>1660</v>
      </c>
      <c r="Y1152" s="3" t="s">
        <v>1664</v>
      </c>
    </row>
    <row r="1153" spans="1:25" ht="15" customHeight="1" x14ac:dyDescent="0.3">
      <c r="A1153" s="27">
        <v>45923</v>
      </c>
      <c r="B1153" s="25">
        <v>28</v>
      </c>
      <c r="C1153" s="3" t="s">
        <v>38</v>
      </c>
      <c r="D1153" s="3" t="s">
        <v>545</v>
      </c>
      <c r="E1153" s="3">
        <v>2</v>
      </c>
      <c r="F1153" s="3">
        <v>209</v>
      </c>
      <c r="G1153" s="6" t="s">
        <v>996</v>
      </c>
      <c r="H1153" s="3" t="s">
        <v>1484</v>
      </c>
      <c r="I1153" s="6" t="s">
        <v>111</v>
      </c>
      <c r="J1153" s="3">
        <v>4</v>
      </c>
      <c r="K1153" s="23">
        <v>3</v>
      </c>
      <c r="L1153" s="3">
        <v>27.2</v>
      </c>
      <c r="M1153" s="3">
        <v>13</v>
      </c>
      <c r="N1153" s="3">
        <v>3</v>
      </c>
      <c r="O1153" s="3"/>
      <c r="P1153" s="3"/>
      <c r="Q1153" s="3"/>
      <c r="R1153" s="3" t="s">
        <v>1553</v>
      </c>
      <c r="S1153" s="3" t="s">
        <v>1518</v>
      </c>
      <c r="T1153" s="3">
        <v>2.5</v>
      </c>
      <c r="U1153" s="3">
        <v>25</v>
      </c>
      <c r="V1153" s="3">
        <v>30</v>
      </c>
      <c r="W1153" s="3">
        <v>170</v>
      </c>
      <c r="X1153" s="3" t="s">
        <v>1565</v>
      </c>
      <c r="Y1153" s="3" t="s">
        <v>1665</v>
      </c>
    </row>
    <row r="1154" spans="1:25" ht="15" customHeight="1" x14ac:dyDescent="0.3">
      <c r="A1154" s="27">
        <v>45923</v>
      </c>
      <c r="B1154" s="25">
        <v>28</v>
      </c>
      <c r="C1154" s="3" t="s">
        <v>38</v>
      </c>
      <c r="D1154" s="3" t="s">
        <v>545</v>
      </c>
      <c r="E1154" s="3">
        <v>2</v>
      </c>
      <c r="F1154" s="3">
        <v>210</v>
      </c>
      <c r="G1154" s="6" t="s">
        <v>1645</v>
      </c>
      <c r="H1154" s="3" t="s">
        <v>1646</v>
      </c>
      <c r="I1154" s="6" t="s">
        <v>111</v>
      </c>
      <c r="J1154" s="3">
        <v>4</v>
      </c>
      <c r="K1154" s="3">
        <v>4</v>
      </c>
      <c r="L1154" s="3">
        <v>22</v>
      </c>
      <c r="M1154" s="3">
        <v>8</v>
      </c>
      <c r="N1154" s="3">
        <v>4</v>
      </c>
      <c r="O1154" s="3"/>
      <c r="P1154" s="3"/>
      <c r="Q1154" s="3"/>
      <c r="R1154" s="3" t="s">
        <v>867</v>
      </c>
      <c r="S1154" s="3" t="s">
        <v>869</v>
      </c>
      <c r="T1154" s="3">
        <v>1</v>
      </c>
      <c r="U1154" s="3">
        <v>25</v>
      </c>
      <c r="V1154" s="3">
        <v>35</v>
      </c>
      <c r="W1154" s="3">
        <v>101</v>
      </c>
      <c r="X1154" s="3" t="s">
        <v>1661</v>
      </c>
      <c r="Y1154" s="3" t="s">
        <v>1666</v>
      </c>
    </row>
    <row r="1155" spans="1:25" ht="15" customHeight="1" x14ac:dyDescent="0.3">
      <c r="A1155" s="27">
        <v>45923</v>
      </c>
      <c r="B1155" s="25">
        <v>28</v>
      </c>
      <c r="C1155" s="3" t="s">
        <v>38</v>
      </c>
      <c r="D1155" s="3" t="s">
        <v>545</v>
      </c>
      <c r="E1155" s="3">
        <v>2</v>
      </c>
      <c r="F1155" s="3">
        <v>303</v>
      </c>
      <c r="G1155" s="6" t="s">
        <v>1031</v>
      </c>
      <c r="H1155" s="3" t="s">
        <v>1032</v>
      </c>
      <c r="I1155" s="6" t="s">
        <v>793</v>
      </c>
      <c r="J1155" s="3">
        <v>12</v>
      </c>
      <c r="K1155" s="23">
        <v>7</v>
      </c>
      <c r="L1155" s="3">
        <v>37.5</v>
      </c>
      <c r="M1155" s="3">
        <v>15</v>
      </c>
      <c r="N1155" s="3">
        <v>6</v>
      </c>
      <c r="O1155" s="3"/>
      <c r="P1155" s="3"/>
      <c r="Q1155" s="3">
        <v>150</v>
      </c>
      <c r="R1155" s="3" t="s">
        <v>1131</v>
      </c>
      <c r="S1155" s="3" t="s">
        <v>1585</v>
      </c>
      <c r="T1155" s="3">
        <v>3</v>
      </c>
      <c r="U1155" s="3">
        <v>30</v>
      </c>
      <c r="V1155" s="3">
        <v>50</v>
      </c>
      <c r="W1155" s="3">
        <v>135</v>
      </c>
      <c r="X1155" s="3" t="s">
        <v>1591</v>
      </c>
      <c r="Y1155" s="3" t="s">
        <v>1599</v>
      </c>
    </row>
    <row r="1156" spans="1:25" ht="15" customHeight="1" x14ac:dyDescent="0.3">
      <c r="A1156" s="27">
        <v>45923</v>
      </c>
      <c r="B1156" s="25">
        <v>28</v>
      </c>
      <c r="C1156" s="3" t="s">
        <v>38</v>
      </c>
      <c r="D1156" s="3" t="s">
        <v>545</v>
      </c>
      <c r="E1156" s="3">
        <v>2</v>
      </c>
      <c r="F1156" s="3">
        <v>501</v>
      </c>
      <c r="G1156" s="6" t="s">
        <v>1647</v>
      </c>
      <c r="H1156" s="3">
        <v>18817</v>
      </c>
      <c r="I1156" s="6" t="s">
        <v>1707</v>
      </c>
      <c r="J1156" s="3">
        <v>6</v>
      </c>
      <c r="K1156" s="3">
        <v>6</v>
      </c>
      <c r="L1156" s="3">
        <v>19.02</v>
      </c>
      <c r="M1156" s="3"/>
      <c r="N1156" s="3"/>
      <c r="O1156" s="3">
        <v>11</v>
      </c>
      <c r="P1156" s="3"/>
      <c r="Q1156" s="3"/>
      <c r="R1156" s="3"/>
      <c r="S1156" s="3"/>
      <c r="T1156" s="3"/>
      <c r="U1156" s="3"/>
      <c r="V1156" s="3"/>
      <c r="W1156" s="3" t="s">
        <v>1653</v>
      </c>
      <c r="X1156" s="3" t="s">
        <v>1662</v>
      </c>
      <c r="Y1156" s="3"/>
    </row>
    <row r="1157" spans="1:25" ht="15" customHeight="1" x14ac:dyDescent="0.3">
      <c r="A1157" s="27">
        <v>45923</v>
      </c>
      <c r="B1157" s="25">
        <v>28</v>
      </c>
      <c r="C1157" s="3" t="s">
        <v>38</v>
      </c>
      <c r="D1157" s="3" t="s">
        <v>545</v>
      </c>
      <c r="E1157" s="3">
        <v>2</v>
      </c>
      <c r="F1157" s="3">
        <v>212</v>
      </c>
      <c r="G1157" s="6" t="s">
        <v>887</v>
      </c>
      <c r="H1157" s="3">
        <v>18808</v>
      </c>
      <c r="I1157" s="6" t="s">
        <v>111</v>
      </c>
      <c r="J1157" s="3">
        <v>12</v>
      </c>
      <c r="K1157" s="3">
        <v>12</v>
      </c>
      <c r="L1157" s="3">
        <v>33.869999999999997</v>
      </c>
      <c r="M1157" s="3">
        <v>18</v>
      </c>
      <c r="N1157" s="3">
        <v>3</v>
      </c>
      <c r="O1157" s="3"/>
      <c r="P1157" s="3"/>
      <c r="Q1157" s="3"/>
      <c r="R1157" s="3" t="s">
        <v>1650</v>
      </c>
      <c r="S1157" s="3" t="s">
        <v>1652</v>
      </c>
      <c r="T1157" s="3">
        <v>1</v>
      </c>
      <c r="U1157" s="3">
        <v>20</v>
      </c>
      <c r="V1157" s="3">
        <v>20</v>
      </c>
      <c r="W1157" s="3">
        <v>170</v>
      </c>
      <c r="X1157" s="3" t="s">
        <v>1535</v>
      </c>
      <c r="Y1157" s="6" t="s">
        <v>1667</v>
      </c>
    </row>
    <row r="1158" spans="1:25" ht="15" customHeight="1" x14ac:dyDescent="0.3">
      <c r="A1158" s="27">
        <v>45923</v>
      </c>
      <c r="B1158" s="25">
        <v>28</v>
      </c>
      <c r="C1158" s="3" t="s">
        <v>38</v>
      </c>
      <c r="D1158" s="3" t="s">
        <v>545</v>
      </c>
      <c r="E1158" s="3">
        <v>2</v>
      </c>
      <c r="F1158" s="3">
        <v>211</v>
      </c>
      <c r="G1158" s="6" t="s">
        <v>1437</v>
      </c>
      <c r="H1158" s="3">
        <v>18751</v>
      </c>
      <c r="I1158" s="6" t="s">
        <v>112</v>
      </c>
      <c r="J1158" s="3">
        <v>24</v>
      </c>
      <c r="K1158" s="23">
        <v>9</v>
      </c>
      <c r="L1158" s="3">
        <v>19.5</v>
      </c>
      <c r="M1158" s="3">
        <v>10</v>
      </c>
      <c r="N1158" s="3">
        <v>3</v>
      </c>
      <c r="O1158" s="3"/>
      <c r="P1158" s="3"/>
      <c r="Q1158" s="3"/>
      <c r="R1158" s="3" t="s">
        <v>71</v>
      </c>
      <c r="S1158" s="3" t="s">
        <v>1132</v>
      </c>
      <c r="T1158" s="3">
        <v>0.6</v>
      </c>
      <c r="U1158" s="3">
        <v>15</v>
      </c>
      <c r="V1158" s="3">
        <v>15</v>
      </c>
      <c r="W1158" s="3">
        <v>140</v>
      </c>
      <c r="X1158" s="3" t="s">
        <v>1446</v>
      </c>
      <c r="Y1158" s="3"/>
    </row>
    <row r="1159" spans="1:25" ht="15" customHeight="1" x14ac:dyDescent="0.3">
      <c r="A1159" s="5">
        <v>45924</v>
      </c>
      <c r="B1159" s="25">
        <v>28</v>
      </c>
      <c r="C1159" s="3" t="s">
        <v>38</v>
      </c>
      <c r="D1159" s="3" t="s">
        <v>545</v>
      </c>
      <c r="E1159" s="3">
        <v>2</v>
      </c>
      <c r="F1159" s="3">
        <v>102</v>
      </c>
      <c r="G1159" s="6" t="s">
        <v>834</v>
      </c>
      <c r="H1159" s="3" t="s">
        <v>1600</v>
      </c>
      <c r="I1159" s="6" t="s">
        <v>793</v>
      </c>
      <c r="J1159" s="3">
        <v>6</v>
      </c>
      <c r="K1159" s="3">
        <v>6</v>
      </c>
      <c r="L1159" s="3">
        <v>15.53</v>
      </c>
      <c r="M1159" s="3">
        <v>5</v>
      </c>
      <c r="N1159" s="3">
        <v>5.8</v>
      </c>
      <c r="O1159" s="3">
        <v>5</v>
      </c>
      <c r="P1159" s="3"/>
      <c r="Q1159" s="3">
        <v>170</v>
      </c>
      <c r="R1159" s="3"/>
      <c r="S1159" s="3"/>
      <c r="T1159" s="3"/>
      <c r="U1159" s="3"/>
      <c r="V1159" s="3"/>
      <c r="W1159" s="3"/>
      <c r="X1159" s="3" t="s">
        <v>1654</v>
      </c>
      <c r="Y1159" s="3" t="s">
        <v>84</v>
      </c>
    </row>
    <row r="1160" spans="1:25" ht="15" customHeight="1" x14ac:dyDescent="0.3">
      <c r="A1160" s="5">
        <v>45924</v>
      </c>
      <c r="B1160" s="25">
        <v>28</v>
      </c>
      <c r="C1160" s="3" t="s">
        <v>38</v>
      </c>
      <c r="D1160" s="3" t="s">
        <v>545</v>
      </c>
      <c r="E1160" s="3">
        <v>2</v>
      </c>
      <c r="F1160" s="3">
        <v>103</v>
      </c>
      <c r="G1160" s="6" t="s">
        <v>163</v>
      </c>
      <c r="H1160" s="3" t="s">
        <v>1578</v>
      </c>
      <c r="I1160" s="6" t="s">
        <v>793</v>
      </c>
      <c r="J1160" s="3">
        <v>5</v>
      </c>
      <c r="K1160" s="3">
        <v>5</v>
      </c>
      <c r="L1160" s="3">
        <v>14.68</v>
      </c>
      <c r="M1160" s="3">
        <v>3.8</v>
      </c>
      <c r="N1160" s="3">
        <v>6.85</v>
      </c>
      <c r="O1160" s="3">
        <v>6</v>
      </c>
      <c r="P1160" s="3">
        <v>40</v>
      </c>
      <c r="Q1160" s="3">
        <v>165</v>
      </c>
      <c r="R1160" s="3"/>
      <c r="S1160" s="3"/>
      <c r="T1160" s="3"/>
      <c r="U1160" s="3"/>
      <c r="V1160" s="3"/>
      <c r="W1160" s="3"/>
      <c r="X1160" s="3" t="s">
        <v>251</v>
      </c>
      <c r="Y1160" s="3" t="s">
        <v>1615</v>
      </c>
    </row>
    <row r="1161" spans="1:25" ht="15" customHeight="1" x14ac:dyDescent="0.3">
      <c r="A1161" s="5">
        <v>45924</v>
      </c>
      <c r="B1161" s="25">
        <v>28</v>
      </c>
      <c r="C1161" s="3" t="s">
        <v>38</v>
      </c>
      <c r="D1161" s="3" t="s">
        <v>545</v>
      </c>
      <c r="E1161" s="3">
        <v>2</v>
      </c>
      <c r="F1161" s="3">
        <v>104</v>
      </c>
      <c r="G1161" s="6" t="s">
        <v>1465</v>
      </c>
      <c r="H1161" s="3" t="s">
        <v>1633</v>
      </c>
      <c r="I1161" s="6" t="s">
        <v>793</v>
      </c>
      <c r="J1161" s="3">
        <v>9</v>
      </c>
      <c r="K1161" s="3">
        <v>9</v>
      </c>
      <c r="L1161" s="3">
        <v>15.22</v>
      </c>
      <c r="M1161" s="3">
        <v>4.2</v>
      </c>
      <c r="N1161" s="3">
        <v>5</v>
      </c>
      <c r="O1161" s="3">
        <v>5</v>
      </c>
      <c r="P1161" s="3"/>
      <c r="Q1161" s="3">
        <v>170</v>
      </c>
      <c r="R1161" s="3"/>
      <c r="S1161" s="3"/>
      <c r="T1161" s="3"/>
      <c r="U1161" s="3"/>
      <c r="V1161" s="3"/>
      <c r="W1161" s="3"/>
      <c r="X1161" s="3" t="s">
        <v>1655</v>
      </c>
      <c r="Y1161" s="3" t="s">
        <v>87</v>
      </c>
    </row>
    <row r="1162" spans="1:25" ht="15" customHeight="1" x14ac:dyDescent="0.3">
      <c r="A1162" s="5">
        <v>45924</v>
      </c>
      <c r="B1162" s="25">
        <v>28</v>
      </c>
      <c r="C1162" s="3" t="s">
        <v>38</v>
      </c>
      <c r="D1162" s="3" t="s">
        <v>545</v>
      </c>
      <c r="E1162" s="3">
        <v>2</v>
      </c>
      <c r="F1162" s="3">
        <v>162</v>
      </c>
      <c r="G1162" s="6" t="s">
        <v>1454</v>
      </c>
      <c r="H1162" s="3" t="s">
        <v>1634</v>
      </c>
      <c r="I1162" s="6" t="s">
        <v>793</v>
      </c>
      <c r="J1162" s="3">
        <v>2</v>
      </c>
      <c r="K1162" s="3">
        <v>2</v>
      </c>
      <c r="L1162" s="3">
        <v>24</v>
      </c>
      <c r="M1162" s="3">
        <v>6.5</v>
      </c>
      <c r="N1162" s="3">
        <v>10</v>
      </c>
      <c r="O1162" s="3">
        <v>4</v>
      </c>
      <c r="P1162" s="3">
        <v>33</v>
      </c>
      <c r="Q1162" s="3">
        <v>170</v>
      </c>
      <c r="R1162" s="3"/>
      <c r="S1162" s="3"/>
      <c r="T1162" s="3"/>
      <c r="U1162" s="3"/>
      <c r="V1162" s="3"/>
      <c r="W1162" s="3"/>
      <c r="X1162" s="3" t="s">
        <v>288</v>
      </c>
      <c r="Y1162" s="3" t="s">
        <v>83</v>
      </c>
    </row>
    <row r="1163" spans="1:25" ht="15" customHeight="1" x14ac:dyDescent="0.3">
      <c r="A1163" s="5">
        <v>45924</v>
      </c>
      <c r="B1163" s="25">
        <v>28</v>
      </c>
      <c r="C1163" s="3" t="s">
        <v>38</v>
      </c>
      <c r="D1163" s="3" t="s">
        <v>545</v>
      </c>
      <c r="E1163" s="3">
        <v>2</v>
      </c>
      <c r="F1163" s="3">
        <v>164</v>
      </c>
      <c r="G1163" s="6" t="s">
        <v>1621</v>
      </c>
      <c r="H1163" s="3" t="s">
        <v>1622</v>
      </c>
      <c r="I1163" s="6" t="s">
        <v>793</v>
      </c>
      <c r="J1163" s="3">
        <v>2</v>
      </c>
      <c r="K1163" s="3">
        <v>2</v>
      </c>
      <c r="L1163" s="3">
        <v>22.79</v>
      </c>
      <c r="M1163" s="3">
        <v>6.5</v>
      </c>
      <c r="N1163" s="3">
        <v>11</v>
      </c>
      <c r="O1163" s="3">
        <v>3.9</v>
      </c>
      <c r="P1163" s="3">
        <v>46</v>
      </c>
      <c r="Q1163" s="3">
        <v>170</v>
      </c>
      <c r="R1163" s="3"/>
      <c r="S1163" s="3"/>
      <c r="T1163" s="3"/>
      <c r="U1163" s="3"/>
      <c r="V1163" s="3"/>
      <c r="W1163" s="3"/>
      <c r="X1163" s="3" t="s">
        <v>138</v>
      </c>
      <c r="Y1163" s="3" t="s">
        <v>1018</v>
      </c>
    </row>
    <row r="1164" spans="1:25" ht="15" customHeight="1" x14ac:dyDescent="0.3">
      <c r="A1164" s="5">
        <v>45924</v>
      </c>
      <c r="B1164" s="25">
        <v>28</v>
      </c>
      <c r="C1164" s="3" t="s">
        <v>38</v>
      </c>
      <c r="D1164" s="3" t="s">
        <v>545</v>
      </c>
      <c r="E1164" s="3">
        <v>2</v>
      </c>
      <c r="F1164" s="3">
        <v>181</v>
      </c>
      <c r="G1164" s="6" t="s">
        <v>57</v>
      </c>
      <c r="H1164" s="3">
        <v>18836</v>
      </c>
      <c r="I1164" s="6" t="s">
        <v>793</v>
      </c>
      <c r="J1164" s="3">
        <v>4</v>
      </c>
      <c r="K1164" s="3">
        <v>4</v>
      </c>
      <c r="L1164" s="3">
        <v>15</v>
      </c>
      <c r="M1164" s="3">
        <v>3.5</v>
      </c>
      <c r="N1164" s="3">
        <v>5.5</v>
      </c>
      <c r="O1164" s="3">
        <v>3.2</v>
      </c>
      <c r="P1164" s="3">
        <v>34</v>
      </c>
      <c r="Q1164" s="3">
        <v>180</v>
      </c>
      <c r="R1164" s="3"/>
      <c r="S1164" s="3"/>
      <c r="T1164" s="3"/>
      <c r="U1164" s="3"/>
      <c r="V1164" s="3"/>
      <c r="W1164" s="3"/>
      <c r="X1164" s="3" t="s">
        <v>1657</v>
      </c>
      <c r="Y1164" s="3" t="s">
        <v>396</v>
      </c>
    </row>
    <row r="1165" spans="1:25" ht="15" customHeight="1" x14ac:dyDescent="0.3">
      <c r="A1165" s="5">
        <v>45924</v>
      </c>
      <c r="B1165" s="25">
        <v>28</v>
      </c>
      <c r="C1165" s="3" t="s">
        <v>38</v>
      </c>
      <c r="D1165" s="3" t="s">
        <v>545</v>
      </c>
      <c r="E1165" s="3">
        <v>2</v>
      </c>
      <c r="F1165" s="3">
        <v>182</v>
      </c>
      <c r="G1165" s="6" t="s">
        <v>713</v>
      </c>
      <c r="H1165" s="3" t="s">
        <v>1544</v>
      </c>
      <c r="I1165" s="6" t="s">
        <v>793</v>
      </c>
      <c r="J1165" s="3">
        <v>4</v>
      </c>
      <c r="K1165" s="3">
        <v>4</v>
      </c>
      <c r="L1165" s="3">
        <v>14.16</v>
      </c>
      <c r="M1165" s="3">
        <v>3.85</v>
      </c>
      <c r="N1165" s="3">
        <v>6</v>
      </c>
      <c r="O1165" s="3">
        <v>3</v>
      </c>
      <c r="P1165" s="3"/>
      <c r="Q1165" s="3">
        <v>175</v>
      </c>
      <c r="R1165" s="3"/>
      <c r="S1165" s="3"/>
      <c r="T1165" s="3"/>
      <c r="U1165" s="3"/>
      <c r="V1165" s="3"/>
      <c r="W1165" s="3"/>
      <c r="X1165" s="3" t="s">
        <v>388</v>
      </c>
      <c r="Y1165" s="3" t="s">
        <v>396</v>
      </c>
    </row>
    <row r="1166" spans="1:25" ht="15" customHeight="1" x14ac:dyDescent="0.3">
      <c r="A1166" s="5">
        <v>45924</v>
      </c>
      <c r="B1166" s="25">
        <v>28</v>
      </c>
      <c r="C1166" s="3" t="s">
        <v>38</v>
      </c>
      <c r="D1166" s="3" t="s">
        <v>545</v>
      </c>
      <c r="E1166" s="3">
        <v>2</v>
      </c>
      <c r="F1166" s="3">
        <v>402</v>
      </c>
      <c r="G1166" s="6" t="s">
        <v>12</v>
      </c>
      <c r="H1166" s="3" t="s">
        <v>1668</v>
      </c>
      <c r="I1166" s="6" t="s">
        <v>793</v>
      </c>
      <c r="J1166" s="3">
        <v>2</v>
      </c>
      <c r="K1166" s="3">
        <v>2</v>
      </c>
      <c r="L1166" s="3">
        <v>10</v>
      </c>
      <c r="M1166" s="3"/>
      <c r="N1166" s="3"/>
      <c r="O1166" s="3">
        <v>4</v>
      </c>
      <c r="P1166" s="3"/>
      <c r="Q1166" s="3"/>
      <c r="R1166" s="3"/>
      <c r="S1166" s="3"/>
      <c r="T1166" s="3"/>
      <c r="U1166" s="3"/>
      <c r="V1166" s="3"/>
      <c r="W1166" s="3"/>
      <c r="X1166" s="3" t="s">
        <v>1681</v>
      </c>
      <c r="Y1166" s="3"/>
    </row>
    <row r="1167" spans="1:25" ht="15" customHeight="1" x14ac:dyDescent="0.3">
      <c r="A1167" s="5">
        <v>45924</v>
      </c>
      <c r="B1167" s="25">
        <v>28</v>
      </c>
      <c r="C1167" s="3" t="s">
        <v>38</v>
      </c>
      <c r="D1167" s="3" t="s">
        <v>545</v>
      </c>
      <c r="E1167" s="3">
        <v>2</v>
      </c>
      <c r="F1167" s="3">
        <v>404</v>
      </c>
      <c r="G1167" s="6" t="s">
        <v>1669</v>
      </c>
      <c r="H1167" s="3" t="s">
        <v>1670</v>
      </c>
      <c r="I1167" s="6" t="s">
        <v>793</v>
      </c>
      <c r="J1167" s="3">
        <v>2</v>
      </c>
      <c r="K1167" s="3">
        <v>2</v>
      </c>
      <c r="L1167" s="3">
        <v>7.7</v>
      </c>
      <c r="M1167" s="3"/>
      <c r="N1167" s="3"/>
      <c r="O1167" s="3">
        <v>2.5</v>
      </c>
      <c r="P1167" s="3"/>
      <c r="Q1167" s="3"/>
      <c r="R1167" s="3"/>
      <c r="S1167" s="3"/>
      <c r="T1167" s="3"/>
      <c r="U1167" s="3"/>
      <c r="V1167" s="3"/>
      <c r="W1167" s="3"/>
      <c r="X1167" s="3" t="s">
        <v>1682</v>
      </c>
      <c r="Y1167" s="3"/>
    </row>
    <row r="1168" spans="1:25" ht="15" customHeight="1" x14ac:dyDescent="0.3">
      <c r="A1168" s="5">
        <v>45924</v>
      </c>
      <c r="B1168" s="25">
        <v>28</v>
      </c>
      <c r="C1168" s="3" t="s">
        <v>38</v>
      </c>
      <c r="D1168" s="3" t="s">
        <v>545</v>
      </c>
      <c r="E1168" s="3">
        <v>2</v>
      </c>
      <c r="F1168" s="3">
        <v>172</v>
      </c>
      <c r="G1168" s="6" t="s">
        <v>1638</v>
      </c>
      <c r="H1168" s="3" t="s">
        <v>1639</v>
      </c>
      <c r="I1168" s="6" t="s">
        <v>793</v>
      </c>
      <c r="J1168" s="3">
        <v>4</v>
      </c>
      <c r="K1168" s="3">
        <v>4</v>
      </c>
      <c r="L1168" s="3">
        <v>20.32</v>
      </c>
      <c r="M1168" s="3">
        <v>3.5</v>
      </c>
      <c r="N1168" s="3">
        <v>12.5</v>
      </c>
      <c r="O1168" s="3">
        <v>10.199999999999999</v>
      </c>
      <c r="P1168" s="3" t="s">
        <v>1648</v>
      </c>
      <c r="Q1168" s="3">
        <v>170</v>
      </c>
      <c r="R1168" s="3"/>
      <c r="S1168" s="3"/>
      <c r="T1168" s="3"/>
      <c r="U1168" s="3"/>
      <c r="V1168" s="3"/>
      <c r="W1168" s="3"/>
      <c r="X1168" s="3" t="s">
        <v>1105</v>
      </c>
      <c r="Y1168" s="3" t="s">
        <v>87</v>
      </c>
    </row>
    <row r="1169" spans="1:25" ht="15" customHeight="1" x14ac:dyDescent="0.3">
      <c r="A1169" s="5">
        <v>45924</v>
      </c>
      <c r="B1169" s="25">
        <v>28</v>
      </c>
      <c r="C1169" s="3" t="s">
        <v>38</v>
      </c>
      <c r="D1169" s="3" t="s">
        <v>545</v>
      </c>
      <c r="E1169" s="3">
        <v>2</v>
      </c>
      <c r="F1169" s="3">
        <v>174</v>
      </c>
      <c r="G1169" s="6" t="s">
        <v>18</v>
      </c>
      <c r="H1169" s="3" t="s">
        <v>1303</v>
      </c>
      <c r="I1169" s="6" t="s">
        <v>793</v>
      </c>
      <c r="J1169" s="3">
        <v>3</v>
      </c>
      <c r="K1169" s="3">
        <v>3</v>
      </c>
      <c r="L1169" s="3">
        <v>17.96</v>
      </c>
      <c r="M1169" s="3">
        <v>4</v>
      </c>
      <c r="N1169" s="3">
        <v>10</v>
      </c>
      <c r="O1169" s="3">
        <v>7</v>
      </c>
      <c r="P1169" s="3" t="s">
        <v>1677</v>
      </c>
      <c r="Q1169" s="3">
        <v>175</v>
      </c>
      <c r="R1169" s="3"/>
      <c r="S1169" s="3"/>
      <c r="T1169" s="3"/>
      <c r="U1169" s="3"/>
      <c r="V1169" s="3"/>
      <c r="W1169" s="3"/>
      <c r="X1169" s="3" t="s">
        <v>902</v>
      </c>
      <c r="Y1169" s="3" t="s">
        <v>84</v>
      </c>
    </row>
    <row r="1170" spans="1:25" ht="15" customHeight="1" x14ac:dyDescent="0.3">
      <c r="A1170" s="5">
        <v>45924</v>
      </c>
      <c r="B1170" s="25">
        <v>28</v>
      </c>
      <c r="C1170" s="3" t="s">
        <v>38</v>
      </c>
      <c r="D1170" s="3" t="s">
        <v>545</v>
      </c>
      <c r="E1170" s="3">
        <v>2</v>
      </c>
      <c r="F1170" s="3">
        <v>176</v>
      </c>
      <c r="G1170" s="6" t="s">
        <v>17</v>
      </c>
      <c r="H1170" s="3" t="s">
        <v>1627</v>
      </c>
      <c r="I1170" s="6" t="s">
        <v>1676</v>
      </c>
      <c r="J1170" s="3">
        <v>5</v>
      </c>
      <c r="K1170" s="3">
        <v>5</v>
      </c>
      <c r="L1170" s="3">
        <v>18.21</v>
      </c>
      <c r="M1170" s="3">
        <v>1</v>
      </c>
      <c r="N1170" s="3">
        <v>10.8</v>
      </c>
      <c r="O1170" s="3">
        <v>7</v>
      </c>
      <c r="P1170" s="3" t="s">
        <v>1607</v>
      </c>
      <c r="Q1170" s="3">
        <v>170</v>
      </c>
      <c r="R1170" s="3"/>
      <c r="S1170" s="3"/>
      <c r="T1170" s="3"/>
      <c r="U1170" s="3"/>
      <c r="V1170" s="3"/>
      <c r="W1170" s="3"/>
      <c r="X1170" s="3" t="s">
        <v>79</v>
      </c>
      <c r="Y1170" s="3" t="s">
        <v>138</v>
      </c>
    </row>
    <row r="1171" spans="1:25" ht="15" customHeight="1" x14ac:dyDescent="0.3">
      <c r="A1171" s="5">
        <v>45924</v>
      </c>
      <c r="B1171" s="25">
        <v>28</v>
      </c>
      <c r="C1171" s="3" t="s">
        <v>38</v>
      </c>
      <c r="D1171" s="3" t="s">
        <v>545</v>
      </c>
      <c r="E1171" s="3">
        <v>2</v>
      </c>
      <c r="F1171" s="3">
        <v>177</v>
      </c>
      <c r="G1171" s="6" t="s">
        <v>1369</v>
      </c>
      <c r="H1171" s="3" t="s">
        <v>1671</v>
      </c>
      <c r="I1171" s="6" t="s">
        <v>793</v>
      </c>
      <c r="J1171" s="3">
        <v>4</v>
      </c>
      <c r="K1171" s="3">
        <v>4</v>
      </c>
      <c r="L1171" s="3">
        <v>15.63</v>
      </c>
      <c r="M1171" s="3">
        <v>0.5</v>
      </c>
      <c r="N1171" s="3">
        <v>10.6</v>
      </c>
      <c r="O1171" s="3">
        <v>5</v>
      </c>
      <c r="P1171" s="3" t="s">
        <v>1678</v>
      </c>
      <c r="Q1171" s="3">
        <v>170</v>
      </c>
      <c r="R1171" s="3"/>
      <c r="S1171" s="3"/>
      <c r="T1171" s="3"/>
      <c r="U1171" s="3"/>
      <c r="V1171" s="3"/>
      <c r="W1171" s="3"/>
      <c r="X1171" s="3" t="s">
        <v>252</v>
      </c>
      <c r="Y1171" s="3" t="s">
        <v>87</v>
      </c>
    </row>
    <row r="1172" spans="1:25" ht="15" customHeight="1" x14ac:dyDescent="0.3">
      <c r="A1172" s="5">
        <v>45924</v>
      </c>
      <c r="B1172" s="25">
        <v>28</v>
      </c>
      <c r="C1172" s="3" t="s">
        <v>38</v>
      </c>
      <c r="D1172" s="3" t="s">
        <v>545</v>
      </c>
      <c r="E1172" s="3">
        <v>2</v>
      </c>
      <c r="F1172" s="3">
        <v>131</v>
      </c>
      <c r="G1172" s="6" t="s">
        <v>1151</v>
      </c>
      <c r="H1172" s="3" t="s">
        <v>1547</v>
      </c>
      <c r="I1172" s="6" t="s">
        <v>793</v>
      </c>
      <c r="J1172" s="3">
        <v>3</v>
      </c>
      <c r="K1172" s="3">
        <v>3</v>
      </c>
      <c r="L1172" s="3">
        <v>17.850000000000001</v>
      </c>
      <c r="M1172" s="3">
        <v>3.3</v>
      </c>
      <c r="N1172" s="3">
        <v>8.1999999999999993</v>
      </c>
      <c r="O1172" s="3">
        <v>5</v>
      </c>
      <c r="P1172" s="3"/>
      <c r="Q1172" s="3">
        <v>175</v>
      </c>
      <c r="R1172" s="3"/>
      <c r="S1172" s="3"/>
      <c r="T1172" s="3"/>
      <c r="U1172" s="3"/>
      <c r="V1172" s="3"/>
      <c r="W1172" s="3"/>
      <c r="X1172" s="3" t="s">
        <v>1658</v>
      </c>
      <c r="Y1172" s="3" t="s">
        <v>1273</v>
      </c>
    </row>
    <row r="1173" spans="1:25" ht="15" customHeight="1" x14ac:dyDescent="0.3">
      <c r="A1173" s="5">
        <v>45924</v>
      </c>
      <c r="B1173" s="25">
        <v>28</v>
      </c>
      <c r="C1173" s="3" t="s">
        <v>38</v>
      </c>
      <c r="D1173" s="3" t="s">
        <v>545</v>
      </c>
      <c r="E1173" s="3">
        <v>2</v>
      </c>
      <c r="F1173" s="3">
        <v>132</v>
      </c>
      <c r="G1173" s="6" t="s">
        <v>1628</v>
      </c>
      <c r="H1173" s="3" t="s">
        <v>1629</v>
      </c>
      <c r="I1173" s="6" t="s">
        <v>793</v>
      </c>
      <c r="J1173" s="3">
        <v>3</v>
      </c>
      <c r="K1173" s="3">
        <v>3</v>
      </c>
      <c r="L1173" s="3">
        <v>21.11</v>
      </c>
      <c r="M1173" s="3">
        <v>5.5</v>
      </c>
      <c r="N1173" s="3">
        <v>10.25</v>
      </c>
      <c r="O1173" s="3">
        <v>6.5</v>
      </c>
      <c r="P1173" s="3"/>
      <c r="Q1173" s="3">
        <v>175</v>
      </c>
      <c r="R1173" s="3"/>
      <c r="S1173" s="3"/>
      <c r="T1173" s="3"/>
      <c r="U1173" s="3"/>
      <c r="V1173" s="3"/>
      <c r="W1173" s="3"/>
      <c r="X1173" s="3" t="s">
        <v>1492</v>
      </c>
      <c r="Y1173" s="3" t="s">
        <v>1217</v>
      </c>
    </row>
    <row r="1174" spans="1:25" ht="15" customHeight="1" x14ac:dyDescent="0.3">
      <c r="A1174" s="5">
        <v>45924</v>
      </c>
      <c r="B1174" s="25">
        <v>28</v>
      </c>
      <c r="C1174" s="3" t="s">
        <v>38</v>
      </c>
      <c r="D1174" s="3" t="s">
        <v>545</v>
      </c>
      <c r="E1174" s="3">
        <v>2</v>
      </c>
      <c r="F1174" s="3">
        <v>134</v>
      </c>
      <c r="G1174" s="6" t="s">
        <v>1672</v>
      </c>
      <c r="H1174" s="3" t="s">
        <v>1673</v>
      </c>
      <c r="I1174" s="6" t="s">
        <v>793</v>
      </c>
      <c r="J1174" s="3">
        <v>3</v>
      </c>
      <c r="K1174" s="3">
        <v>3</v>
      </c>
      <c r="L1174" s="3">
        <v>15.75</v>
      </c>
      <c r="M1174" s="3">
        <v>3.5</v>
      </c>
      <c r="N1174" s="3">
        <v>6.2</v>
      </c>
      <c r="O1174" s="3">
        <v>5</v>
      </c>
      <c r="P1174" s="3"/>
      <c r="Q1174" s="3">
        <v>170</v>
      </c>
      <c r="R1174" s="3"/>
      <c r="S1174" s="3"/>
      <c r="T1174" s="3"/>
      <c r="U1174" s="3"/>
      <c r="V1174" s="3"/>
      <c r="W1174" s="3"/>
      <c r="X1174" s="3" t="s">
        <v>1683</v>
      </c>
      <c r="Y1174" s="3" t="s">
        <v>1685</v>
      </c>
    </row>
    <row r="1175" spans="1:25" ht="15" customHeight="1" x14ac:dyDescent="0.3">
      <c r="A1175" s="5">
        <v>45924</v>
      </c>
      <c r="B1175" s="25">
        <v>28</v>
      </c>
      <c r="C1175" s="3" t="s">
        <v>38</v>
      </c>
      <c r="D1175" s="3" t="s">
        <v>545</v>
      </c>
      <c r="E1175" s="3">
        <v>2</v>
      </c>
      <c r="F1175" s="3">
        <v>135</v>
      </c>
      <c r="G1175" s="6" t="s">
        <v>1642</v>
      </c>
      <c r="H1175" s="3" t="s">
        <v>1643</v>
      </c>
      <c r="I1175" s="6" t="s">
        <v>793</v>
      </c>
      <c r="J1175" s="3">
        <v>2</v>
      </c>
      <c r="K1175" s="3">
        <v>2</v>
      </c>
      <c r="L1175" s="3">
        <v>19.88</v>
      </c>
      <c r="M1175" s="3">
        <v>3.8</v>
      </c>
      <c r="N1175" s="3">
        <v>10</v>
      </c>
      <c r="O1175" s="3">
        <v>5</v>
      </c>
      <c r="P1175" s="3"/>
      <c r="Q1175" s="3">
        <v>180</v>
      </c>
      <c r="R1175" s="3"/>
      <c r="S1175" s="3"/>
      <c r="T1175" s="3"/>
      <c r="U1175" s="3"/>
      <c r="V1175" s="3"/>
      <c r="W1175" s="3"/>
      <c r="X1175" s="3" t="s">
        <v>1494</v>
      </c>
      <c r="Y1175" s="3" t="s">
        <v>399</v>
      </c>
    </row>
    <row r="1176" spans="1:25" ht="15" customHeight="1" x14ac:dyDescent="0.3">
      <c r="A1176" s="5">
        <v>45924</v>
      </c>
      <c r="B1176" s="25">
        <v>28</v>
      </c>
      <c r="C1176" s="3" t="s">
        <v>38</v>
      </c>
      <c r="D1176" s="3" t="s">
        <v>545</v>
      </c>
      <c r="E1176" s="3">
        <v>2</v>
      </c>
      <c r="F1176" s="3">
        <v>202</v>
      </c>
      <c r="G1176" s="6" t="s">
        <v>1674</v>
      </c>
      <c r="H1176" s="3" t="s">
        <v>1675</v>
      </c>
      <c r="I1176" s="6" t="s">
        <v>111</v>
      </c>
      <c r="J1176" s="3">
        <v>8</v>
      </c>
      <c r="K1176" s="23">
        <v>7</v>
      </c>
      <c r="L1176" s="3">
        <v>35.5</v>
      </c>
      <c r="M1176" s="3">
        <v>15</v>
      </c>
      <c r="N1176" s="3">
        <v>3</v>
      </c>
      <c r="O1176" s="3"/>
      <c r="P1176" s="3"/>
      <c r="Q1176" s="3"/>
      <c r="R1176" s="3" t="s">
        <v>1034</v>
      </c>
      <c r="S1176" s="3" t="s">
        <v>64</v>
      </c>
      <c r="T1176" s="3">
        <v>3</v>
      </c>
      <c r="U1176" s="3">
        <v>10</v>
      </c>
      <c r="V1176" s="3">
        <v>15</v>
      </c>
      <c r="W1176" s="3">
        <v>140</v>
      </c>
      <c r="X1176" s="3" t="s">
        <v>1684</v>
      </c>
      <c r="Y1176" s="3"/>
    </row>
    <row r="1177" spans="1:25" ht="15" customHeight="1" x14ac:dyDescent="0.3">
      <c r="A1177" s="5">
        <v>45924</v>
      </c>
      <c r="B1177" s="25">
        <v>28</v>
      </c>
      <c r="C1177" s="3" t="s">
        <v>38</v>
      </c>
      <c r="D1177" s="3" t="s">
        <v>545</v>
      </c>
      <c r="E1177" s="3">
        <v>2</v>
      </c>
      <c r="F1177" s="3">
        <v>203</v>
      </c>
      <c r="G1177" s="6" t="s">
        <v>23</v>
      </c>
      <c r="H1177" s="3" t="s">
        <v>1256</v>
      </c>
      <c r="I1177" s="6" t="s">
        <v>111</v>
      </c>
      <c r="J1177" s="3">
        <v>8</v>
      </c>
      <c r="K1177" s="3">
        <v>8</v>
      </c>
      <c r="L1177" s="3">
        <v>18.5</v>
      </c>
      <c r="M1177" s="3">
        <v>5</v>
      </c>
      <c r="N1177" s="3">
        <v>3.5</v>
      </c>
      <c r="O1177" s="3"/>
      <c r="P1177" s="3"/>
      <c r="Q1177" s="3"/>
      <c r="R1177" s="3" t="s">
        <v>1649</v>
      </c>
      <c r="S1177" s="3" t="s">
        <v>72</v>
      </c>
      <c r="T1177" s="3">
        <v>1.5</v>
      </c>
      <c r="U1177" s="3">
        <v>20</v>
      </c>
      <c r="V1177" s="3">
        <v>25</v>
      </c>
      <c r="W1177" s="3">
        <v>95</v>
      </c>
      <c r="X1177" s="3" t="s">
        <v>1659</v>
      </c>
      <c r="Y1177" s="3" t="s">
        <v>1686</v>
      </c>
    </row>
    <row r="1178" spans="1:25" ht="15" customHeight="1" x14ac:dyDescent="0.3">
      <c r="A1178" s="5">
        <v>45924</v>
      </c>
      <c r="B1178" s="25">
        <v>28</v>
      </c>
      <c r="C1178" s="3" t="s">
        <v>38</v>
      </c>
      <c r="D1178" s="3" t="s">
        <v>545</v>
      </c>
      <c r="E1178" s="3">
        <v>2</v>
      </c>
      <c r="F1178" s="3">
        <v>204</v>
      </c>
      <c r="G1178" s="6" t="s">
        <v>1644</v>
      </c>
      <c r="H1178" s="3">
        <v>18812</v>
      </c>
      <c r="I1178" s="6" t="s">
        <v>111</v>
      </c>
      <c r="J1178" s="3">
        <v>4</v>
      </c>
      <c r="K1178" s="3">
        <v>4</v>
      </c>
      <c r="L1178" s="3">
        <v>31.6</v>
      </c>
      <c r="M1178" s="3">
        <v>20</v>
      </c>
      <c r="N1178" s="3">
        <v>2.8</v>
      </c>
      <c r="O1178" s="3"/>
      <c r="P1178" s="3"/>
      <c r="Q1178" s="3"/>
      <c r="R1178" s="3" t="s">
        <v>71</v>
      </c>
      <c r="S1178" s="3" t="s">
        <v>1651</v>
      </c>
      <c r="T1178" s="3">
        <v>1</v>
      </c>
      <c r="U1178" s="3">
        <v>25</v>
      </c>
      <c r="V1178" s="3">
        <v>30</v>
      </c>
      <c r="W1178" s="3">
        <v>100</v>
      </c>
      <c r="X1178" s="3" t="s">
        <v>1588</v>
      </c>
      <c r="Y1178" s="3"/>
    </row>
    <row r="1179" spans="1:25" ht="15" customHeight="1" x14ac:dyDescent="0.3">
      <c r="A1179" s="5">
        <v>45924</v>
      </c>
      <c r="B1179" s="25">
        <v>28</v>
      </c>
      <c r="C1179" s="3" t="s">
        <v>38</v>
      </c>
      <c r="D1179" s="3" t="s">
        <v>545</v>
      </c>
      <c r="E1179" s="3">
        <v>2</v>
      </c>
      <c r="F1179" s="3">
        <v>205</v>
      </c>
      <c r="G1179" s="6" t="s">
        <v>1548</v>
      </c>
      <c r="H1179" s="3">
        <v>18857</v>
      </c>
      <c r="I1179" s="6" t="s">
        <v>111</v>
      </c>
      <c r="J1179" s="3">
        <v>12</v>
      </c>
      <c r="K1179" s="23">
        <v>10</v>
      </c>
      <c r="L1179" s="3">
        <v>23.3</v>
      </c>
      <c r="M1179" s="3">
        <v>10</v>
      </c>
      <c r="N1179" s="3">
        <v>3</v>
      </c>
      <c r="O1179" s="3"/>
      <c r="P1179" s="3"/>
      <c r="Q1179" s="3"/>
      <c r="R1179" s="3" t="s">
        <v>386</v>
      </c>
      <c r="S1179" s="3" t="s">
        <v>72</v>
      </c>
      <c r="T1179" s="3">
        <v>1</v>
      </c>
      <c r="U1179" s="3">
        <v>20</v>
      </c>
      <c r="V1179" s="3">
        <v>25</v>
      </c>
      <c r="W1179" s="3">
        <v>90</v>
      </c>
      <c r="X1179" s="3" t="s">
        <v>1613</v>
      </c>
      <c r="Y1179" s="3"/>
    </row>
    <row r="1180" spans="1:25" ht="15" customHeight="1" x14ac:dyDescent="0.3">
      <c r="A1180" s="5">
        <v>45924</v>
      </c>
      <c r="B1180" s="25">
        <v>28</v>
      </c>
      <c r="C1180" s="3" t="s">
        <v>38</v>
      </c>
      <c r="D1180" s="3" t="s">
        <v>545</v>
      </c>
      <c r="E1180" s="3">
        <v>2</v>
      </c>
      <c r="F1180" s="3">
        <v>207</v>
      </c>
      <c r="G1180" s="6" t="s">
        <v>476</v>
      </c>
      <c r="H1180" s="3">
        <v>18834</v>
      </c>
      <c r="I1180" s="6" t="s">
        <v>111</v>
      </c>
      <c r="J1180" s="3">
        <v>12</v>
      </c>
      <c r="K1180" s="23">
        <v>9</v>
      </c>
      <c r="L1180" s="3">
        <v>29.61</v>
      </c>
      <c r="M1180" s="3">
        <v>12</v>
      </c>
      <c r="N1180" s="3">
        <v>3</v>
      </c>
      <c r="O1180" s="3"/>
      <c r="P1180" s="3"/>
      <c r="Q1180" s="3"/>
      <c r="R1180" s="3" t="s">
        <v>637</v>
      </c>
      <c r="S1180" s="3" t="s">
        <v>75</v>
      </c>
      <c r="T1180" s="3">
        <v>2</v>
      </c>
      <c r="U1180" s="3">
        <v>15</v>
      </c>
      <c r="V1180" s="3">
        <v>20</v>
      </c>
      <c r="W1180" s="3">
        <v>140</v>
      </c>
      <c r="X1180" s="3" t="s">
        <v>1660</v>
      </c>
      <c r="Y1180" s="3" t="s">
        <v>1687</v>
      </c>
    </row>
    <row r="1181" spans="1:25" ht="15" customHeight="1" x14ac:dyDescent="0.3">
      <c r="A1181" s="5">
        <v>45924</v>
      </c>
      <c r="B1181" s="25">
        <v>28</v>
      </c>
      <c r="C1181" s="3" t="s">
        <v>38</v>
      </c>
      <c r="D1181" s="3" t="s">
        <v>545</v>
      </c>
      <c r="E1181" s="3">
        <v>2</v>
      </c>
      <c r="F1181" s="3">
        <v>209</v>
      </c>
      <c r="G1181" s="6" t="s">
        <v>996</v>
      </c>
      <c r="H1181" s="3" t="s">
        <v>1484</v>
      </c>
      <c r="I1181" s="6" t="s">
        <v>111</v>
      </c>
      <c r="J1181" s="3">
        <v>4</v>
      </c>
      <c r="K1181" s="23">
        <v>3</v>
      </c>
      <c r="L1181" s="3">
        <v>27.5</v>
      </c>
      <c r="M1181" s="3">
        <v>13</v>
      </c>
      <c r="N1181" s="3">
        <v>3</v>
      </c>
      <c r="O1181" s="3"/>
      <c r="P1181" s="3"/>
      <c r="Q1181" s="3"/>
      <c r="R1181" s="3" t="s">
        <v>1553</v>
      </c>
      <c r="S1181" s="3" t="s">
        <v>1518</v>
      </c>
      <c r="T1181" s="3">
        <v>2.5</v>
      </c>
      <c r="U1181" s="3">
        <v>25</v>
      </c>
      <c r="V1181" s="3">
        <v>30</v>
      </c>
      <c r="W1181" s="3">
        <v>170</v>
      </c>
      <c r="X1181" s="3" t="s">
        <v>1565</v>
      </c>
      <c r="Y1181" s="3" t="s">
        <v>1665</v>
      </c>
    </row>
    <row r="1182" spans="1:25" ht="15" customHeight="1" x14ac:dyDescent="0.3">
      <c r="A1182" s="5">
        <v>45924</v>
      </c>
      <c r="B1182" s="25">
        <v>28</v>
      </c>
      <c r="C1182" s="3" t="s">
        <v>38</v>
      </c>
      <c r="D1182" s="3" t="s">
        <v>545</v>
      </c>
      <c r="E1182" s="3">
        <v>2</v>
      </c>
      <c r="F1182" s="3">
        <v>501</v>
      </c>
      <c r="G1182" s="6" t="s">
        <v>1647</v>
      </c>
      <c r="H1182" s="3">
        <v>18817</v>
      </c>
      <c r="I1182" s="6" t="s">
        <v>110</v>
      </c>
      <c r="J1182" s="3">
        <v>6</v>
      </c>
      <c r="K1182" s="3">
        <v>6</v>
      </c>
      <c r="L1182" s="3">
        <v>18.02</v>
      </c>
      <c r="M1182" s="3"/>
      <c r="N1182" s="3"/>
      <c r="O1182" s="3">
        <v>11</v>
      </c>
      <c r="P1182" s="3"/>
      <c r="Q1182" s="3"/>
      <c r="R1182" s="3"/>
      <c r="S1182" s="3"/>
      <c r="T1182" s="3"/>
      <c r="U1182" s="3"/>
      <c r="V1182" s="3"/>
      <c r="W1182" s="3">
        <v>305</v>
      </c>
      <c r="X1182" s="3" t="s">
        <v>1662</v>
      </c>
      <c r="Y1182" s="3"/>
    </row>
    <row r="1183" spans="1:25" ht="15" customHeight="1" x14ac:dyDescent="0.3">
      <c r="A1183" s="5">
        <v>45924</v>
      </c>
      <c r="B1183" s="25">
        <v>28</v>
      </c>
      <c r="C1183" s="3" t="s">
        <v>38</v>
      </c>
      <c r="D1183" s="3" t="s">
        <v>545</v>
      </c>
      <c r="E1183" s="3">
        <v>2</v>
      </c>
      <c r="F1183" s="3">
        <v>212</v>
      </c>
      <c r="G1183" s="6" t="s">
        <v>887</v>
      </c>
      <c r="H1183" s="3">
        <v>18808</v>
      </c>
      <c r="I1183" s="6" t="s">
        <v>111</v>
      </c>
      <c r="J1183" s="3">
        <v>12</v>
      </c>
      <c r="K1183" s="23">
        <v>11</v>
      </c>
      <c r="L1183" s="3">
        <v>33.67</v>
      </c>
      <c r="M1183" s="3">
        <v>18</v>
      </c>
      <c r="N1183" s="3">
        <v>3</v>
      </c>
      <c r="O1183" s="3"/>
      <c r="P1183" s="3"/>
      <c r="Q1183" s="3"/>
      <c r="R1183" s="3" t="s">
        <v>1679</v>
      </c>
      <c r="S1183" s="3" t="s">
        <v>1680</v>
      </c>
      <c r="T1183" s="3">
        <v>1</v>
      </c>
      <c r="U1183" s="3">
        <v>20</v>
      </c>
      <c r="V1183" s="3">
        <v>20</v>
      </c>
      <c r="W1183" s="3">
        <v>170</v>
      </c>
      <c r="X1183" s="3" t="s">
        <v>1535</v>
      </c>
      <c r="Y1183" s="6" t="s">
        <v>1688</v>
      </c>
    </row>
    <row r="1184" spans="1:25" ht="15" customHeight="1" x14ac:dyDescent="0.3">
      <c r="A1184" s="27">
        <v>45926</v>
      </c>
      <c r="B1184" s="25">
        <v>29</v>
      </c>
      <c r="C1184" s="3" t="s">
        <v>38</v>
      </c>
      <c r="D1184" s="3" t="s">
        <v>545</v>
      </c>
      <c r="E1184" s="3">
        <v>2</v>
      </c>
      <c r="F1184" s="3">
        <v>102</v>
      </c>
      <c r="G1184" s="6" t="s">
        <v>7</v>
      </c>
      <c r="H1184" s="3" t="s">
        <v>1689</v>
      </c>
      <c r="I1184" s="6" t="s">
        <v>793</v>
      </c>
      <c r="J1184" s="3">
        <v>6</v>
      </c>
      <c r="K1184" s="3">
        <v>6</v>
      </c>
      <c r="L1184" s="3">
        <v>12.79</v>
      </c>
      <c r="M1184" s="3">
        <v>2.2000000000000002</v>
      </c>
      <c r="N1184" s="3">
        <v>5.5</v>
      </c>
      <c r="O1184" s="3">
        <v>4.2</v>
      </c>
      <c r="P1184" s="3">
        <v>50</v>
      </c>
      <c r="Q1184" s="3">
        <v>170</v>
      </c>
      <c r="R1184" s="3"/>
      <c r="S1184" s="3"/>
      <c r="T1184" s="3"/>
      <c r="U1184" s="3"/>
      <c r="V1184" s="3"/>
      <c r="W1184" s="3"/>
      <c r="X1184" s="3" t="s">
        <v>1711</v>
      </c>
      <c r="Y1184" s="3" t="s">
        <v>138</v>
      </c>
    </row>
    <row r="1185" spans="1:25" ht="15" customHeight="1" x14ac:dyDescent="0.3">
      <c r="A1185" s="27">
        <v>45926</v>
      </c>
      <c r="B1185" s="25">
        <v>29</v>
      </c>
      <c r="C1185" s="3" t="s">
        <v>38</v>
      </c>
      <c r="D1185" s="3" t="s">
        <v>545</v>
      </c>
      <c r="E1185" s="3">
        <v>2</v>
      </c>
      <c r="F1185" s="3">
        <v>103</v>
      </c>
      <c r="G1185" s="6" t="s">
        <v>163</v>
      </c>
      <c r="H1185" s="3" t="s">
        <v>1578</v>
      </c>
      <c r="I1185" s="6" t="s">
        <v>793</v>
      </c>
      <c r="J1185" s="3">
        <v>5</v>
      </c>
      <c r="K1185" s="3">
        <v>5</v>
      </c>
      <c r="L1185" s="3">
        <v>14.72</v>
      </c>
      <c r="M1185" s="3">
        <v>3.8</v>
      </c>
      <c r="N1185" s="3">
        <v>6.9</v>
      </c>
      <c r="O1185" s="3">
        <v>6</v>
      </c>
      <c r="P1185" s="3">
        <v>40</v>
      </c>
      <c r="Q1185" s="3">
        <v>160</v>
      </c>
      <c r="R1185" s="3"/>
      <c r="S1185" s="3"/>
      <c r="T1185" s="3"/>
      <c r="U1185" s="3"/>
      <c r="V1185" s="3"/>
      <c r="W1185" s="3"/>
      <c r="X1185" s="3" t="s">
        <v>251</v>
      </c>
      <c r="Y1185" s="3" t="s">
        <v>1615</v>
      </c>
    </row>
    <row r="1186" spans="1:25" ht="15" customHeight="1" x14ac:dyDescent="0.3">
      <c r="A1186" s="27">
        <v>45926</v>
      </c>
      <c r="B1186" s="25">
        <v>29</v>
      </c>
      <c r="C1186" s="3" t="s">
        <v>38</v>
      </c>
      <c r="D1186" s="3" t="s">
        <v>545</v>
      </c>
      <c r="E1186" s="3">
        <v>2</v>
      </c>
      <c r="F1186" s="3">
        <v>161</v>
      </c>
      <c r="G1186" s="6" t="s">
        <v>818</v>
      </c>
      <c r="H1186" s="3" t="s">
        <v>1690</v>
      </c>
      <c r="I1186" s="6" t="s">
        <v>793</v>
      </c>
      <c r="J1186" s="3">
        <v>2</v>
      </c>
      <c r="K1186" s="3">
        <v>2</v>
      </c>
      <c r="L1186" s="3">
        <v>21</v>
      </c>
      <c r="M1186" s="3">
        <v>6.5</v>
      </c>
      <c r="N1186" s="3">
        <v>9</v>
      </c>
      <c r="O1186" s="3">
        <v>2.8</v>
      </c>
      <c r="P1186" s="3"/>
      <c r="Q1186" s="3">
        <v>180</v>
      </c>
      <c r="R1186" s="3"/>
      <c r="S1186" s="3"/>
      <c r="T1186" s="3"/>
      <c r="U1186" s="3"/>
      <c r="V1186" s="3"/>
      <c r="W1186" s="3"/>
      <c r="X1186" s="3" t="s">
        <v>388</v>
      </c>
      <c r="Y1186" s="3" t="s">
        <v>1018</v>
      </c>
    </row>
    <row r="1187" spans="1:25" ht="15" customHeight="1" x14ac:dyDescent="0.3">
      <c r="A1187" s="27">
        <v>45926</v>
      </c>
      <c r="B1187" s="25">
        <v>29</v>
      </c>
      <c r="C1187" s="3" t="s">
        <v>38</v>
      </c>
      <c r="D1187" s="3" t="s">
        <v>545</v>
      </c>
      <c r="E1187" s="3">
        <v>2</v>
      </c>
      <c r="F1187" s="3">
        <v>162</v>
      </c>
      <c r="G1187" s="6" t="s">
        <v>1454</v>
      </c>
      <c r="H1187" s="3" t="s">
        <v>1634</v>
      </c>
      <c r="I1187" s="6" t="s">
        <v>793</v>
      </c>
      <c r="J1187" s="3">
        <v>2</v>
      </c>
      <c r="K1187" s="3">
        <v>2</v>
      </c>
      <c r="L1187" s="3">
        <v>24</v>
      </c>
      <c r="M1187" s="3">
        <v>6.5</v>
      </c>
      <c r="N1187" s="3">
        <v>10</v>
      </c>
      <c r="O1187" s="3">
        <v>4</v>
      </c>
      <c r="P1187" s="3">
        <v>40</v>
      </c>
      <c r="Q1187" s="3">
        <v>170</v>
      </c>
      <c r="R1187" s="3"/>
      <c r="S1187" s="3"/>
      <c r="T1187" s="3"/>
      <c r="U1187" s="3"/>
      <c r="V1187" s="3"/>
      <c r="W1187" s="3"/>
      <c r="X1187" s="3" t="s">
        <v>288</v>
      </c>
      <c r="Y1187" s="3" t="s">
        <v>83</v>
      </c>
    </row>
    <row r="1188" spans="1:25" ht="15" customHeight="1" x14ac:dyDescent="0.3">
      <c r="A1188" s="27">
        <v>45926</v>
      </c>
      <c r="B1188" s="25">
        <v>29</v>
      </c>
      <c r="C1188" s="3" t="s">
        <v>38</v>
      </c>
      <c r="D1188" s="3" t="s">
        <v>545</v>
      </c>
      <c r="E1188" s="3">
        <v>2</v>
      </c>
      <c r="F1188" s="3">
        <v>163</v>
      </c>
      <c r="G1188" s="6" t="s">
        <v>1691</v>
      </c>
      <c r="H1188" s="3" t="s">
        <v>1692</v>
      </c>
      <c r="I1188" s="6" t="s">
        <v>793</v>
      </c>
      <c r="J1188" s="3">
        <v>2</v>
      </c>
      <c r="K1188" s="3">
        <v>2</v>
      </c>
      <c r="L1188" s="3">
        <v>19.489999999999998</v>
      </c>
      <c r="M1188" s="3">
        <v>4</v>
      </c>
      <c r="N1188" s="3">
        <v>6.5</v>
      </c>
      <c r="O1188" s="3">
        <v>2.2999999999999998</v>
      </c>
      <c r="P1188" s="3">
        <v>40</v>
      </c>
      <c r="Q1188" s="3">
        <v>180</v>
      </c>
      <c r="R1188" s="3"/>
      <c r="S1188" s="3"/>
      <c r="T1188" s="3"/>
      <c r="U1188" s="3"/>
      <c r="V1188" s="3"/>
      <c r="W1188" s="3"/>
      <c r="X1188" s="3" t="s">
        <v>138</v>
      </c>
      <c r="Y1188" s="3" t="s">
        <v>1715</v>
      </c>
    </row>
    <row r="1189" spans="1:25" ht="15" customHeight="1" x14ac:dyDescent="0.3">
      <c r="A1189" s="27">
        <v>45926</v>
      </c>
      <c r="B1189" s="25">
        <v>29</v>
      </c>
      <c r="C1189" s="3" t="s">
        <v>38</v>
      </c>
      <c r="D1189" s="3" t="s">
        <v>545</v>
      </c>
      <c r="E1189" s="3">
        <v>2</v>
      </c>
      <c r="F1189" s="3">
        <v>164</v>
      </c>
      <c r="G1189" s="6" t="s">
        <v>764</v>
      </c>
      <c r="H1189" s="3" t="s">
        <v>1693</v>
      </c>
      <c r="I1189" s="6" t="s">
        <v>793</v>
      </c>
      <c r="J1189" s="3">
        <v>2</v>
      </c>
      <c r="K1189" s="3">
        <v>2</v>
      </c>
      <c r="L1189" s="3">
        <v>22.79</v>
      </c>
      <c r="M1189" s="3">
        <v>6.5</v>
      </c>
      <c r="N1189" s="3">
        <v>11</v>
      </c>
      <c r="O1189" s="3">
        <v>3.9</v>
      </c>
      <c r="P1189" s="3">
        <v>30</v>
      </c>
      <c r="Q1189" s="3">
        <v>170</v>
      </c>
      <c r="R1189" s="3"/>
      <c r="S1189" s="3"/>
      <c r="T1189" s="3"/>
      <c r="U1189" s="3"/>
      <c r="V1189" s="3"/>
      <c r="W1189" s="3"/>
      <c r="X1189" s="3" t="s">
        <v>138</v>
      </c>
      <c r="Y1189" s="3" t="s">
        <v>1018</v>
      </c>
    </row>
    <row r="1190" spans="1:25" ht="15" customHeight="1" x14ac:dyDescent="0.3">
      <c r="A1190" s="27">
        <v>45926</v>
      </c>
      <c r="B1190" s="25">
        <v>29</v>
      </c>
      <c r="C1190" s="3" t="s">
        <v>38</v>
      </c>
      <c r="D1190" s="3" t="s">
        <v>545</v>
      </c>
      <c r="E1190" s="3">
        <v>2</v>
      </c>
      <c r="F1190" s="3">
        <v>181</v>
      </c>
      <c r="G1190" s="6" t="s">
        <v>276</v>
      </c>
      <c r="H1190" s="3" t="s">
        <v>1694</v>
      </c>
      <c r="I1190" s="6" t="s">
        <v>793</v>
      </c>
      <c r="J1190" s="3">
        <v>4</v>
      </c>
      <c r="K1190" s="3">
        <v>4</v>
      </c>
      <c r="L1190" s="3">
        <v>14.5</v>
      </c>
      <c r="M1190" s="3">
        <v>3.5</v>
      </c>
      <c r="N1190" s="3">
        <v>5.5</v>
      </c>
      <c r="O1190" s="3">
        <v>3</v>
      </c>
      <c r="P1190" s="3">
        <v>38</v>
      </c>
      <c r="Q1190" s="3">
        <v>180</v>
      </c>
      <c r="R1190" s="3"/>
      <c r="S1190" s="3"/>
      <c r="T1190" s="3"/>
      <c r="U1190" s="3"/>
      <c r="V1190" s="3"/>
      <c r="W1190" s="3"/>
      <c r="X1190" s="3" t="s">
        <v>1657</v>
      </c>
      <c r="Y1190" s="3" t="s">
        <v>396</v>
      </c>
    </row>
    <row r="1191" spans="1:25" ht="15" customHeight="1" x14ac:dyDescent="0.3">
      <c r="A1191" s="27">
        <v>45926</v>
      </c>
      <c r="B1191" s="25">
        <v>29</v>
      </c>
      <c r="C1191" s="3" t="s">
        <v>38</v>
      </c>
      <c r="D1191" s="3" t="s">
        <v>545</v>
      </c>
      <c r="E1191" s="3">
        <v>2</v>
      </c>
      <c r="F1191" s="3">
        <v>401</v>
      </c>
      <c r="G1191" s="6" t="s">
        <v>844</v>
      </c>
      <c r="H1191" s="3" t="s">
        <v>1695</v>
      </c>
      <c r="I1191" s="6" t="s">
        <v>793</v>
      </c>
      <c r="J1191" s="3">
        <v>1</v>
      </c>
      <c r="K1191" s="3">
        <v>1</v>
      </c>
      <c r="L1191" s="3">
        <v>9.2899999999999991</v>
      </c>
      <c r="M1191" s="3"/>
      <c r="N1191" s="3"/>
      <c r="O1191" s="3">
        <v>3.5</v>
      </c>
      <c r="P1191" s="3"/>
      <c r="Q1191" s="3"/>
      <c r="R1191" s="3"/>
      <c r="S1191" s="3"/>
      <c r="T1191" s="3"/>
      <c r="U1191" s="3"/>
      <c r="V1191" s="3"/>
      <c r="W1191" s="3"/>
      <c r="X1191" s="3" t="s">
        <v>1712</v>
      </c>
      <c r="Y1191" s="3"/>
    </row>
    <row r="1192" spans="1:25" ht="15" customHeight="1" x14ac:dyDescent="0.3">
      <c r="A1192" s="27">
        <v>45926</v>
      </c>
      <c r="B1192" s="25">
        <v>29</v>
      </c>
      <c r="C1192" s="3" t="s">
        <v>38</v>
      </c>
      <c r="D1192" s="3" t="s">
        <v>545</v>
      </c>
      <c r="E1192" s="3">
        <v>2</v>
      </c>
      <c r="F1192" s="3">
        <v>172</v>
      </c>
      <c r="G1192" s="6" t="s">
        <v>1638</v>
      </c>
      <c r="H1192" s="3" t="s">
        <v>1639</v>
      </c>
      <c r="I1192" s="6" t="s">
        <v>793</v>
      </c>
      <c r="J1192" s="3">
        <v>4</v>
      </c>
      <c r="K1192" s="3">
        <v>4</v>
      </c>
      <c r="L1192" s="3">
        <v>17.41</v>
      </c>
      <c r="M1192" s="3">
        <v>1.5</v>
      </c>
      <c r="N1192" s="3">
        <v>11.4</v>
      </c>
      <c r="O1192" s="3">
        <v>10.199999999999999</v>
      </c>
      <c r="P1192" s="3" t="s">
        <v>1708</v>
      </c>
      <c r="Q1192" s="3">
        <v>170</v>
      </c>
      <c r="R1192" s="3"/>
      <c r="S1192" s="3"/>
      <c r="T1192" s="3"/>
      <c r="U1192" s="3"/>
      <c r="V1192" s="3"/>
      <c r="W1192" s="3"/>
      <c r="X1192" s="3" t="s">
        <v>79</v>
      </c>
      <c r="Y1192" s="3" t="s">
        <v>84</v>
      </c>
    </row>
    <row r="1193" spans="1:25" ht="15" customHeight="1" x14ac:dyDescent="0.3">
      <c r="A1193" s="27">
        <v>45926</v>
      </c>
      <c r="B1193" s="25">
        <v>29</v>
      </c>
      <c r="C1193" s="3" t="s">
        <v>38</v>
      </c>
      <c r="D1193" s="3" t="s">
        <v>545</v>
      </c>
      <c r="E1193" s="3">
        <v>2</v>
      </c>
      <c r="F1193" s="3">
        <v>174</v>
      </c>
      <c r="G1193" s="6" t="s">
        <v>18</v>
      </c>
      <c r="H1193" s="3" t="s">
        <v>1696</v>
      </c>
      <c r="I1193" s="6" t="s">
        <v>793</v>
      </c>
      <c r="J1193" s="3">
        <v>3</v>
      </c>
      <c r="K1193" s="3">
        <v>3</v>
      </c>
      <c r="L1193" s="3">
        <v>15.66</v>
      </c>
      <c r="M1193" s="3">
        <v>5</v>
      </c>
      <c r="N1193" s="3">
        <v>6.7</v>
      </c>
      <c r="O1193" s="3">
        <v>5.5</v>
      </c>
      <c r="P1193" s="3"/>
      <c r="Q1193" s="3">
        <v>175</v>
      </c>
      <c r="R1193" s="3"/>
      <c r="S1193" s="3"/>
      <c r="T1193" s="3"/>
      <c r="U1193" s="3"/>
      <c r="V1193" s="3"/>
      <c r="W1193" s="3"/>
      <c r="X1193" s="3" t="s">
        <v>901</v>
      </c>
      <c r="Y1193" s="3" t="s">
        <v>84</v>
      </c>
    </row>
    <row r="1194" spans="1:25" ht="15" customHeight="1" x14ac:dyDescent="0.3">
      <c r="A1194" s="27">
        <v>45926</v>
      </c>
      <c r="B1194" s="25">
        <v>29</v>
      </c>
      <c r="C1194" s="3" t="s">
        <v>38</v>
      </c>
      <c r="D1194" s="3" t="s">
        <v>545</v>
      </c>
      <c r="E1194" s="3">
        <v>2</v>
      </c>
      <c r="F1194" s="3">
        <v>176</v>
      </c>
      <c r="G1194" s="6" t="s">
        <v>17</v>
      </c>
      <c r="H1194" s="3" t="s">
        <v>1627</v>
      </c>
      <c r="I1194" s="6" t="s">
        <v>1676</v>
      </c>
      <c r="J1194" s="3">
        <v>5</v>
      </c>
      <c r="K1194" s="3">
        <v>5</v>
      </c>
      <c r="L1194" s="3">
        <v>19.079999999999998</v>
      </c>
      <c r="M1194" s="3">
        <v>1</v>
      </c>
      <c r="N1194" s="3">
        <v>10.8</v>
      </c>
      <c r="O1194" s="3">
        <v>7</v>
      </c>
      <c r="P1194" s="3" t="s">
        <v>1607</v>
      </c>
      <c r="Q1194" s="3">
        <v>170</v>
      </c>
      <c r="R1194" s="3"/>
      <c r="S1194" s="3"/>
      <c r="T1194" s="3"/>
      <c r="U1194" s="3"/>
      <c r="V1194" s="3"/>
      <c r="W1194" s="3"/>
      <c r="X1194" s="3" t="s">
        <v>79</v>
      </c>
      <c r="Y1194" s="3" t="s">
        <v>138</v>
      </c>
    </row>
    <row r="1195" spans="1:25" ht="15" customHeight="1" x14ac:dyDescent="0.3">
      <c r="A1195" s="27">
        <v>45926</v>
      </c>
      <c r="B1195" s="25">
        <v>29</v>
      </c>
      <c r="C1195" s="3" t="s">
        <v>38</v>
      </c>
      <c r="D1195" s="3" t="s">
        <v>545</v>
      </c>
      <c r="E1195" s="3">
        <v>2</v>
      </c>
      <c r="F1195" s="3">
        <v>131</v>
      </c>
      <c r="G1195" s="6" t="s">
        <v>1151</v>
      </c>
      <c r="H1195" s="3" t="s">
        <v>1547</v>
      </c>
      <c r="I1195" s="6" t="s">
        <v>793</v>
      </c>
      <c r="J1195" s="3">
        <v>3</v>
      </c>
      <c r="K1195" s="3">
        <v>3</v>
      </c>
      <c r="L1195" s="3">
        <v>18.420000000000002</v>
      </c>
      <c r="M1195" s="3">
        <v>8.5</v>
      </c>
      <c r="N1195" s="3">
        <v>3.8</v>
      </c>
      <c r="O1195" s="3">
        <v>5</v>
      </c>
      <c r="P1195" s="3"/>
      <c r="Q1195" s="3">
        <v>175</v>
      </c>
      <c r="R1195" s="3"/>
      <c r="S1195" s="3"/>
      <c r="T1195" s="3"/>
      <c r="U1195" s="3"/>
      <c r="V1195" s="3"/>
      <c r="W1195" s="3"/>
      <c r="X1195" s="3" t="s">
        <v>1658</v>
      </c>
      <c r="Y1195" s="3" t="s">
        <v>399</v>
      </c>
    </row>
    <row r="1196" spans="1:25" ht="15" customHeight="1" x14ac:dyDescent="0.3">
      <c r="A1196" s="27">
        <v>45926</v>
      </c>
      <c r="B1196" s="25">
        <v>29</v>
      </c>
      <c r="C1196" s="3" t="s">
        <v>38</v>
      </c>
      <c r="D1196" s="3" t="s">
        <v>545</v>
      </c>
      <c r="E1196" s="3">
        <v>2</v>
      </c>
      <c r="F1196" s="3">
        <v>132</v>
      </c>
      <c r="G1196" s="6" t="s">
        <v>560</v>
      </c>
      <c r="H1196" s="3" t="s">
        <v>1697</v>
      </c>
      <c r="I1196" s="6" t="s">
        <v>793</v>
      </c>
      <c r="J1196" s="3">
        <v>3</v>
      </c>
      <c r="K1196" s="3">
        <v>3</v>
      </c>
      <c r="L1196" s="3">
        <v>17.36</v>
      </c>
      <c r="M1196" s="3">
        <v>3.5</v>
      </c>
      <c r="N1196" s="3">
        <v>7.7</v>
      </c>
      <c r="O1196" s="3">
        <v>6.5</v>
      </c>
      <c r="P1196" s="3"/>
      <c r="Q1196" s="3">
        <v>175</v>
      </c>
      <c r="R1196" s="3"/>
      <c r="S1196" s="3"/>
      <c r="T1196" s="3"/>
      <c r="U1196" s="3"/>
      <c r="V1196" s="3"/>
      <c r="W1196" s="3"/>
      <c r="X1196" s="3" t="s">
        <v>1492</v>
      </c>
      <c r="Y1196" s="3" t="s">
        <v>399</v>
      </c>
    </row>
    <row r="1197" spans="1:25" ht="15" customHeight="1" x14ac:dyDescent="0.3">
      <c r="A1197" s="27">
        <v>45926</v>
      </c>
      <c r="B1197" s="25">
        <v>29</v>
      </c>
      <c r="C1197" s="3" t="s">
        <v>38</v>
      </c>
      <c r="D1197" s="3" t="s">
        <v>545</v>
      </c>
      <c r="E1197" s="3">
        <v>2</v>
      </c>
      <c r="F1197" s="3">
        <v>133</v>
      </c>
      <c r="G1197" s="6" t="s">
        <v>1698</v>
      </c>
      <c r="H1197" s="3" t="s">
        <v>1699</v>
      </c>
      <c r="I1197" s="6" t="s">
        <v>793</v>
      </c>
      <c r="J1197" s="3">
        <v>4</v>
      </c>
      <c r="K1197" s="3">
        <v>4</v>
      </c>
      <c r="L1197" s="3">
        <v>16.97</v>
      </c>
      <c r="M1197" s="3">
        <v>3</v>
      </c>
      <c r="N1197" s="3">
        <v>6.5</v>
      </c>
      <c r="O1197" s="3">
        <v>5.5</v>
      </c>
      <c r="P1197" s="3"/>
      <c r="Q1197" s="3">
        <v>150</v>
      </c>
      <c r="R1197" s="3"/>
      <c r="S1197" s="3"/>
      <c r="T1197" s="3"/>
      <c r="U1197" s="3"/>
      <c r="V1197" s="3"/>
      <c r="W1197" s="3"/>
      <c r="X1197" s="3" t="s">
        <v>84</v>
      </c>
      <c r="Y1197" s="3" t="s">
        <v>80</v>
      </c>
    </row>
    <row r="1198" spans="1:25" ht="15" customHeight="1" x14ac:dyDescent="0.3">
      <c r="A1198" s="27">
        <v>45926</v>
      </c>
      <c r="B1198" s="25">
        <v>29</v>
      </c>
      <c r="C1198" s="3" t="s">
        <v>38</v>
      </c>
      <c r="D1198" s="3" t="s">
        <v>545</v>
      </c>
      <c r="E1198" s="3">
        <v>2</v>
      </c>
      <c r="F1198" s="3">
        <v>134</v>
      </c>
      <c r="G1198" s="6" t="s">
        <v>1480</v>
      </c>
      <c r="H1198" s="3" t="s">
        <v>1700</v>
      </c>
      <c r="I1198" s="6" t="s">
        <v>793</v>
      </c>
      <c r="J1198" s="3">
        <v>3</v>
      </c>
      <c r="K1198" s="3">
        <v>3</v>
      </c>
      <c r="L1198" s="3">
        <v>15.75</v>
      </c>
      <c r="M1198" s="3">
        <v>3.5</v>
      </c>
      <c r="N1198" s="3">
        <v>6.2</v>
      </c>
      <c r="O1198" s="3">
        <v>5</v>
      </c>
      <c r="P1198" s="3"/>
      <c r="Q1198" s="3">
        <v>150</v>
      </c>
      <c r="R1198" s="3"/>
      <c r="S1198" s="3"/>
      <c r="T1198" s="3"/>
      <c r="U1198" s="3"/>
      <c r="V1198" s="3"/>
      <c r="W1198" s="3"/>
      <c r="X1198" s="3" t="s">
        <v>87</v>
      </c>
      <c r="Y1198" s="3" t="s">
        <v>1217</v>
      </c>
    </row>
    <row r="1199" spans="1:25" ht="15" customHeight="1" x14ac:dyDescent="0.3">
      <c r="A1199" s="27">
        <v>45926</v>
      </c>
      <c r="B1199" s="25">
        <v>29</v>
      </c>
      <c r="C1199" s="3" t="s">
        <v>38</v>
      </c>
      <c r="D1199" s="3" t="s">
        <v>545</v>
      </c>
      <c r="E1199" s="3">
        <v>2</v>
      </c>
      <c r="F1199" s="3">
        <v>135</v>
      </c>
      <c r="G1199" s="6" t="s">
        <v>1642</v>
      </c>
      <c r="H1199" s="3" t="s">
        <v>1643</v>
      </c>
      <c r="I1199" s="6" t="s">
        <v>793</v>
      </c>
      <c r="J1199" s="3">
        <v>2</v>
      </c>
      <c r="K1199" s="3">
        <v>2</v>
      </c>
      <c r="L1199" s="3">
        <v>19.940000000000001</v>
      </c>
      <c r="M1199" s="3">
        <v>3.8</v>
      </c>
      <c r="N1199" s="3">
        <v>10</v>
      </c>
      <c r="O1199" s="3">
        <v>4</v>
      </c>
      <c r="P1199" s="3"/>
      <c r="Q1199" s="3">
        <v>180</v>
      </c>
      <c r="R1199" s="3"/>
      <c r="S1199" s="3"/>
      <c r="T1199" s="3"/>
      <c r="U1199" s="3"/>
      <c r="V1199" s="3"/>
      <c r="W1199" s="3"/>
      <c r="X1199" s="3" t="s">
        <v>1494</v>
      </c>
      <c r="Y1199" s="3" t="s">
        <v>1716</v>
      </c>
    </row>
    <row r="1200" spans="1:25" ht="15" customHeight="1" x14ac:dyDescent="0.3">
      <c r="A1200" s="27">
        <v>45926</v>
      </c>
      <c r="B1200" s="25">
        <v>29</v>
      </c>
      <c r="C1200" s="3" t="s">
        <v>38</v>
      </c>
      <c r="D1200" s="3" t="s">
        <v>545</v>
      </c>
      <c r="E1200" s="3">
        <v>2</v>
      </c>
      <c r="F1200" s="3">
        <v>138</v>
      </c>
      <c r="G1200" s="6" t="s">
        <v>1701</v>
      </c>
      <c r="H1200" s="3" t="s">
        <v>1702</v>
      </c>
      <c r="I1200" s="6" t="s">
        <v>793</v>
      </c>
      <c r="J1200" s="3">
        <v>3</v>
      </c>
      <c r="K1200" s="3">
        <v>3</v>
      </c>
      <c r="L1200" s="3">
        <v>13.38</v>
      </c>
      <c r="M1200" s="3">
        <v>2.8</v>
      </c>
      <c r="N1200" s="3">
        <v>5.5</v>
      </c>
      <c r="O1200" s="3"/>
      <c r="P1200" s="3"/>
      <c r="Q1200" s="3">
        <v>180</v>
      </c>
      <c r="R1200" s="3"/>
      <c r="S1200" s="3"/>
      <c r="T1200" s="3"/>
      <c r="U1200" s="3"/>
      <c r="V1200" s="3"/>
      <c r="W1200" s="3"/>
      <c r="X1200" s="3" t="s">
        <v>1713</v>
      </c>
      <c r="Y1200" s="3" t="s">
        <v>709</v>
      </c>
    </row>
    <row r="1201" spans="1:25" ht="15" customHeight="1" x14ac:dyDescent="0.3">
      <c r="A1201" s="27">
        <v>45926</v>
      </c>
      <c r="B1201" s="25">
        <v>29</v>
      </c>
      <c r="C1201" s="3" t="s">
        <v>38</v>
      </c>
      <c r="D1201" s="3" t="s">
        <v>545</v>
      </c>
      <c r="E1201" s="3">
        <v>2</v>
      </c>
      <c r="F1201" s="3">
        <v>203</v>
      </c>
      <c r="G1201" s="6" t="s">
        <v>23</v>
      </c>
      <c r="H1201" s="3" t="s">
        <v>1256</v>
      </c>
      <c r="I1201" s="6" t="s">
        <v>111</v>
      </c>
      <c r="J1201" s="3">
        <v>8</v>
      </c>
      <c r="K1201" s="3">
        <v>8</v>
      </c>
      <c r="L1201" s="3">
        <v>18.3</v>
      </c>
      <c r="M1201" s="3">
        <v>5</v>
      </c>
      <c r="N1201" s="3">
        <v>3.5</v>
      </c>
      <c r="O1201" s="3"/>
      <c r="P1201" s="3"/>
      <c r="Q1201" s="3"/>
      <c r="R1201" s="3" t="s">
        <v>200</v>
      </c>
      <c r="S1201" s="3" t="s">
        <v>1709</v>
      </c>
      <c r="T1201" s="3">
        <v>1.5</v>
      </c>
      <c r="U1201" s="3">
        <v>20</v>
      </c>
      <c r="V1201" s="3">
        <v>25</v>
      </c>
      <c r="W1201" s="3">
        <v>95</v>
      </c>
      <c r="X1201" s="3" t="s">
        <v>1659</v>
      </c>
      <c r="Y1201" s="3" t="s">
        <v>1717</v>
      </c>
    </row>
    <row r="1202" spans="1:25" ht="15" customHeight="1" x14ac:dyDescent="0.3">
      <c r="A1202" s="27">
        <v>45926</v>
      </c>
      <c r="B1202" s="25">
        <v>29</v>
      </c>
      <c r="C1202" s="3" t="s">
        <v>38</v>
      </c>
      <c r="D1202" s="3" t="s">
        <v>545</v>
      </c>
      <c r="E1202" s="3">
        <v>2</v>
      </c>
      <c r="F1202" s="3">
        <v>205</v>
      </c>
      <c r="G1202" s="6" t="s">
        <v>1548</v>
      </c>
      <c r="H1202" s="3" t="s">
        <v>1703</v>
      </c>
      <c r="I1202" s="6" t="s">
        <v>111</v>
      </c>
      <c r="J1202" s="3">
        <v>12</v>
      </c>
      <c r="K1202" s="23">
        <v>10</v>
      </c>
      <c r="L1202" s="3">
        <v>23.2</v>
      </c>
      <c r="M1202" s="3">
        <v>10</v>
      </c>
      <c r="N1202" s="3">
        <v>3</v>
      </c>
      <c r="O1202" s="3"/>
      <c r="P1202" s="3"/>
      <c r="Q1202" s="3"/>
      <c r="R1202" s="3" t="s">
        <v>1053</v>
      </c>
      <c r="S1202" s="3" t="s">
        <v>284</v>
      </c>
      <c r="T1202" s="3">
        <v>1</v>
      </c>
      <c r="U1202" s="3">
        <v>20</v>
      </c>
      <c r="V1202" s="3">
        <v>25</v>
      </c>
      <c r="W1202" s="3">
        <v>90</v>
      </c>
      <c r="X1202" s="3" t="s">
        <v>1613</v>
      </c>
      <c r="Y1202" s="3"/>
    </row>
    <row r="1203" spans="1:25" ht="15" customHeight="1" x14ac:dyDescent="0.3">
      <c r="A1203" s="27">
        <v>45926</v>
      </c>
      <c r="B1203" s="25">
        <v>29</v>
      </c>
      <c r="C1203" s="3" t="s">
        <v>38</v>
      </c>
      <c r="D1203" s="3" t="s">
        <v>545</v>
      </c>
      <c r="E1203" s="3">
        <v>2</v>
      </c>
      <c r="F1203" s="3">
        <v>209</v>
      </c>
      <c r="G1203" s="6" t="s">
        <v>1184</v>
      </c>
      <c r="H1203" s="3" t="s">
        <v>1704</v>
      </c>
      <c r="I1203" s="6" t="s">
        <v>111</v>
      </c>
      <c r="J1203" s="3">
        <v>4</v>
      </c>
      <c r="K1203" s="23">
        <v>3</v>
      </c>
      <c r="L1203" s="3">
        <v>27.1</v>
      </c>
      <c r="M1203" s="3">
        <v>13</v>
      </c>
      <c r="N1203" s="3">
        <v>3</v>
      </c>
      <c r="O1203" s="3"/>
      <c r="P1203" s="3"/>
      <c r="Q1203" s="3"/>
      <c r="R1203" s="3" t="s">
        <v>449</v>
      </c>
      <c r="S1203" s="3" t="s">
        <v>1710</v>
      </c>
      <c r="T1203" s="3">
        <v>2.5</v>
      </c>
      <c r="U1203" s="3">
        <v>25</v>
      </c>
      <c r="V1203" s="3">
        <v>30</v>
      </c>
      <c r="W1203" s="3">
        <v>170</v>
      </c>
      <c r="X1203" s="3" t="s">
        <v>1565</v>
      </c>
      <c r="Y1203" s="3" t="s">
        <v>1718</v>
      </c>
    </row>
    <row r="1204" spans="1:25" ht="15" customHeight="1" x14ac:dyDescent="0.3">
      <c r="A1204" s="27">
        <v>45926</v>
      </c>
      <c r="B1204" s="25">
        <v>29</v>
      </c>
      <c r="C1204" s="3" t="s">
        <v>38</v>
      </c>
      <c r="D1204" s="3" t="s">
        <v>545</v>
      </c>
      <c r="E1204" s="3">
        <v>2</v>
      </c>
      <c r="F1204" s="3">
        <v>210</v>
      </c>
      <c r="G1204" s="6" t="s">
        <v>1705</v>
      </c>
      <c r="H1204" s="3" t="s">
        <v>1706</v>
      </c>
      <c r="I1204" s="6" t="s">
        <v>111</v>
      </c>
      <c r="J1204" s="3">
        <v>4</v>
      </c>
      <c r="K1204" s="23">
        <v>3</v>
      </c>
      <c r="L1204" s="3">
        <v>20.9</v>
      </c>
      <c r="M1204" s="3">
        <v>8</v>
      </c>
      <c r="N1204" s="3">
        <v>4</v>
      </c>
      <c r="O1204" s="3"/>
      <c r="P1204" s="3"/>
      <c r="Q1204" s="3"/>
      <c r="R1204" s="3" t="s">
        <v>743</v>
      </c>
      <c r="S1204" s="3" t="s">
        <v>744</v>
      </c>
      <c r="T1204" s="3">
        <v>1</v>
      </c>
      <c r="U1204" s="3">
        <v>25</v>
      </c>
      <c r="V1204" s="3">
        <v>35</v>
      </c>
      <c r="W1204" s="3">
        <v>101</v>
      </c>
      <c r="X1204" s="3" t="s">
        <v>1661</v>
      </c>
      <c r="Y1204" s="3" t="s">
        <v>1719</v>
      </c>
    </row>
    <row r="1205" spans="1:25" ht="15" customHeight="1" x14ac:dyDescent="0.3">
      <c r="A1205" s="27">
        <v>45926</v>
      </c>
      <c r="B1205" s="25">
        <v>29</v>
      </c>
      <c r="C1205" s="3" t="s">
        <v>38</v>
      </c>
      <c r="D1205" s="3" t="s">
        <v>545</v>
      </c>
      <c r="E1205" s="3">
        <v>2</v>
      </c>
      <c r="F1205" s="3">
        <v>302</v>
      </c>
      <c r="G1205" s="6" t="s">
        <v>31</v>
      </c>
      <c r="H1205" s="3" t="s">
        <v>195</v>
      </c>
      <c r="I1205" s="6" t="s">
        <v>793</v>
      </c>
      <c r="J1205" s="3">
        <v>12</v>
      </c>
      <c r="K1205" s="23">
        <v>11</v>
      </c>
      <c r="L1205" s="3">
        <v>54.95</v>
      </c>
      <c r="M1205" s="3">
        <v>18</v>
      </c>
      <c r="N1205" s="3">
        <v>18</v>
      </c>
      <c r="O1205" s="3"/>
      <c r="P1205" s="3"/>
      <c r="Q1205" s="3"/>
      <c r="R1205" s="3" t="s">
        <v>895</v>
      </c>
      <c r="S1205" s="3" t="s">
        <v>1554</v>
      </c>
      <c r="T1205" s="3">
        <v>3</v>
      </c>
      <c r="U1205" s="3">
        <v>40</v>
      </c>
      <c r="V1205" s="3">
        <v>40</v>
      </c>
      <c r="W1205" s="3">
        <v>150</v>
      </c>
      <c r="X1205" s="3" t="s">
        <v>1714</v>
      </c>
      <c r="Y1205" s="6" t="s">
        <v>1575</v>
      </c>
    </row>
    <row r="1206" spans="1:25" ht="15" customHeight="1" x14ac:dyDescent="0.3">
      <c r="A1206" s="27">
        <v>45926</v>
      </c>
      <c r="B1206" s="25">
        <v>29</v>
      </c>
      <c r="C1206" s="3" t="s">
        <v>38</v>
      </c>
      <c r="D1206" s="3" t="s">
        <v>545</v>
      </c>
      <c r="E1206" s="3">
        <v>2</v>
      </c>
      <c r="F1206" s="3">
        <v>303</v>
      </c>
      <c r="G1206" s="6" t="s">
        <v>1258</v>
      </c>
      <c r="H1206" s="3" t="s">
        <v>1259</v>
      </c>
      <c r="I1206" s="6" t="s">
        <v>793</v>
      </c>
      <c r="J1206" s="3">
        <v>12</v>
      </c>
      <c r="K1206" s="23">
        <v>7</v>
      </c>
      <c r="L1206" s="3">
        <v>37.6</v>
      </c>
      <c r="M1206" s="3">
        <v>15</v>
      </c>
      <c r="N1206" s="3">
        <v>6</v>
      </c>
      <c r="O1206" s="3"/>
      <c r="P1206" s="3"/>
      <c r="Q1206" s="3"/>
      <c r="R1206" s="3" t="s">
        <v>1034</v>
      </c>
      <c r="S1206" s="3" t="s">
        <v>1053</v>
      </c>
      <c r="T1206" s="3">
        <v>3</v>
      </c>
      <c r="U1206" s="3">
        <v>30</v>
      </c>
      <c r="V1206" s="3">
        <v>50</v>
      </c>
      <c r="W1206" s="3">
        <v>135</v>
      </c>
      <c r="X1206" s="3" t="s">
        <v>1060</v>
      </c>
      <c r="Y1206" s="3" t="s">
        <v>1720</v>
      </c>
    </row>
    <row r="1207" spans="1:25" ht="15" customHeight="1" x14ac:dyDescent="0.3">
      <c r="A1207" s="5">
        <v>45929</v>
      </c>
      <c r="B1207" s="25">
        <v>29</v>
      </c>
      <c r="C1207" s="3" t="s">
        <v>38</v>
      </c>
      <c r="D1207" s="3" t="s">
        <v>164</v>
      </c>
      <c r="E1207" s="3">
        <v>2</v>
      </c>
      <c r="F1207" s="3">
        <v>102</v>
      </c>
      <c r="G1207" s="6" t="s">
        <v>547</v>
      </c>
      <c r="H1207" s="3" t="s">
        <v>1721</v>
      </c>
      <c r="I1207" s="6" t="s">
        <v>793</v>
      </c>
      <c r="J1207" s="3">
        <v>6</v>
      </c>
      <c r="K1207" s="3">
        <v>6</v>
      </c>
      <c r="L1207" s="3">
        <v>12.88</v>
      </c>
      <c r="M1207" s="3">
        <v>2</v>
      </c>
      <c r="N1207" s="3">
        <v>5.5</v>
      </c>
      <c r="O1207" s="3">
        <v>4.2</v>
      </c>
      <c r="P1207" s="3">
        <v>50</v>
      </c>
      <c r="Q1207" s="3">
        <v>170</v>
      </c>
      <c r="R1207" s="3"/>
      <c r="S1207" s="3"/>
      <c r="T1207" s="3"/>
      <c r="U1207" s="3"/>
      <c r="V1207" s="3"/>
      <c r="W1207" s="3"/>
      <c r="X1207" s="3" t="s">
        <v>1711</v>
      </c>
      <c r="Y1207" s="3" t="s">
        <v>138</v>
      </c>
    </row>
    <row r="1208" spans="1:25" ht="15" customHeight="1" x14ac:dyDescent="0.3">
      <c r="A1208" s="5">
        <v>45929</v>
      </c>
      <c r="B1208" s="25">
        <v>29</v>
      </c>
      <c r="C1208" s="3" t="s">
        <v>38</v>
      </c>
      <c r="D1208" s="3" t="s">
        <v>164</v>
      </c>
      <c r="E1208" s="3">
        <v>2</v>
      </c>
      <c r="F1208" s="3">
        <v>103</v>
      </c>
      <c r="G1208" s="6" t="s">
        <v>163</v>
      </c>
      <c r="H1208" s="3" t="s">
        <v>1578</v>
      </c>
      <c r="I1208" s="6" t="s">
        <v>793</v>
      </c>
      <c r="J1208" s="3">
        <v>5</v>
      </c>
      <c r="K1208" s="3">
        <v>5</v>
      </c>
      <c r="L1208" s="3">
        <v>15.12</v>
      </c>
      <c r="M1208" s="3">
        <v>3.9</v>
      </c>
      <c r="N1208" s="3">
        <v>6.75</v>
      </c>
      <c r="O1208" s="3">
        <v>6</v>
      </c>
      <c r="P1208" s="3">
        <v>30</v>
      </c>
      <c r="Q1208" s="3">
        <v>170</v>
      </c>
      <c r="R1208" s="3"/>
      <c r="S1208" s="3"/>
      <c r="T1208" s="3"/>
      <c r="U1208" s="3"/>
      <c r="V1208" s="3"/>
      <c r="W1208" s="3"/>
      <c r="X1208" s="3" t="s">
        <v>251</v>
      </c>
      <c r="Y1208" s="3" t="s">
        <v>1615</v>
      </c>
    </row>
    <row r="1209" spans="1:25" ht="15" customHeight="1" x14ac:dyDescent="0.3">
      <c r="A1209" s="5">
        <v>45929</v>
      </c>
      <c r="B1209" s="25">
        <v>29</v>
      </c>
      <c r="C1209" s="3" t="s">
        <v>38</v>
      </c>
      <c r="D1209" s="3" t="s">
        <v>164</v>
      </c>
      <c r="E1209" s="3">
        <v>2</v>
      </c>
      <c r="F1209" s="3">
        <v>163</v>
      </c>
      <c r="G1209" s="6" t="s">
        <v>1722</v>
      </c>
      <c r="H1209" s="3" t="s">
        <v>1723</v>
      </c>
      <c r="I1209" s="6" t="s">
        <v>793</v>
      </c>
      <c r="J1209" s="3">
        <v>2</v>
      </c>
      <c r="K1209" s="3">
        <v>2</v>
      </c>
      <c r="L1209" s="3">
        <v>19.5</v>
      </c>
      <c r="M1209" s="3">
        <v>4</v>
      </c>
      <c r="N1209" s="3">
        <v>6.5</v>
      </c>
      <c r="O1209" s="3">
        <v>3</v>
      </c>
      <c r="P1209" s="3">
        <v>43</v>
      </c>
      <c r="Q1209" s="3"/>
      <c r="R1209" s="3"/>
      <c r="S1209" s="3"/>
      <c r="T1209" s="3"/>
      <c r="U1209" s="3"/>
      <c r="V1209" s="3"/>
      <c r="W1209" s="3"/>
      <c r="X1209" s="3" t="s">
        <v>138</v>
      </c>
      <c r="Y1209" s="3" t="s">
        <v>1715</v>
      </c>
    </row>
    <row r="1210" spans="1:25" ht="15" customHeight="1" x14ac:dyDescent="0.3">
      <c r="A1210" s="5">
        <v>45929</v>
      </c>
      <c r="B1210" s="25">
        <v>29</v>
      </c>
      <c r="C1210" s="3" t="s">
        <v>38</v>
      </c>
      <c r="D1210" s="3" t="s">
        <v>164</v>
      </c>
      <c r="E1210" s="3">
        <v>2</v>
      </c>
      <c r="F1210" s="3">
        <v>164</v>
      </c>
      <c r="G1210" s="6" t="s">
        <v>11</v>
      </c>
      <c r="H1210" s="3" t="s">
        <v>1724</v>
      </c>
      <c r="I1210" s="6" t="s">
        <v>793</v>
      </c>
      <c r="J1210" s="3">
        <v>2</v>
      </c>
      <c r="K1210" s="3">
        <v>2</v>
      </c>
      <c r="L1210" s="3">
        <v>22.8</v>
      </c>
      <c r="M1210" s="3">
        <v>6.5</v>
      </c>
      <c r="N1210" s="3">
        <v>11</v>
      </c>
      <c r="O1210" s="3">
        <v>3.9</v>
      </c>
      <c r="P1210" s="3"/>
      <c r="Q1210" s="3">
        <v>177</v>
      </c>
      <c r="R1210" s="3"/>
      <c r="S1210" s="3"/>
      <c r="T1210" s="3"/>
      <c r="U1210" s="3"/>
      <c r="V1210" s="3"/>
      <c r="W1210" s="3"/>
      <c r="X1210" s="3" t="s">
        <v>138</v>
      </c>
      <c r="Y1210" s="3" t="s">
        <v>1018</v>
      </c>
    </row>
    <row r="1211" spans="1:25" ht="15" customHeight="1" x14ac:dyDescent="0.3">
      <c r="A1211" s="5">
        <v>45929</v>
      </c>
      <c r="B1211" s="25">
        <v>29</v>
      </c>
      <c r="C1211" s="3" t="s">
        <v>38</v>
      </c>
      <c r="D1211" s="3" t="s">
        <v>164</v>
      </c>
      <c r="E1211" s="3">
        <v>2</v>
      </c>
      <c r="F1211" s="3">
        <v>401</v>
      </c>
      <c r="G1211" s="6" t="s">
        <v>844</v>
      </c>
      <c r="H1211" s="3" t="s">
        <v>1695</v>
      </c>
      <c r="I1211" s="6" t="s">
        <v>793</v>
      </c>
      <c r="J1211" s="3">
        <v>1</v>
      </c>
      <c r="K1211" s="3">
        <v>1</v>
      </c>
      <c r="L1211" s="3">
        <v>11.37</v>
      </c>
      <c r="M1211" s="3"/>
      <c r="N1211" s="3"/>
      <c r="O1211" s="3">
        <v>4</v>
      </c>
      <c r="P1211" s="3"/>
      <c r="Q1211" s="3"/>
      <c r="R1211" s="3"/>
      <c r="S1211" s="3"/>
      <c r="T1211" s="3"/>
      <c r="U1211" s="3"/>
      <c r="V1211" s="3"/>
      <c r="W1211" s="3"/>
      <c r="X1211" s="3" t="s">
        <v>1744</v>
      </c>
      <c r="Y1211" s="3"/>
    </row>
    <row r="1212" spans="1:25" ht="15" customHeight="1" x14ac:dyDescent="0.3">
      <c r="A1212" s="5">
        <v>45929</v>
      </c>
      <c r="B1212" s="25">
        <v>29</v>
      </c>
      <c r="C1212" s="3" t="s">
        <v>38</v>
      </c>
      <c r="D1212" s="3" t="s">
        <v>164</v>
      </c>
      <c r="E1212" s="3">
        <v>2</v>
      </c>
      <c r="F1212" s="3">
        <v>172</v>
      </c>
      <c r="G1212" s="6" t="s">
        <v>1638</v>
      </c>
      <c r="H1212" s="3" t="s">
        <v>1639</v>
      </c>
      <c r="I1212" s="6" t="s">
        <v>793</v>
      </c>
      <c r="J1212" s="3">
        <v>4</v>
      </c>
      <c r="K1212" s="3">
        <v>4</v>
      </c>
      <c r="L1212" s="3">
        <v>17.440000000000001</v>
      </c>
      <c r="M1212" s="3">
        <v>1</v>
      </c>
      <c r="N1212" s="3">
        <v>11.4</v>
      </c>
      <c r="O1212" s="3">
        <v>10</v>
      </c>
      <c r="P1212" s="3" t="s">
        <v>1736</v>
      </c>
      <c r="Q1212" s="3">
        <v>170</v>
      </c>
      <c r="R1212" s="3"/>
      <c r="S1212" s="3"/>
      <c r="T1212" s="3"/>
      <c r="U1212" s="3"/>
      <c r="V1212" s="3"/>
      <c r="W1212" s="3"/>
      <c r="X1212" s="3" t="s">
        <v>79</v>
      </c>
      <c r="Y1212" s="3" t="s">
        <v>84</v>
      </c>
    </row>
    <row r="1213" spans="1:25" ht="15" customHeight="1" x14ac:dyDescent="0.3">
      <c r="A1213" s="5">
        <v>45929</v>
      </c>
      <c r="B1213" s="25">
        <v>29</v>
      </c>
      <c r="C1213" s="3" t="s">
        <v>38</v>
      </c>
      <c r="D1213" s="3" t="s">
        <v>164</v>
      </c>
      <c r="E1213" s="3">
        <v>2</v>
      </c>
      <c r="F1213" s="3">
        <v>174</v>
      </c>
      <c r="G1213" s="6" t="s">
        <v>18</v>
      </c>
      <c r="H1213" s="3" t="s">
        <v>1696</v>
      </c>
      <c r="I1213" s="6" t="s">
        <v>793</v>
      </c>
      <c r="J1213" s="3">
        <v>3</v>
      </c>
      <c r="K1213" s="3">
        <v>3</v>
      </c>
      <c r="L1213" s="3">
        <v>14.7</v>
      </c>
      <c r="M1213" s="3">
        <v>4.0999999999999996</v>
      </c>
      <c r="N1213" s="3">
        <v>5</v>
      </c>
      <c r="O1213" s="3">
        <v>5.5</v>
      </c>
      <c r="P1213" s="3"/>
      <c r="Q1213" s="3">
        <v>175</v>
      </c>
      <c r="R1213" s="3"/>
      <c r="S1213" s="3"/>
      <c r="T1213" s="3"/>
      <c r="U1213" s="3"/>
      <c r="V1213" s="3"/>
      <c r="W1213" s="3"/>
      <c r="X1213" s="3" t="s">
        <v>1745</v>
      </c>
      <c r="Y1213" s="3" t="s">
        <v>89</v>
      </c>
    </row>
    <row r="1214" spans="1:25" ht="15" customHeight="1" x14ac:dyDescent="0.3">
      <c r="A1214" s="5">
        <v>45929</v>
      </c>
      <c r="B1214" s="25">
        <v>29</v>
      </c>
      <c r="C1214" s="3" t="s">
        <v>38</v>
      </c>
      <c r="D1214" s="3" t="s">
        <v>164</v>
      </c>
      <c r="E1214" s="3">
        <v>2</v>
      </c>
      <c r="F1214" s="3">
        <v>175</v>
      </c>
      <c r="G1214" s="6" t="s">
        <v>1725</v>
      </c>
      <c r="H1214" s="3" t="s">
        <v>1726</v>
      </c>
      <c r="I1214" s="6" t="s">
        <v>793</v>
      </c>
      <c r="J1214" s="3">
        <v>5</v>
      </c>
      <c r="K1214" s="3">
        <v>5</v>
      </c>
      <c r="L1214" s="3">
        <v>15.97</v>
      </c>
      <c r="M1214" s="3">
        <v>0.7</v>
      </c>
      <c r="N1214" s="3">
        <v>10.1</v>
      </c>
      <c r="O1214" s="3">
        <v>7</v>
      </c>
      <c r="P1214" s="3" t="s">
        <v>1737</v>
      </c>
      <c r="Q1214" s="3">
        <v>175</v>
      </c>
      <c r="R1214" s="3"/>
      <c r="S1214" s="3"/>
      <c r="T1214" s="3"/>
      <c r="U1214" s="3"/>
      <c r="V1214" s="3"/>
      <c r="W1214" s="3"/>
      <c r="X1214" s="3" t="s">
        <v>1347</v>
      </c>
      <c r="Y1214" s="3" t="s">
        <v>80</v>
      </c>
    </row>
    <row r="1215" spans="1:25" ht="15" customHeight="1" x14ac:dyDescent="0.3">
      <c r="A1215" s="5">
        <v>45929</v>
      </c>
      <c r="B1215" s="25">
        <v>29</v>
      </c>
      <c r="C1215" s="3" t="s">
        <v>38</v>
      </c>
      <c r="D1215" s="3" t="s">
        <v>164</v>
      </c>
      <c r="E1215" s="3">
        <v>2</v>
      </c>
      <c r="F1215" s="3">
        <v>176</v>
      </c>
      <c r="G1215" s="6" t="s">
        <v>17</v>
      </c>
      <c r="H1215" s="3" t="s">
        <v>1627</v>
      </c>
      <c r="I1215" s="6" t="s">
        <v>793</v>
      </c>
      <c r="J1215" s="3">
        <v>5</v>
      </c>
      <c r="K1215" s="3">
        <v>5</v>
      </c>
      <c r="L1215" s="3">
        <v>17.18</v>
      </c>
      <c r="M1215" s="3">
        <v>0.75</v>
      </c>
      <c r="N1215" s="3">
        <v>10.8</v>
      </c>
      <c r="O1215" s="3">
        <v>7</v>
      </c>
      <c r="P1215" s="3" t="s">
        <v>1738</v>
      </c>
      <c r="Q1215" s="3">
        <v>175</v>
      </c>
      <c r="R1215" s="3"/>
      <c r="S1215" s="3"/>
      <c r="T1215" s="3"/>
      <c r="U1215" s="3"/>
      <c r="V1215" s="3"/>
      <c r="W1215" s="3"/>
      <c r="X1215" s="3" t="s">
        <v>79</v>
      </c>
      <c r="Y1215" s="3" t="s">
        <v>138</v>
      </c>
    </row>
    <row r="1216" spans="1:25" ht="15" customHeight="1" x14ac:dyDescent="0.3">
      <c r="A1216" s="5">
        <v>45929</v>
      </c>
      <c r="B1216" s="25">
        <v>29</v>
      </c>
      <c r="C1216" s="3" t="s">
        <v>38</v>
      </c>
      <c r="D1216" s="3" t="s">
        <v>164</v>
      </c>
      <c r="E1216" s="3">
        <v>2</v>
      </c>
      <c r="F1216" s="3">
        <v>131</v>
      </c>
      <c r="G1216" s="6" t="s">
        <v>1727</v>
      </c>
      <c r="H1216" s="3" t="s">
        <v>1728</v>
      </c>
      <c r="I1216" s="6" t="s">
        <v>793</v>
      </c>
      <c r="J1216" s="3">
        <v>3</v>
      </c>
      <c r="K1216" s="3">
        <v>3</v>
      </c>
      <c r="L1216" s="3">
        <v>18.47</v>
      </c>
      <c r="M1216" s="3">
        <v>3.5</v>
      </c>
      <c r="N1216" s="3">
        <v>8.5</v>
      </c>
      <c r="O1216" s="3">
        <v>5.5</v>
      </c>
      <c r="P1216" s="3"/>
      <c r="Q1216" s="3">
        <v>175</v>
      </c>
      <c r="R1216" s="3"/>
      <c r="S1216" s="3"/>
      <c r="T1216" s="3"/>
      <c r="U1216" s="3"/>
      <c r="V1216" s="3"/>
      <c r="W1216" s="3"/>
      <c r="X1216" s="3" t="s">
        <v>1746</v>
      </c>
      <c r="Y1216" s="3" t="s">
        <v>1751</v>
      </c>
    </row>
    <row r="1217" spans="1:25" ht="15" customHeight="1" x14ac:dyDescent="0.3">
      <c r="A1217" s="5">
        <v>45929</v>
      </c>
      <c r="B1217" s="25">
        <v>29</v>
      </c>
      <c r="C1217" s="3" t="s">
        <v>38</v>
      </c>
      <c r="D1217" s="3" t="s">
        <v>164</v>
      </c>
      <c r="E1217" s="3">
        <v>2</v>
      </c>
      <c r="F1217" s="3">
        <v>133</v>
      </c>
      <c r="G1217" s="6" t="s">
        <v>1698</v>
      </c>
      <c r="H1217" s="3" t="s">
        <v>1699</v>
      </c>
      <c r="I1217" s="6" t="s">
        <v>793</v>
      </c>
      <c r="J1217" s="3">
        <v>4</v>
      </c>
      <c r="K1217" s="3">
        <v>4</v>
      </c>
      <c r="L1217" s="3">
        <v>17.39</v>
      </c>
      <c r="M1217" s="3">
        <v>2.8</v>
      </c>
      <c r="N1217" s="3">
        <v>7</v>
      </c>
      <c r="O1217" s="3">
        <v>5.75</v>
      </c>
      <c r="P1217" s="3"/>
      <c r="Q1217" s="3">
        <v>170</v>
      </c>
      <c r="R1217" s="3"/>
      <c r="S1217" s="3"/>
      <c r="T1217" s="3"/>
      <c r="U1217" s="3"/>
      <c r="V1217" s="3"/>
      <c r="W1217" s="3"/>
      <c r="X1217" s="3" t="s">
        <v>84</v>
      </c>
      <c r="Y1217" s="3" t="s">
        <v>1752</v>
      </c>
    </row>
    <row r="1218" spans="1:25" ht="15" customHeight="1" x14ac:dyDescent="0.3">
      <c r="A1218" s="5">
        <v>45929</v>
      </c>
      <c r="B1218" s="25">
        <v>29</v>
      </c>
      <c r="C1218" s="3" t="s">
        <v>38</v>
      </c>
      <c r="D1218" s="3" t="s">
        <v>164</v>
      </c>
      <c r="E1218" s="3">
        <v>2</v>
      </c>
      <c r="F1218" s="3">
        <v>134</v>
      </c>
      <c r="G1218" s="6" t="s">
        <v>1480</v>
      </c>
      <c r="H1218" s="3" t="s">
        <v>1700</v>
      </c>
      <c r="I1218" s="6" t="s">
        <v>793</v>
      </c>
      <c r="J1218" s="3">
        <v>3</v>
      </c>
      <c r="K1218" s="3">
        <v>3</v>
      </c>
      <c r="L1218" s="3">
        <v>17.04</v>
      </c>
      <c r="M1218" s="3">
        <v>4</v>
      </c>
      <c r="N1218" s="3">
        <v>7</v>
      </c>
      <c r="O1218" s="3">
        <v>5</v>
      </c>
      <c r="P1218" s="3"/>
      <c r="Q1218" s="3">
        <v>170</v>
      </c>
      <c r="R1218" s="3"/>
      <c r="S1218" s="3"/>
      <c r="T1218" s="3"/>
      <c r="U1218" s="3"/>
      <c r="V1218" s="3"/>
      <c r="W1218" s="3"/>
      <c r="X1218" s="3" t="s">
        <v>84</v>
      </c>
      <c r="Y1218" s="3" t="s">
        <v>1217</v>
      </c>
    </row>
    <row r="1219" spans="1:25" ht="15" customHeight="1" x14ac:dyDescent="0.3">
      <c r="A1219" s="5">
        <v>45929</v>
      </c>
      <c r="B1219" s="25">
        <v>29</v>
      </c>
      <c r="C1219" s="3" t="s">
        <v>38</v>
      </c>
      <c r="D1219" s="3" t="s">
        <v>164</v>
      </c>
      <c r="E1219" s="3">
        <v>2</v>
      </c>
      <c r="F1219" s="3">
        <v>203</v>
      </c>
      <c r="G1219" s="6" t="s">
        <v>23</v>
      </c>
      <c r="H1219" s="3" t="s">
        <v>1256</v>
      </c>
      <c r="I1219" s="6" t="s">
        <v>111</v>
      </c>
      <c r="J1219" s="3">
        <v>8</v>
      </c>
      <c r="K1219" s="3">
        <v>8</v>
      </c>
      <c r="L1219" s="3">
        <v>17.600000000000001</v>
      </c>
      <c r="M1219" s="3">
        <v>5</v>
      </c>
      <c r="N1219" s="3">
        <v>3.5</v>
      </c>
      <c r="O1219" s="3"/>
      <c r="P1219" s="3"/>
      <c r="Q1219" s="3"/>
      <c r="R1219" s="3" t="s">
        <v>200</v>
      </c>
      <c r="S1219" s="3" t="s">
        <v>1742</v>
      </c>
      <c r="T1219" s="3">
        <v>1.5</v>
      </c>
      <c r="U1219" s="3">
        <v>20</v>
      </c>
      <c r="V1219" s="3">
        <v>25</v>
      </c>
      <c r="W1219" s="3">
        <v>95</v>
      </c>
      <c r="X1219" s="3" t="s">
        <v>1659</v>
      </c>
      <c r="Y1219" s="3" t="s">
        <v>1753</v>
      </c>
    </row>
    <row r="1220" spans="1:25" ht="15" customHeight="1" x14ac:dyDescent="0.3">
      <c r="A1220" s="5">
        <v>45929</v>
      </c>
      <c r="B1220" s="25">
        <v>29</v>
      </c>
      <c r="C1220" s="3" t="s">
        <v>38</v>
      </c>
      <c r="D1220" s="3" t="s">
        <v>164</v>
      </c>
      <c r="E1220" s="3">
        <v>2</v>
      </c>
      <c r="F1220" s="3">
        <v>205</v>
      </c>
      <c r="G1220" s="6" t="s">
        <v>1548</v>
      </c>
      <c r="H1220" s="3" t="s">
        <v>1703</v>
      </c>
      <c r="I1220" s="6" t="s">
        <v>111</v>
      </c>
      <c r="J1220" s="3">
        <v>12</v>
      </c>
      <c r="K1220" s="23">
        <v>10</v>
      </c>
      <c r="L1220" s="3">
        <v>23.4</v>
      </c>
      <c r="M1220" s="3">
        <v>10</v>
      </c>
      <c r="N1220" s="3">
        <v>3</v>
      </c>
      <c r="O1220" s="3"/>
      <c r="P1220" s="3"/>
      <c r="Q1220" s="3"/>
      <c r="R1220" s="3" t="s">
        <v>64</v>
      </c>
      <c r="S1220" s="3" t="s">
        <v>63</v>
      </c>
      <c r="T1220" s="3">
        <v>1</v>
      </c>
      <c r="U1220" s="3">
        <v>20</v>
      </c>
      <c r="V1220" s="3">
        <v>25</v>
      </c>
      <c r="W1220" s="3">
        <v>90</v>
      </c>
      <c r="X1220" s="3" t="s">
        <v>1613</v>
      </c>
      <c r="Y1220" s="3"/>
    </row>
    <row r="1221" spans="1:25" ht="15" customHeight="1" x14ac:dyDescent="0.3">
      <c r="A1221" s="5">
        <v>45929</v>
      </c>
      <c r="B1221" s="25">
        <v>29</v>
      </c>
      <c r="C1221" s="3" t="s">
        <v>38</v>
      </c>
      <c r="D1221" s="3" t="s">
        <v>164</v>
      </c>
      <c r="E1221" s="3">
        <v>2</v>
      </c>
      <c r="F1221" s="3">
        <v>207</v>
      </c>
      <c r="G1221" s="6" t="s">
        <v>476</v>
      </c>
      <c r="H1221" s="3" t="s">
        <v>1729</v>
      </c>
      <c r="I1221" s="6" t="s">
        <v>111</v>
      </c>
      <c r="J1221" s="3">
        <v>12</v>
      </c>
      <c r="K1221" s="23">
        <v>9</v>
      </c>
      <c r="L1221" s="3">
        <v>30.94</v>
      </c>
      <c r="M1221" s="3">
        <v>13</v>
      </c>
      <c r="N1221" s="3">
        <v>3</v>
      </c>
      <c r="O1221" s="3"/>
      <c r="P1221" s="3"/>
      <c r="Q1221" s="3"/>
      <c r="R1221" s="3" t="s">
        <v>1265</v>
      </c>
      <c r="S1221" s="3" t="s">
        <v>242</v>
      </c>
      <c r="T1221" s="3">
        <v>2</v>
      </c>
      <c r="U1221" s="3">
        <v>15</v>
      </c>
      <c r="V1221" s="3">
        <v>20</v>
      </c>
      <c r="W1221" s="3">
        <v>100</v>
      </c>
      <c r="X1221" s="3" t="s">
        <v>1660</v>
      </c>
      <c r="Y1221" s="3" t="s">
        <v>1754</v>
      </c>
    </row>
    <row r="1222" spans="1:25" ht="15" customHeight="1" x14ac:dyDescent="0.3">
      <c r="A1222" s="5">
        <v>45929</v>
      </c>
      <c r="B1222" s="25">
        <v>29</v>
      </c>
      <c r="C1222" s="3" t="s">
        <v>38</v>
      </c>
      <c r="D1222" s="3" t="s">
        <v>164</v>
      </c>
      <c r="E1222" s="3">
        <v>2</v>
      </c>
      <c r="F1222" s="3">
        <v>209</v>
      </c>
      <c r="G1222" s="6" t="s">
        <v>996</v>
      </c>
      <c r="H1222" s="3" t="s">
        <v>1730</v>
      </c>
      <c r="I1222" s="6" t="s">
        <v>111</v>
      </c>
      <c r="J1222" s="3">
        <v>4</v>
      </c>
      <c r="K1222" s="23">
        <v>3</v>
      </c>
      <c r="L1222" s="3">
        <v>28.6</v>
      </c>
      <c r="M1222" s="3">
        <v>15</v>
      </c>
      <c r="N1222" s="3">
        <v>3</v>
      </c>
      <c r="O1222" s="3"/>
      <c r="P1222" s="3"/>
      <c r="Q1222" s="3"/>
      <c r="R1222" s="3" t="s">
        <v>1739</v>
      </c>
      <c r="S1222" s="3" t="s">
        <v>1553</v>
      </c>
      <c r="T1222" s="3">
        <v>2</v>
      </c>
      <c r="U1222" s="3">
        <v>10</v>
      </c>
      <c r="V1222" s="3">
        <v>20</v>
      </c>
      <c r="W1222" s="3">
        <v>170</v>
      </c>
      <c r="X1222" s="3" t="s">
        <v>1747</v>
      </c>
      <c r="Y1222" s="3" t="s">
        <v>1755</v>
      </c>
    </row>
    <row r="1223" spans="1:25" ht="15" customHeight="1" x14ac:dyDescent="0.3">
      <c r="A1223" s="5">
        <v>45929</v>
      </c>
      <c r="B1223" s="25">
        <v>29</v>
      </c>
      <c r="C1223" s="3" t="s">
        <v>38</v>
      </c>
      <c r="D1223" s="3" t="s">
        <v>164</v>
      </c>
      <c r="E1223" s="3">
        <v>2</v>
      </c>
      <c r="F1223" s="3">
        <v>210</v>
      </c>
      <c r="G1223" s="6" t="s">
        <v>1731</v>
      </c>
      <c r="H1223" s="3" t="s">
        <v>1732</v>
      </c>
      <c r="I1223" s="6" t="s">
        <v>111</v>
      </c>
      <c r="J1223" s="3">
        <v>4</v>
      </c>
      <c r="K1223" s="23">
        <v>3</v>
      </c>
      <c r="L1223" s="3">
        <v>20.8</v>
      </c>
      <c r="M1223" s="3">
        <v>8</v>
      </c>
      <c r="N1223" s="3">
        <v>4</v>
      </c>
      <c r="O1223" s="3"/>
      <c r="P1223" s="3"/>
      <c r="Q1223" s="3"/>
      <c r="R1223" s="3" t="s">
        <v>1519</v>
      </c>
      <c r="S1223" s="3" t="s">
        <v>1033</v>
      </c>
      <c r="T1223" s="3">
        <v>1</v>
      </c>
      <c r="U1223" s="3">
        <v>25</v>
      </c>
      <c r="V1223" s="3">
        <v>35</v>
      </c>
      <c r="W1223" s="3">
        <v>101</v>
      </c>
      <c r="X1223" s="3" t="s">
        <v>1748</v>
      </c>
      <c r="Y1223" s="3" t="s">
        <v>1756</v>
      </c>
    </row>
    <row r="1224" spans="1:25" ht="15" customHeight="1" x14ac:dyDescent="0.3">
      <c r="A1224" s="5">
        <v>45929</v>
      </c>
      <c r="B1224" s="25">
        <v>29</v>
      </c>
      <c r="C1224" s="3" t="s">
        <v>38</v>
      </c>
      <c r="D1224" s="3" t="s">
        <v>164</v>
      </c>
      <c r="E1224" s="3">
        <v>2</v>
      </c>
      <c r="F1224" s="3">
        <v>303</v>
      </c>
      <c r="G1224" s="6" t="s">
        <v>1258</v>
      </c>
      <c r="H1224" s="3" t="s">
        <v>1259</v>
      </c>
      <c r="I1224" s="6" t="s">
        <v>793</v>
      </c>
      <c r="J1224" s="3">
        <v>8</v>
      </c>
      <c r="K1224" s="3">
        <v>8</v>
      </c>
      <c r="L1224" s="3">
        <v>49.8</v>
      </c>
      <c r="M1224" s="3">
        <v>25</v>
      </c>
      <c r="N1224" s="3">
        <v>8</v>
      </c>
      <c r="O1224" s="3"/>
      <c r="P1224" s="3"/>
      <c r="Q1224" s="3">
        <v>160</v>
      </c>
      <c r="R1224" s="3" t="s">
        <v>1740</v>
      </c>
      <c r="S1224" s="3" t="s">
        <v>604</v>
      </c>
      <c r="T1224" s="3">
        <v>3</v>
      </c>
      <c r="U1224" s="3">
        <v>30</v>
      </c>
      <c r="V1224" s="3">
        <v>50</v>
      </c>
      <c r="W1224" s="3">
        <v>135</v>
      </c>
      <c r="X1224" s="3" t="s">
        <v>1749</v>
      </c>
      <c r="Y1224" s="3" t="s">
        <v>1757</v>
      </c>
    </row>
    <row r="1225" spans="1:25" ht="15" customHeight="1" x14ac:dyDescent="0.3">
      <c r="A1225" s="5">
        <v>45929</v>
      </c>
      <c r="B1225" s="25">
        <v>29</v>
      </c>
      <c r="C1225" s="3" t="s">
        <v>38</v>
      </c>
      <c r="D1225" s="3" t="s">
        <v>164</v>
      </c>
      <c r="E1225" s="3">
        <v>2</v>
      </c>
      <c r="F1225" s="3">
        <v>501</v>
      </c>
      <c r="G1225" s="6" t="s">
        <v>1733</v>
      </c>
      <c r="H1225" s="3" t="s">
        <v>1734</v>
      </c>
      <c r="I1225" s="6" t="s">
        <v>110</v>
      </c>
      <c r="J1225" s="3">
        <v>6</v>
      </c>
      <c r="K1225" s="3">
        <v>6</v>
      </c>
      <c r="L1225" s="3">
        <v>15.62</v>
      </c>
      <c r="M1225" s="3"/>
      <c r="N1225" s="3"/>
      <c r="O1225" s="3">
        <v>9.3000000000000007</v>
      </c>
      <c r="P1225" s="3"/>
      <c r="Q1225" s="3"/>
      <c r="R1225" s="3"/>
      <c r="S1225" s="3"/>
      <c r="T1225" s="3"/>
      <c r="U1225" s="3"/>
      <c r="V1225" s="3"/>
      <c r="W1225" s="3">
        <v>300</v>
      </c>
      <c r="X1225" s="3" t="s">
        <v>1750</v>
      </c>
      <c r="Y1225" s="3"/>
    </row>
    <row r="1226" spans="1:25" ht="15" customHeight="1" x14ac:dyDescent="0.3">
      <c r="A1226" s="5">
        <v>45929</v>
      </c>
      <c r="B1226" s="25">
        <v>29</v>
      </c>
      <c r="C1226" s="3" t="s">
        <v>38</v>
      </c>
      <c r="D1226" s="3" t="s">
        <v>164</v>
      </c>
      <c r="E1226" s="3">
        <v>2</v>
      </c>
      <c r="F1226" s="3">
        <v>212</v>
      </c>
      <c r="G1226" s="6" t="s">
        <v>667</v>
      </c>
      <c r="H1226" s="3" t="s">
        <v>1735</v>
      </c>
      <c r="I1226" s="6" t="s">
        <v>111</v>
      </c>
      <c r="J1226" s="3">
        <v>12</v>
      </c>
      <c r="K1226" s="23">
        <v>10</v>
      </c>
      <c r="L1226" s="3">
        <v>32.14</v>
      </c>
      <c r="M1226" s="3">
        <v>16</v>
      </c>
      <c r="N1226" s="3">
        <v>3</v>
      </c>
      <c r="O1226" s="3"/>
      <c r="P1226" s="3"/>
      <c r="Q1226" s="3"/>
      <c r="R1226" s="3" t="s">
        <v>1741</v>
      </c>
      <c r="S1226" s="3" t="s">
        <v>1743</v>
      </c>
      <c r="T1226" s="3">
        <v>1</v>
      </c>
      <c r="U1226" s="3">
        <v>20</v>
      </c>
      <c r="V1226" s="3">
        <v>30</v>
      </c>
      <c r="W1226" s="3">
        <v>170</v>
      </c>
      <c r="X1226" s="3" t="s">
        <v>1535</v>
      </c>
      <c r="Y1226" s="6" t="s">
        <v>1758</v>
      </c>
    </row>
    <row r="1227" spans="1:25" ht="15" customHeight="1" x14ac:dyDescent="0.3">
      <c r="A1227" s="27">
        <v>45930</v>
      </c>
      <c r="B1227" s="25">
        <v>28</v>
      </c>
      <c r="C1227" s="3" t="s">
        <v>38</v>
      </c>
      <c r="D1227" s="3" t="s">
        <v>164</v>
      </c>
      <c r="E1227" s="3">
        <v>2</v>
      </c>
      <c r="F1227" s="3">
        <v>102</v>
      </c>
      <c r="G1227" s="6" t="s">
        <v>547</v>
      </c>
      <c r="H1227" s="3" t="s">
        <v>1721</v>
      </c>
      <c r="I1227" s="6" t="s">
        <v>793</v>
      </c>
      <c r="J1227" s="3">
        <v>5</v>
      </c>
      <c r="K1227" s="3">
        <v>5</v>
      </c>
      <c r="L1227" s="3">
        <v>19.7</v>
      </c>
      <c r="M1227" s="3">
        <v>4.8</v>
      </c>
      <c r="N1227" s="3">
        <v>9.6999999999999993</v>
      </c>
      <c r="O1227" s="3">
        <v>7</v>
      </c>
      <c r="P1227" s="3">
        <v>53</v>
      </c>
      <c r="Q1227" s="3">
        <v>170</v>
      </c>
      <c r="R1227" s="3"/>
      <c r="S1227" s="3"/>
      <c r="T1227" s="3"/>
      <c r="U1227" s="3"/>
      <c r="V1227" s="3"/>
      <c r="W1227" s="3"/>
      <c r="X1227" s="3" t="s">
        <v>251</v>
      </c>
      <c r="Y1227" s="3" t="s">
        <v>580</v>
      </c>
    </row>
    <row r="1228" spans="1:25" ht="15" customHeight="1" x14ac:dyDescent="0.3">
      <c r="A1228" s="27">
        <v>45930</v>
      </c>
      <c r="B1228" s="25">
        <v>28</v>
      </c>
      <c r="C1228" s="3" t="s">
        <v>38</v>
      </c>
      <c r="D1228" s="3" t="s">
        <v>164</v>
      </c>
      <c r="E1228" s="3">
        <v>2</v>
      </c>
      <c r="F1228" s="3">
        <v>103</v>
      </c>
      <c r="G1228" s="6" t="s">
        <v>163</v>
      </c>
      <c r="H1228" s="3" t="s">
        <v>1578</v>
      </c>
      <c r="I1228" s="6" t="s">
        <v>793</v>
      </c>
      <c r="J1228" s="3">
        <v>5</v>
      </c>
      <c r="K1228" s="3">
        <v>5</v>
      </c>
      <c r="L1228" s="3">
        <v>14.89</v>
      </c>
      <c r="M1228" s="3">
        <v>3.6</v>
      </c>
      <c r="N1228" s="3">
        <v>6.75</v>
      </c>
      <c r="O1228" s="3">
        <v>6</v>
      </c>
      <c r="P1228" s="3">
        <v>35</v>
      </c>
      <c r="Q1228" s="3">
        <v>170</v>
      </c>
      <c r="R1228" s="3"/>
      <c r="S1228" s="3"/>
      <c r="T1228" s="3"/>
      <c r="U1228" s="3"/>
      <c r="V1228" s="3"/>
      <c r="W1228" s="3"/>
      <c r="X1228" s="3" t="s">
        <v>251</v>
      </c>
      <c r="Y1228" s="3" t="s">
        <v>1615</v>
      </c>
    </row>
    <row r="1229" spans="1:25" ht="15" customHeight="1" x14ac:dyDescent="0.3">
      <c r="A1229" s="27">
        <v>45930</v>
      </c>
      <c r="B1229" s="25">
        <v>28</v>
      </c>
      <c r="C1229" s="3" t="s">
        <v>38</v>
      </c>
      <c r="D1229" s="3" t="s">
        <v>164</v>
      </c>
      <c r="E1229" s="3">
        <v>2</v>
      </c>
      <c r="F1229" s="3">
        <v>104</v>
      </c>
      <c r="G1229" s="6" t="s">
        <v>169</v>
      </c>
      <c r="H1229" s="3" t="s">
        <v>1759</v>
      </c>
      <c r="I1229" s="6" t="s">
        <v>793</v>
      </c>
      <c r="J1229" s="3">
        <v>9</v>
      </c>
      <c r="K1229" s="3">
        <v>9</v>
      </c>
      <c r="L1229" s="3">
        <v>12.82</v>
      </c>
      <c r="M1229" s="3">
        <v>3</v>
      </c>
      <c r="N1229" s="3">
        <v>5.5</v>
      </c>
      <c r="O1229" s="3">
        <v>5</v>
      </c>
      <c r="P1229" s="3"/>
      <c r="Q1229" s="3">
        <v>170</v>
      </c>
      <c r="R1229" s="3"/>
      <c r="S1229" s="3"/>
      <c r="T1229" s="3"/>
      <c r="U1229" s="3"/>
      <c r="V1229" s="3"/>
      <c r="W1229" s="3"/>
      <c r="X1229" s="3" t="s">
        <v>1778</v>
      </c>
      <c r="Y1229" s="3" t="s">
        <v>87</v>
      </c>
    </row>
    <row r="1230" spans="1:25" ht="15" customHeight="1" x14ac:dyDescent="0.3">
      <c r="A1230" s="27">
        <v>45930</v>
      </c>
      <c r="B1230" s="25">
        <v>28</v>
      </c>
      <c r="C1230" s="3" t="s">
        <v>38</v>
      </c>
      <c r="D1230" s="3" t="s">
        <v>164</v>
      </c>
      <c r="E1230" s="3">
        <v>2</v>
      </c>
      <c r="F1230" s="3">
        <v>162</v>
      </c>
      <c r="G1230" s="6" t="s">
        <v>1454</v>
      </c>
      <c r="H1230" s="3" t="s">
        <v>1634</v>
      </c>
      <c r="I1230" s="6" t="s">
        <v>793</v>
      </c>
      <c r="J1230" s="3">
        <v>2</v>
      </c>
      <c r="K1230" s="3">
        <v>2</v>
      </c>
      <c r="L1230" s="3">
        <v>24</v>
      </c>
      <c r="M1230" s="3">
        <v>6.5</v>
      </c>
      <c r="N1230" s="3">
        <v>10</v>
      </c>
      <c r="O1230" s="3">
        <v>4</v>
      </c>
      <c r="P1230" s="3">
        <v>35</v>
      </c>
      <c r="Q1230" s="3">
        <v>170</v>
      </c>
      <c r="R1230" s="3"/>
      <c r="S1230" s="3"/>
      <c r="T1230" s="3"/>
      <c r="U1230" s="3"/>
      <c r="V1230" s="3"/>
      <c r="W1230" s="3"/>
      <c r="X1230" s="3" t="s">
        <v>288</v>
      </c>
      <c r="Y1230" s="3" t="s">
        <v>83</v>
      </c>
    </row>
    <row r="1231" spans="1:25" ht="15" customHeight="1" x14ac:dyDescent="0.3">
      <c r="A1231" s="27">
        <v>45930</v>
      </c>
      <c r="B1231" s="25">
        <v>28</v>
      </c>
      <c r="C1231" s="3" t="s">
        <v>38</v>
      </c>
      <c r="D1231" s="3" t="s">
        <v>164</v>
      </c>
      <c r="E1231" s="3">
        <v>2</v>
      </c>
      <c r="F1231" s="3">
        <v>182</v>
      </c>
      <c r="G1231" s="6" t="s">
        <v>1471</v>
      </c>
      <c r="H1231" s="3" t="s">
        <v>1760</v>
      </c>
      <c r="I1231" s="6" t="s">
        <v>793</v>
      </c>
      <c r="J1231" s="3">
        <v>4</v>
      </c>
      <c r="K1231" s="3">
        <v>4</v>
      </c>
      <c r="L1231" s="3">
        <v>15.22</v>
      </c>
      <c r="M1231" s="3">
        <v>5</v>
      </c>
      <c r="N1231" s="3">
        <v>6</v>
      </c>
      <c r="O1231" s="3">
        <v>3</v>
      </c>
      <c r="P1231" s="3">
        <v>35</v>
      </c>
      <c r="Q1231" s="3">
        <v>180</v>
      </c>
      <c r="R1231" s="3"/>
      <c r="S1231" s="3"/>
      <c r="T1231" s="3"/>
      <c r="U1231" s="3"/>
      <c r="V1231" s="3"/>
      <c r="W1231" s="3"/>
      <c r="X1231" s="3" t="s">
        <v>388</v>
      </c>
      <c r="Y1231" s="3" t="s">
        <v>396</v>
      </c>
    </row>
    <row r="1232" spans="1:25" ht="15" customHeight="1" x14ac:dyDescent="0.3">
      <c r="A1232" s="27">
        <v>45930</v>
      </c>
      <c r="B1232" s="25">
        <v>28</v>
      </c>
      <c r="C1232" s="3" t="s">
        <v>38</v>
      </c>
      <c r="D1232" s="3" t="s">
        <v>164</v>
      </c>
      <c r="E1232" s="3">
        <v>2</v>
      </c>
      <c r="F1232" s="3">
        <v>401</v>
      </c>
      <c r="G1232" s="6" t="s">
        <v>844</v>
      </c>
      <c r="H1232" s="3" t="s">
        <v>1695</v>
      </c>
      <c r="I1232" s="6" t="s">
        <v>793</v>
      </c>
      <c r="J1232" s="3">
        <v>1</v>
      </c>
      <c r="K1232" s="3">
        <v>1</v>
      </c>
      <c r="L1232" s="3">
        <v>11.7</v>
      </c>
      <c r="M1232" s="3"/>
      <c r="N1232" s="3"/>
      <c r="O1232" s="3">
        <v>4</v>
      </c>
      <c r="P1232" s="3"/>
      <c r="Q1232" s="3"/>
      <c r="R1232" s="3"/>
      <c r="S1232" s="3"/>
      <c r="T1232" s="3"/>
      <c r="U1232" s="3"/>
      <c r="V1232" s="3"/>
      <c r="W1232" s="3"/>
      <c r="X1232" s="3" t="s">
        <v>1779</v>
      </c>
      <c r="Y1232" s="3"/>
    </row>
    <row r="1233" spans="1:25" ht="15" customHeight="1" x14ac:dyDescent="0.3">
      <c r="A1233" s="27">
        <v>45930</v>
      </c>
      <c r="B1233" s="25">
        <v>28</v>
      </c>
      <c r="C1233" s="3" t="s">
        <v>38</v>
      </c>
      <c r="D1233" s="3" t="s">
        <v>164</v>
      </c>
      <c r="E1233" s="3">
        <v>2</v>
      </c>
      <c r="F1233" s="3">
        <v>402</v>
      </c>
      <c r="G1233" s="6" t="s">
        <v>12</v>
      </c>
      <c r="H1233" s="3" t="s">
        <v>1761</v>
      </c>
      <c r="I1233" s="6" t="s">
        <v>793</v>
      </c>
      <c r="J1233" s="3">
        <v>2</v>
      </c>
      <c r="K1233" s="3">
        <v>2</v>
      </c>
      <c r="L1233" s="3">
        <v>9</v>
      </c>
      <c r="M1233" s="3"/>
      <c r="N1233" s="3"/>
      <c r="O1233" s="3">
        <v>3.5</v>
      </c>
      <c r="P1233" s="3"/>
      <c r="Q1233" s="3"/>
      <c r="R1233" s="3"/>
      <c r="S1233" s="3"/>
      <c r="T1233" s="3"/>
      <c r="U1233" s="3"/>
      <c r="V1233" s="3"/>
      <c r="W1233" s="3"/>
      <c r="X1233" s="3" t="s">
        <v>1780</v>
      </c>
      <c r="Y1233" s="3"/>
    </row>
    <row r="1234" spans="1:25" ht="15" customHeight="1" x14ac:dyDescent="0.3">
      <c r="A1234" s="27">
        <v>45930</v>
      </c>
      <c r="B1234" s="25">
        <v>28</v>
      </c>
      <c r="C1234" s="3" t="s">
        <v>38</v>
      </c>
      <c r="D1234" s="3" t="s">
        <v>164</v>
      </c>
      <c r="E1234" s="3">
        <v>2</v>
      </c>
      <c r="F1234" s="3">
        <v>172</v>
      </c>
      <c r="G1234" s="6" t="s">
        <v>1638</v>
      </c>
      <c r="H1234" s="3" t="s">
        <v>1639</v>
      </c>
      <c r="I1234" s="6" t="s">
        <v>793</v>
      </c>
      <c r="J1234" s="3">
        <v>4</v>
      </c>
      <c r="K1234" s="3">
        <v>4</v>
      </c>
      <c r="L1234" s="3">
        <v>17.38</v>
      </c>
      <c r="M1234" s="3">
        <v>1</v>
      </c>
      <c r="N1234" s="3">
        <v>11.4</v>
      </c>
      <c r="O1234" s="3">
        <v>10</v>
      </c>
      <c r="P1234" s="3" t="s">
        <v>1770</v>
      </c>
      <c r="Q1234" s="3">
        <v>170</v>
      </c>
      <c r="R1234" s="3"/>
      <c r="S1234" s="3"/>
      <c r="T1234" s="3"/>
      <c r="U1234" s="3"/>
      <c r="V1234" s="3"/>
      <c r="W1234" s="3"/>
      <c r="X1234" s="3" t="s">
        <v>79</v>
      </c>
      <c r="Y1234" s="3" t="s">
        <v>84</v>
      </c>
    </row>
    <row r="1235" spans="1:25" ht="15" customHeight="1" x14ac:dyDescent="0.3">
      <c r="A1235" s="27">
        <v>45930</v>
      </c>
      <c r="B1235" s="25">
        <v>28</v>
      </c>
      <c r="C1235" s="3" t="s">
        <v>38</v>
      </c>
      <c r="D1235" s="3" t="s">
        <v>164</v>
      </c>
      <c r="E1235" s="3">
        <v>2</v>
      </c>
      <c r="F1235" s="3">
        <v>173</v>
      </c>
      <c r="G1235" s="6" t="s">
        <v>437</v>
      </c>
      <c r="H1235" s="3" t="s">
        <v>1762</v>
      </c>
      <c r="I1235" s="6" t="s">
        <v>793</v>
      </c>
      <c r="J1235" s="3">
        <v>5</v>
      </c>
      <c r="K1235" s="3">
        <v>5</v>
      </c>
      <c r="L1235" s="3">
        <v>16.29</v>
      </c>
      <c r="M1235" s="3">
        <v>0.5</v>
      </c>
      <c r="N1235" s="3">
        <v>11</v>
      </c>
      <c r="O1235" s="3">
        <v>7</v>
      </c>
      <c r="P1235" s="3" t="s">
        <v>1771</v>
      </c>
      <c r="Q1235" s="3">
        <v>160</v>
      </c>
      <c r="R1235" s="3"/>
      <c r="S1235" s="3"/>
      <c r="T1235" s="3"/>
      <c r="U1235" s="3"/>
      <c r="V1235" s="3"/>
      <c r="W1235" s="3"/>
      <c r="X1235" s="3" t="s">
        <v>79</v>
      </c>
      <c r="Y1235" s="3" t="s">
        <v>87</v>
      </c>
    </row>
    <row r="1236" spans="1:25" ht="15" customHeight="1" x14ac:dyDescent="0.3">
      <c r="A1236" s="27">
        <v>45930</v>
      </c>
      <c r="B1236" s="25">
        <v>28</v>
      </c>
      <c r="C1236" s="3" t="s">
        <v>38</v>
      </c>
      <c r="D1236" s="3" t="s">
        <v>164</v>
      </c>
      <c r="E1236" s="3">
        <v>2</v>
      </c>
      <c r="F1236" s="3">
        <v>174</v>
      </c>
      <c r="G1236" s="6" t="s">
        <v>18</v>
      </c>
      <c r="H1236" s="3" t="s">
        <v>1696</v>
      </c>
      <c r="I1236" s="6" t="s">
        <v>793</v>
      </c>
      <c r="J1236" s="3">
        <v>3</v>
      </c>
      <c r="K1236" s="3">
        <v>3</v>
      </c>
      <c r="L1236" s="3">
        <v>13.53</v>
      </c>
      <c r="M1236" s="3">
        <v>4.0999999999999996</v>
      </c>
      <c r="N1236" s="3">
        <v>5</v>
      </c>
      <c r="O1236" s="3">
        <v>5.5</v>
      </c>
      <c r="P1236" s="3"/>
      <c r="Q1236" s="3">
        <v>175</v>
      </c>
      <c r="R1236" s="3"/>
      <c r="S1236" s="3"/>
      <c r="T1236" s="3"/>
      <c r="U1236" s="3"/>
      <c r="V1236" s="3"/>
      <c r="W1236" s="3"/>
      <c r="X1236" s="3" t="s">
        <v>1745</v>
      </c>
      <c r="Y1236" s="3" t="s">
        <v>89</v>
      </c>
    </row>
    <row r="1237" spans="1:25" ht="15" customHeight="1" x14ac:dyDescent="0.3">
      <c r="A1237" s="27">
        <v>45930</v>
      </c>
      <c r="B1237" s="25">
        <v>28</v>
      </c>
      <c r="C1237" s="3" t="s">
        <v>38</v>
      </c>
      <c r="D1237" s="3" t="s">
        <v>164</v>
      </c>
      <c r="E1237" s="3">
        <v>2</v>
      </c>
      <c r="F1237" s="3">
        <v>175</v>
      </c>
      <c r="G1237" s="6" t="s">
        <v>181</v>
      </c>
      <c r="H1237" s="3" t="s">
        <v>1763</v>
      </c>
      <c r="I1237" s="6" t="s">
        <v>793</v>
      </c>
      <c r="J1237" s="3">
        <v>5</v>
      </c>
      <c r="K1237" s="3">
        <v>5</v>
      </c>
      <c r="L1237" s="3">
        <v>16.05</v>
      </c>
      <c r="M1237" s="3">
        <v>0.55000000000000004</v>
      </c>
      <c r="N1237" s="3">
        <v>10.25</v>
      </c>
      <c r="O1237" s="3">
        <v>7</v>
      </c>
      <c r="P1237" s="3" t="s">
        <v>1772</v>
      </c>
      <c r="Q1237" s="3">
        <v>175</v>
      </c>
      <c r="R1237" s="3"/>
      <c r="S1237" s="3"/>
      <c r="T1237" s="3"/>
      <c r="U1237" s="3"/>
      <c r="V1237" s="3"/>
      <c r="W1237" s="3"/>
      <c r="X1237" s="3" t="s">
        <v>79</v>
      </c>
      <c r="Y1237" s="3" t="s">
        <v>84</v>
      </c>
    </row>
    <row r="1238" spans="1:25" ht="15" customHeight="1" x14ac:dyDescent="0.3">
      <c r="A1238" s="27">
        <v>45930</v>
      </c>
      <c r="B1238" s="25">
        <v>28</v>
      </c>
      <c r="C1238" s="3" t="s">
        <v>38</v>
      </c>
      <c r="D1238" s="3" t="s">
        <v>164</v>
      </c>
      <c r="E1238" s="3">
        <v>2</v>
      </c>
      <c r="F1238" s="3">
        <v>176</v>
      </c>
      <c r="G1238" s="6" t="s">
        <v>17</v>
      </c>
      <c r="H1238" s="3" t="s">
        <v>1627</v>
      </c>
      <c r="I1238" s="6" t="s">
        <v>793</v>
      </c>
      <c r="J1238" s="3">
        <v>5</v>
      </c>
      <c r="K1238" s="3">
        <v>5</v>
      </c>
      <c r="L1238" s="3">
        <v>17.28</v>
      </c>
      <c r="M1238" s="3">
        <v>1</v>
      </c>
      <c r="N1238" s="3">
        <v>10.8</v>
      </c>
      <c r="O1238" s="3">
        <v>7</v>
      </c>
      <c r="P1238" s="3" t="s">
        <v>1773</v>
      </c>
      <c r="Q1238" s="3">
        <v>175</v>
      </c>
      <c r="R1238" s="3"/>
      <c r="S1238" s="3"/>
      <c r="T1238" s="3"/>
      <c r="U1238" s="3"/>
      <c r="V1238" s="3"/>
      <c r="W1238" s="3"/>
      <c r="X1238" s="3" t="s">
        <v>79</v>
      </c>
      <c r="Y1238" s="3" t="s">
        <v>84</v>
      </c>
    </row>
    <row r="1239" spans="1:25" ht="15" customHeight="1" x14ac:dyDescent="0.3">
      <c r="A1239" s="27">
        <v>45930</v>
      </c>
      <c r="B1239" s="25">
        <v>28</v>
      </c>
      <c r="C1239" s="3" t="s">
        <v>38</v>
      </c>
      <c r="D1239" s="3" t="s">
        <v>164</v>
      </c>
      <c r="E1239" s="3">
        <v>2</v>
      </c>
      <c r="F1239" s="3">
        <v>131</v>
      </c>
      <c r="G1239" s="6" t="s">
        <v>1727</v>
      </c>
      <c r="H1239" s="3" t="s">
        <v>1728</v>
      </c>
      <c r="I1239" s="6" t="s">
        <v>793</v>
      </c>
      <c r="J1239" s="3">
        <v>3</v>
      </c>
      <c r="K1239" s="3">
        <v>3</v>
      </c>
      <c r="L1239" s="3">
        <v>18.670000000000002</v>
      </c>
      <c r="M1239" s="3">
        <v>3</v>
      </c>
      <c r="N1239" s="3">
        <v>8.5</v>
      </c>
      <c r="O1239" s="3">
        <v>6</v>
      </c>
      <c r="P1239" s="3"/>
      <c r="Q1239" s="3">
        <v>175</v>
      </c>
      <c r="R1239" s="3"/>
      <c r="S1239" s="3"/>
      <c r="T1239" s="3"/>
      <c r="U1239" s="3"/>
      <c r="V1239" s="3"/>
      <c r="W1239" s="3"/>
      <c r="X1239" s="3" t="s">
        <v>1746</v>
      </c>
      <c r="Y1239" s="3" t="s">
        <v>1784</v>
      </c>
    </row>
    <row r="1240" spans="1:25" ht="15" customHeight="1" x14ac:dyDescent="0.3">
      <c r="A1240" s="27">
        <v>45930</v>
      </c>
      <c r="B1240" s="25">
        <v>28</v>
      </c>
      <c r="C1240" s="3" t="s">
        <v>38</v>
      </c>
      <c r="D1240" s="3" t="s">
        <v>164</v>
      </c>
      <c r="E1240" s="3">
        <v>2</v>
      </c>
      <c r="F1240" s="3">
        <v>132</v>
      </c>
      <c r="G1240" s="6" t="s">
        <v>1764</v>
      </c>
      <c r="H1240" s="3" t="s">
        <v>1765</v>
      </c>
      <c r="I1240" s="6" t="s">
        <v>793</v>
      </c>
      <c r="J1240" s="3">
        <v>3</v>
      </c>
      <c r="K1240" s="3">
        <v>3</v>
      </c>
      <c r="L1240" s="3">
        <v>17.18</v>
      </c>
      <c r="M1240" s="3">
        <v>3</v>
      </c>
      <c r="N1240" s="3">
        <v>8</v>
      </c>
      <c r="O1240" s="3">
        <v>5</v>
      </c>
      <c r="P1240" s="3"/>
      <c r="Q1240" s="3">
        <v>175</v>
      </c>
      <c r="R1240" s="3"/>
      <c r="S1240" s="3"/>
      <c r="T1240" s="3"/>
      <c r="U1240" s="3"/>
      <c r="V1240" s="3"/>
      <c r="W1240" s="3"/>
      <c r="X1240" s="3" t="s">
        <v>1492</v>
      </c>
      <c r="Y1240" s="3" t="s">
        <v>399</v>
      </c>
    </row>
    <row r="1241" spans="1:25" ht="15" customHeight="1" x14ac:dyDescent="0.3">
      <c r="A1241" s="27">
        <v>45930</v>
      </c>
      <c r="B1241" s="25">
        <v>28</v>
      </c>
      <c r="C1241" s="3" t="s">
        <v>38</v>
      </c>
      <c r="D1241" s="3" t="s">
        <v>164</v>
      </c>
      <c r="E1241" s="3">
        <v>2</v>
      </c>
      <c r="F1241" s="3">
        <v>133</v>
      </c>
      <c r="G1241" s="6" t="s">
        <v>1766</v>
      </c>
      <c r="H1241" s="3" t="s">
        <v>1303</v>
      </c>
      <c r="I1241" s="6" t="s">
        <v>793</v>
      </c>
      <c r="J1241" s="3">
        <v>4</v>
      </c>
      <c r="K1241" s="3">
        <v>4</v>
      </c>
      <c r="L1241" s="3">
        <v>17.57</v>
      </c>
      <c r="M1241" s="3">
        <v>2.8</v>
      </c>
      <c r="N1241" s="3">
        <v>7</v>
      </c>
      <c r="O1241" s="3">
        <v>5.75</v>
      </c>
      <c r="P1241" s="3"/>
      <c r="Q1241" s="3">
        <v>170</v>
      </c>
      <c r="R1241" s="3"/>
      <c r="S1241" s="3"/>
      <c r="T1241" s="3"/>
      <c r="U1241" s="3"/>
      <c r="V1241" s="3"/>
      <c r="W1241" s="3"/>
      <c r="X1241" s="3" t="s">
        <v>84</v>
      </c>
      <c r="Y1241" s="3" t="s">
        <v>1785</v>
      </c>
    </row>
    <row r="1242" spans="1:25" ht="15" customHeight="1" x14ac:dyDescent="0.3">
      <c r="A1242" s="27">
        <v>45930</v>
      </c>
      <c r="B1242" s="25">
        <v>28</v>
      </c>
      <c r="C1242" s="3" t="s">
        <v>38</v>
      </c>
      <c r="D1242" s="3" t="s">
        <v>164</v>
      </c>
      <c r="E1242" s="3">
        <v>2</v>
      </c>
      <c r="F1242" s="3">
        <v>134</v>
      </c>
      <c r="G1242" s="6" t="s">
        <v>1480</v>
      </c>
      <c r="H1242" s="3" t="s">
        <v>1700</v>
      </c>
      <c r="I1242" s="6" t="s">
        <v>793</v>
      </c>
      <c r="J1242" s="3">
        <v>3</v>
      </c>
      <c r="K1242" s="3">
        <v>3</v>
      </c>
      <c r="L1242" s="3">
        <v>17.059999999999999</v>
      </c>
      <c r="M1242" s="3">
        <v>4</v>
      </c>
      <c r="N1242" s="3">
        <v>7</v>
      </c>
      <c r="O1242" s="3">
        <v>5</v>
      </c>
      <c r="P1242" s="3"/>
      <c r="Q1242" s="3">
        <v>170</v>
      </c>
      <c r="R1242" s="3"/>
      <c r="S1242" s="3"/>
      <c r="T1242" s="3"/>
      <c r="U1242" s="3"/>
      <c r="V1242" s="3"/>
      <c r="W1242" s="3"/>
      <c r="X1242" s="3" t="s">
        <v>84</v>
      </c>
      <c r="Y1242" s="3" t="s">
        <v>907</v>
      </c>
    </row>
    <row r="1243" spans="1:25" ht="15" customHeight="1" x14ac:dyDescent="0.3">
      <c r="A1243" s="27">
        <v>45930</v>
      </c>
      <c r="B1243" s="25">
        <v>28</v>
      </c>
      <c r="C1243" s="3" t="s">
        <v>38</v>
      </c>
      <c r="D1243" s="3" t="s">
        <v>164</v>
      </c>
      <c r="E1243" s="3">
        <v>2</v>
      </c>
      <c r="F1243" s="3">
        <v>135</v>
      </c>
      <c r="G1243" s="6" t="s">
        <v>1254</v>
      </c>
      <c r="H1243" s="3" t="s">
        <v>1767</v>
      </c>
      <c r="I1243" s="6" t="s">
        <v>793</v>
      </c>
      <c r="J1243" s="3">
        <v>2</v>
      </c>
      <c r="K1243" s="3">
        <v>2</v>
      </c>
      <c r="L1243" s="3">
        <v>19.89</v>
      </c>
      <c r="M1243" s="3">
        <v>3.8</v>
      </c>
      <c r="N1243" s="3">
        <v>10</v>
      </c>
      <c r="O1243" s="3">
        <v>5</v>
      </c>
      <c r="P1243" s="3"/>
      <c r="Q1243" s="3">
        <v>180</v>
      </c>
      <c r="R1243" s="3"/>
      <c r="S1243" s="3"/>
      <c r="T1243" s="3"/>
      <c r="U1243" s="3"/>
      <c r="V1243" s="3"/>
      <c r="W1243" s="3"/>
      <c r="X1243" s="3" t="s">
        <v>1494</v>
      </c>
      <c r="Y1243" s="3" t="s">
        <v>399</v>
      </c>
    </row>
    <row r="1244" spans="1:25" ht="15" customHeight="1" x14ac:dyDescent="0.3">
      <c r="A1244" s="27">
        <v>45930</v>
      </c>
      <c r="B1244" s="25">
        <v>28</v>
      </c>
      <c r="C1244" s="3" t="s">
        <v>38</v>
      </c>
      <c r="D1244" s="3" t="s">
        <v>164</v>
      </c>
      <c r="E1244" s="3">
        <v>2</v>
      </c>
      <c r="F1244" s="3">
        <v>138</v>
      </c>
      <c r="G1244" s="6" t="s">
        <v>1701</v>
      </c>
      <c r="H1244" s="3" t="s">
        <v>1702</v>
      </c>
      <c r="I1244" s="6" t="s">
        <v>793</v>
      </c>
      <c r="J1244" s="3">
        <v>3</v>
      </c>
      <c r="K1244" s="3">
        <v>3</v>
      </c>
      <c r="L1244" s="3">
        <v>13.56</v>
      </c>
      <c r="M1244" s="3">
        <v>2.5</v>
      </c>
      <c r="N1244" s="3">
        <v>6</v>
      </c>
      <c r="O1244" s="3">
        <v>4</v>
      </c>
      <c r="P1244" s="3"/>
      <c r="Q1244" s="3">
        <v>180</v>
      </c>
      <c r="R1244" s="3"/>
      <c r="S1244" s="3"/>
      <c r="T1244" s="3"/>
      <c r="U1244" s="3"/>
      <c r="V1244" s="3"/>
      <c r="W1244" s="3"/>
      <c r="X1244" s="3" t="s">
        <v>82</v>
      </c>
      <c r="Y1244" s="3" t="s">
        <v>396</v>
      </c>
    </row>
    <row r="1245" spans="1:25" ht="15" customHeight="1" x14ac:dyDescent="0.3">
      <c r="A1245" s="27">
        <v>45930</v>
      </c>
      <c r="B1245" s="25">
        <v>28</v>
      </c>
      <c r="C1245" s="3" t="s">
        <v>38</v>
      </c>
      <c r="D1245" s="3" t="s">
        <v>164</v>
      </c>
      <c r="E1245" s="3">
        <v>2</v>
      </c>
      <c r="F1245" s="3">
        <v>203</v>
      </c>
      <c r="G1245" s="6" t="s">
        <v>23</v>
      </c>
      <c r="H1245" s="3" t="s">
        <v>1256</v>
      </c>
      <c r="I1245" s="6" t="s">
        <v>111</v>
      </c>
      <c r="J1245" s="3">
        <v>8</v>
      </c>
      <c r="K1245" s="3">
        <v>8</v>
      </c>
      <c r="L1245" s="3">
        <v>18.2</v>
      </c>
      <c r="M1245" s="3">
        <v>5</v>
      </c>
      <c r="N1245" s="3">
        <v>3.5</v>
      </c>
      <c r="O1245" s="3"/>
      <c r="P1245" s="3"/>
      <c r="Q1245" s="3"/>
      <c r="R1245" s="3" t="s">
        <v>318</v>
      </c>
      <c r="S1245" s="3" t="s">
        <v>1053</v>
      </c>
      <c r="T1245" s="3">
        <v>1.5</v>
      </c>
      <c r="U1245" s="3">
        <v>20</v>
      </c>
      <c r="V1245" s="3">
        <v>25</v>
      </c>
      <c r="W1245" s="3">
        <v>95</v>
      </c>
      <c r="X1245" s="3" t="s">
        <v>1659</v>
      </c>
      <c r="Y1245" s="3" t="s">
        <v>1786</v>
      </c>
    </row>
    <row r="1246" spans="1:25" ht="15" customHeight="1" x14ac:dyDescent="0.3">
      <c r="A1246" s="27">
        <v>45930</v>
      </c>
      <c r="B1246" s="25">
        <v>28</v>
      </c>
      <c r="C1246" s="3" t="s">
        <v>38</v>
      </c>
      <c r="D1246" s="3" t="s">
        <v>164</v>
      </c>
      <c r="E1246" s="3">
        <v>2</v>
      </c>
      <c r="F1246" s="3">
        <v>205</v>
      </c>
      <c r="G1246" s="6" t="s">
        <v>1548</v>
      </c>
      <c r="H1246" s="3" t="s">
        <v>1703</v>
      </c>
      <c r="I1246" s="6" t="s">
        <v>111</v>
      </c>
      <c r="J1246" s="3">
        <v>12</v>
      </c>
      <c r="K1246" s="23">
        <v>10</v>
      </c>
      <c r="L1246" s="3">
        <v>23</v>
      </c>
      <c r="M1246" s="3">
        <v>10</v>
      </c>
      <c r="N1246" s="3">
        <v>3</v>
      </c>
      <c r="O1246" s="3"/>
      <c r="P1246" s="3"/>
      <c r="Q1246" s="3"/>
      <c r="R1246" s="3" t="s">
        <v>64</v>
      </c>
      <c r="S1246" s="3" t="s">
        <v>63</v>
      </c>
      <c r="T1246" s="3">
        <v>1</v>
      </c>
      <c r="U1246" s="3">
        <v>20</v>
      </c>
      <c r="V1246" s="3">
        <v>25</v>
      </c>
      <c r="W1246" s="3">
        <v>90</v>
      </c>
      <c r="X1246" s="3" t="s">
        <v>1781</v>
      </c>
      <c r="Y1246" s="3"/>
    </row>
    <row r="1247" spans="1:25" ht="15" customHeight="1" x14ac:dyDescent="0.3">
      <c r="A1247" s="27">
        <v>45930</v>
      </c>
      <c r="B1247" s="25">
        <v>28</v>
      </c>
      <c r="C1247" s="3" t="s">
        <v>38</v>
      </c>
      <c r="D1247" s="3" t="s">
        <v>164</v>
      </c>
      <c r="E1247" s="3">
        <v>2</v>
      </c>
      <c r="F1247" s="3">
        <v>212</v>
      </c>
      <c r="G1247" s="6" t="s">
        <v>667</v>
      </c>
      <c r="H1247" s="3" t="s">
        <v>1735</v>
      </c>
      <c r="I1247" s="6" t="s">
        <v>111</v>
      </c>
      <c r="J1247" s="3">
        <v>12</v>
      </c>
      <c r="K1247" s="3">
        <v>12</v>
      </c>
      <c r="L1247" s="3">
        <v>35.450000000000003</v>
      </c>
      <c r="M1247" s="3">
        <v>25</v>
      </c>
      <c r="N1247" s="3">
        <v>3</v>
      </c>
      <c r="O1247" s="3"/>
      <c r="P1247" s="3"/>
      <c r="Q1247" s="3"/>
      <c r="R1247" s="3" t="s">
        <v>1774</v>
      </c>
      <c r="S1247" s="3" t="s">
        <v>1776</v>
      </c>
      <c r="T1247" s="3">
        <v>0.1</v>
      </c>
      <c r="U1247" s="3">
        <v>15</v>
      </c>
      <c r="V1247" s="3">
        <v>20</v>
      </c>
      <c r="W1247" s="3">
        <v>170</v>
      </c>
      <c r="X1247" s="3" t="s">
        <v>1782</v>
      </c>
      <c r="Y1247" s="3" t="s">
        <v>1787</v>
      </c>
    </row>
    <row r="1248" spans="1:25" ht="15" customHeight="1" x14ac:dyDescent="0.3">
      <c r="A1248" s="27">
        <v>45930</v>
      </c>
      <c r="B1248" s="25">
        <v>28</v>
      </c>
      <c r="C1248" s="3" t="s">
        <v>38</v>
      </c>
      <c r="D1248" s="3" t="s">
        <v>164</v>
      </c>
      <c r="E1248" s="3">
        <v>2</v>
      </c>
      <c r="F1248" s="3">
        <v>207</v>
      </c>
      <c r="G1248" s="6" t="s">
        <v>476</v>
      </c>
      <c r="H1248" s="3" t="s">
        <v>1729</v>
      </c>
      <c r="I1248" s="6" t="s">
        <v>111</v>
      </c>
      <c r="J1248" s="3">
        <v>12</v>
      </c>
      <c r="K1248" s="23">
        <v>9</v>
      </c>
      <c r="L1248" s="3">
        <v>32.869999999999997</v>
      </c>
      <c r="M1248" s="3">
        <v>13</v>
      </c>
      <c r="N1248" s="3">
        <v>3</v>
      </c>
      <c r="O1248" s="3"/>
      <c r="P1248" s="3"/>
      <c r="Q1248" s="3"/>
      <c r="R1248" s="3" t="s">
        <v>1131</v>
      </c>
      <c r="S1248" s="3" t="s">
        <v>242</v>
      </c>
      <c r="T1248" s="3">
        <v>2</v>
      </c>
      <c r="U1248" s="3">
        <v>15</v>
      </c>
      <c r="V1248" s="3">
        <v>20</v>
      </c>
      <c r="W1248" s="3">
        <v>100</v>
      </c>
      <c r="X1248" s="3" t="s">
        <v>1660</v>
      </c>
      <c r="Y1248" s="3" t="s">
        <v>1788</v>
      </c>
    </row>
    <row r="1249" spans="1:25" ht="15" customHeight="1" x14ac:dyDescent="0.3">
      <c r="A1249" s="27">
        <v>45930</v>
      </c>
      <c r="B1249" s="25">
        <v>28</v>
      </c>
      <c r="C1249" s="3" t="s">
        <v>38</v>
      </c>
      <c r="D1249" s="3" t="s">
        <v>164</v>
      </c>
      <c r="E1249" s="3">
        <v>2</v>
      </c>
      <c r="F1249" s="3">
        <v>209</v>
      </c>
      <c r="G1249" s="6" t="s">
        <v>996</v>
      </c>
      <c r="H1249" s="3" t="s">
        <v>1730</v>
      </c>
      <c r="I1249" s="6" t="s">
        <v>111</v>
      </c>
      <c r="J1249" s="3">
        <v>4</v>
      </c>
      <c r="K1249" s="23">
        <v>3</v>
      </c>
      <c r="L1249" s="3">
        <v>28.4</v>
      </c>
      <c r="M1249" s="3">
        <v>15</v>
      </c>
      <c r="N1249" s="3">
        <v>3</v>
      </c>
      <c r="O1249" s="3"/>
      <c r="P1249" s="3"/>
      <c r="Q1249" s="3"/>
      <c r="R1249" s="3" t="s">
        <v>1739</v>
      </c>
      <c r="S1249" s="3" t="s">
        <v>1710</v>
      </c>
      <c r="T1249" s="3">
        <v>2</v>
      </c>
      <c r="U1249" s="3">
        <v>10</v>
      </c>
      <c r="V1249" s="3">
        <v>20</v>
      </c>
      <c r="W1249" s="3">
        <v>170</v>
      </c>
      <c r="X1249" s="3" t="s">
        <v>1747</v>
      </c>
      <c r="Y1249" s="3" t="s">
        <v>1755</v>
      </c>
    </row>
    <row r="1250" spans="1:25" ht="15" customHeight="1" x14ac:dyDescent="0.3">
      <c r="A1250" s="27">
        <v>45930</v>
      </c>
      <c r="B1250" s="25">
        <v>28</v>
      </c>
      <c r="C1250" s="3" t="s">
        <v>38</v>
      </c>
      <c r="D1250" s="3" t="s">
        <v>164</v>
      </c>
      <c r="E1250" s="3">
        <v>2</v>
      </c>
      <c r="F1250" s="3">
        <v>210</v>
      </c>
      <c r="G1250" s="6" t="s">
        <v>1731</v>
      </c>
      <c r="H1250" s="3" t="s">
        <v>1732</v>
      </c>
      <c r="I1250" s="6" t="s">
        <v>111</v>
      </c>
      <c r="J1250" s="3">
        <v>4</v>
      </c>
      <c r="K1250" s="23">
        <v>3</v>
      </c>
      <c r="L1250" s="3">
        <v>20.8</v>
      </c>
      <c r="M1250" s="3">
        <v>8</v>
      </c>
      <c r="N1250" s="3">
        <v>4</v>
      </c>
      <c r="O1250" s="3"/>
      <c r="P1250" s="3"/>
      <c r="Q1250" s="3"/>
      <c r="R1250" s="3" t="s">
        <v>1775</v>
      </c>
      <c r="S1250" s="3" t="s">
        <v>1033</v>
      </c>
      <c r="T1250" s="3">
        <v>1</v>
      </c>
      <c r="U1250" s="3">
        <v>25</v>
      </c>
      <c r="V1250" s="3">
        <v>35</v>
      </c>
      <c r="W1250" s="3">
        <v>101</v>
      </c>
      <c r="X1250" s="3" t="s">
        <v>1748</v>
      </c>
      <c r="Y1250" s="3" t="s">
        <v>1789</v>
      </c>
    </row>
    <row r="1251" spans="1:25" ht="15" customHeight="1" x14ac:dyDescent="0.3">
      <c r="A1251" s="27">
        <v>45930</v>
      </c>
      <c r="B1251" s="25">
        <v>28</v>
      </c>
      <c r="C1251" s="3" t="s">
        <v>38</v>
      </c>
      <c r="D1251" s="3" t="s">
        <v>164</v>
      </c>
      <c r="E1251" s="3">
        <v>2</v>
      </c>
      <c r="F1251" s="3">
        <v>211</v>
      </c>
      <c r="G1251" s="6" t="s">
        <v>1437</v>
      </c>
      <c r="H1251" s="3" t="s">
        <v>1438</v>
      </c>
      <c r="I1251" s="6" t="s">
        <v>112</v>
      </c>
      <c r="J1251" s="3">
        <v>24</v>
      </c>
      <c r="K1251" s="23">
        <v>20</v>
      </c>
      <c r="L1251" s="3">
        <v>19.3</v>
      </c>
      <c r="M1251" s="3">
        <v>10</v>
      </c>
      <c r="N1251" s="3">
        <v>3</v>
      </c>
      <c r="O1251" s="3"/>
      <c r="P1251" s="3"/>
      <c r="Q1251" s="3"/>
      <c r="R1251" s="3" t="s">
        <v>491</v>
      </c>
      <c r="S1251" s="3" t="s">
        <v>1777</v>
      </c>
      <c r="T1251" s="3">
        <v>0.6</v>
      </c>
      <c r="U1251" s="3">
        <v>15</v>
      </c>
      <c r="V1251" s="3">
        <v>15</v>
      </c>
      <c r="W1251" s="3">
        <v>100</v>
      </c>
      <c r="X1251" s="3" t="s">
        <v>1446</v>
      </c>
      <c r="Y1251" s="3"/>
    </row>
    <row r="1252" spans="1:25" ht="15" customHeight="1" x14ac:dyDescent="0.3">
      <c r="A1252" s="27">
        <v>45930</v>
      </c>
      <c r="B1252" s="25">
        <v>28</v>
      </c>
      <c r="C1252" s="3" t="s">
        <v>38</v>
      </c>
      <c r="D1252" s="3" t="s">
        <v>164</v>
      </c>
      <c r="E1252" s="3">
        <v>2</v>
      </c>
      <c r="F1252" s="3">
        <v>302</v>
      </c>
      <c r="G1252" s="6" t="s">
        <v>31</v>
      </c>
      <c r="H1252" s="3" t="s">
        <v>195</v>
      </c>
      <c r="I1252" s="6" t="s">
        <v>793</v>
      </c>
      <c r="J1252" s="3">
        <v>12</v>
      </c>
      <c r="K1252" s="23">
        <v>10</v>
      </c>
      <c r="L1252" s="3">
        <v>65.02</v>
      </c>
      <c r="M1252" s="3">
        <v>24</v>
      </c>
      <c r="N1252" s="3">
        <v>22</v>
      </c>
      <c r="O1252" s="3"/>
      <c r="P1252" s="3"/>
      <c r="Q1252" s="3">
        <v>170</v>
      </c>
      <c r="R1252" s="3" t="s">
        <v>1554</v>
      </c>
      <c r="S1252" s="3" t="s">
        <v>895</v>
      </c>
      <c r="T1252" s="3">
        <v>3</v>
      </c>
      <c r="U1252" s="3">
        <v>40</v>
      </c>
      <c r="V1252" s="3">
        <v>40</v>
      </c>
      <c r="W1252" s="3">
        <v>150</v>
      </c>
      <c r="X1252" s="3" t="s">
        <v>1783</v>
      </c>
      <c r="Y1252" s="6" t="s">
        <v>1790</v>
      </c>
    </row>
    <row r="1253" spans="1:25" ht="15" customHeight="1" x14ac:dyDescent="0.3">
      <c r="A1253" s="27">
        <v>45930</v>
      </c>
      <c r="B1253" s="25">
        <v>28</v>
      </c>
      <c r="C1253" s="3" t="s">
        <v>38</v>
      </c>
      <c r="D1253" s="3" t="s">
        <v>164</v>
      </c>
      <c r="E1253" s="3">
        <v>2</v>
      </c>
      <c r="F1253" s="3">
        <v>501</v>
      </c>
      <c r="G1253" s="6" t="s">
        <v>1733</v>
      </c>
      <c r="H1253" s="3" t="s">
        <v>1734</v>
      </c>
      <c r="I1253" s="6" t="s">
        <v>110</v>
      </c>
      <c r="J1253" s="3">
        <v>6</v>
      </c>
      <c r="K1253" s="3">
        <v>6</v>
      </c>
      <c r="L1253" s="3">
        <v>15.62</v>
      </c>
      <c r="M1253" s="3"/>
      <c r="N1253" s="3"/>
      <c r="O1253" s="3">
        <v>9.3000000000000007</v>
      </c>
      <c r="P1253" s="3"/>
      <c r="Q1253" s="3"/>
      <c r="R1253" s="3"/>
      <c r="S1253" s="3"/>
      <c r="T1253" s="3"/>
      <c r="U1253" s="3"/>
      <c r="V1253" s="3"/>
      <c r="W1253" s="3">
        <v>300</v>
      </c>
      <c r="X1253" s="3" t="s">
        <v>1750</v>
      </c>
      <c r="Y1253" s="3"/>
    </row>
    <row r="1254" spans="1:25" ht="15" customHeight="1" x14ac:dyDescent="0.3">
      <c r="A1254" s="27">
        <v>45930</v>
      </c>
      <c r="B1254" s="25">
        <v>28</v>
      </c>
      <c r="C1254" s="3" t="s">
        <v>38</v>
      </c>
      <c r="D1254" s="3" t="s">
        <v>164</v>
      </c>
      <c r="E1254" s="3">
        <v>2</v>
      </c>
      <c r="F1254" s="3">
        <v>503</v>
      </c>
      <c r="G1254" s="6" t="s">
        <v>1768</v>
      </c>
      <c r="H1254" s="3" t="s">
        <v>1769</v>
      </c>
      <c r="I1254" s="6" t="s">
        <v>110</v>
      </c>
      <c r="J1254" s="3">
        <v>2</v>
      </c>
      <c r="K1254" s="23">
        <v>1</v>
      </c>
      <c r="L1254" s="3">
        <v>15</v>
      </c>
      <c r="M1254" s="3"/>
      <c r="N1254" s="3"/>
      <c r="O1254" s="3">
        <v>18</v>
      </c>
      <c r="P1254" s="3"/>
      <c r="Q1254" s="3"/>
      <c r="R1254" s="3"/>
      <c r="S1254" s="3"/>
      <c r="T1254" s="3"/>
      <c r="U1254" s="3"/>
      <c r="V1254" s="3"/>
      <c r="W1254" s="3"/>
      <c r="X1254" s="3" t="s">
        <v>618</v>
      </c>
      <c r="Y1254" s="3"/>
    </row>
    <row r="1255" spans="1:25" ht="15" customHeight="1" x14ac:dyDescent="0.3">
      <c r="A1255" s="5">
        <v>45931</v>
      </c>
      <c r="B1255" s="25">
        <v>28</v>
      </c>
      <c r="C1255" s="3" t="s">
        <v>38</v>
      </c>
      <c r="D1255" s="3" t="s">
        <v>164</v>
      </c>
      <c r="E1255" s="3">
        <v>2</v>
      </c>
      <c r="F1255" s="3">
        <v>102</v>
      </c>
      <c r="G1255" s="6" t="s">
        <v>547</v>
      </c>
      <c r="H1255" s="3" t="s">
        <v>1721</v>
      </c>
      <c r="I1255" s="6" t="s">
        <v>793</v>
      </c>
      <c r="J1255" s="3">
        <v>5</v>
      </c>
      <c r="K1255" s="3">
        <v>5</v>
      </c>
      <c r="L1255" s="3">
        <v>18.920000000000002</v>
      </c>
      <c r="M1255" s="3">
        <v>4.7</v>
      </c>
      <c r="N1255" s="3">
        <v>9.3000000000000007</v>
      </c>
      <c r="O1255" s="3">
        <v>6</v>
      </c>
      <c r="P1255" s="3">
        <v>50</v>
      </c>
      <c r="Q1255" s="3">
        <v>170</v>
      </c>
      <c r="R1255" s="3"/>
      <c r="S1255" s="3"/>
      <c r="T1255" s="3"/>
      <c r="U1255" s="3"/>
      <c r="V1255" s="3"/>
      <c r="W1255" s="3"/>
      <c r="X1255" s="3" t="s">
        <v>251</v>
      </c>
      <c r="Y1255" s="3" t="s">
        <v>580</v>
      </c>
    </row>
    <row r="1256" spans="1:25" ht="15" customHeight="1" x14ac:dyDescent="0.3">
      <c r="A1256" s="5">
        <v>45931</v>
      </c>
      <c r="B1256" s="25">
        <v>28</v>
      </c>
      <c r="C1256" s="3" t="s">
        <v>38</v>
      </c>
      <c r="D1256" s="3" t="s">
        <v>164</v>
      </c>
      <c r="E1256" s="3">
        <v>2</v>
      </c>
      <c r="F1256" s="3">
        <v>103</v>
      </c>
      <c r="G1256" s="6" t="s">
        <v>163</v>
      </c>
      <c r="H1256" s="3" t="s">
        <v>1578</v>
      </c>
      <c r="I1256" s="6" t="s">
        <v>793</v>
      </c>
      <c r="J1256" s="3">
        <v>5</v>
      </c>
      <c r="K1256" s="3">
        <v>5</v>
      </c>
      <c r="L1256" s="3">
        <v>15.19</v>
      </c>
      <c r="M1256" s="3">
        <v>4</v>
      </c>
      <c r="N1256" s="3">
        <v>6.5</v>
      </c>
      <c r="O1256" s="3">
        <v>6</v>
      </c>
      <c r="P1256" s="3">
        <v>50</v>
      </c>
      <c r="Q1256" s="3">
        <v>170</v>
      </c>
      <c r="R1256" s="3"/>
      <c r="S1256" s="3"/>
      <c r="T1256" s="3"/>
      <c r="U1256" s="3"/>
      <c r="V1256" s="3"/>
      <c r="W1256" s="3"/>
      <c r="X1256" s="3" t="s">
        <v>251</v>
      </c>
      <c r="Y1256" s="3" t="s">
        <v>1615</v>
      </c>
    </row>
    <row r="1257" spans="1:25" ht="15" customHeight="1" x14ac:dyDescent="0.3">
      <c r="A1257" s="5">
        <v>45931</v>
      </c>
      <c r="B1257" s="25">
        <v>28</v>
      </c>
      <c r="C1257" s="3" t="s">
        <v>38</v>
      </c>
      <c r="D1257" s="3" t="s">
        <v>164</v>
      </c>
      <c r="E1257" s="3">
        <v>2</v>
      </c>
      <c r="F1257" s="3">
        <v>162</v>
      </c>
      <c r="G1257" s="6" t="s">
        <v>1454</v>
      </c>
      <c r="H1257" s="3" t="s">
        <v>1634</v>
      </c>
      <c r="I1257" s="6" t="s">
        <v>793</v>
      </c>
      <c r="J1257" s="3">
        <v>2</v>
      </c>
      <c r="K1257" s="3">
        <v>2</v>
      </c>
      <c r="L1257" s="3">
        <v>24</v>
      </c>
      <c r="M1257" s="3">
        <v>6.5</v>
      </c>
      <c r="N1257" s="3">
        <v>10</v>
      </c>
      <c r="O1257" s="3">
        <v>4</v>
      </c>
      <c r="P1257" s="3">
        <v>40</v>
      </c>
      <c r="Q1257" s="3">
        <v>170</v>
      </c>
      <c r="R1257" s="3"/>
      <c r="S1257" s="3"/>
      <c r="T1257" s="3"/>
      <c r="U1257" s="3"/>
      <c r="V1257" s="3"/>
      <c r="W1257" s="3"/>
      <c r="X1257" s="3" t="s">
        <v>288</v>
      </c>
      <c r="Y1257" s="3" t="s">
        <v>83</v>
      </c>
    </row>
    <row r="1258" spans="1:25" ht="15" customHeight="1" x14ac:dyDescent="0.3">
      <c r="A1258" s="5">
        <v>45931</v>
      </c>
      <c r="B1258" s="25">
        <v>28</v>
      </c>
      <c r="C1258" s="3" t="s">
        <v>38</v>
      </c>
      <c r="D1258" s="3" t="s">
        <v>164</v>
      </c>
      <c r="E1258" s="3">
        <v>2</v>
      </c>
      <c r="F1258" s="3">
        <v>164</v>
      </c>
      <c r="G1258" s="6" t="s">
        <v>11</v>
      </c>
      <c r="H1258" s="3" t="s">
        <v>1724</v>
      </c>
      <c r="I1258" s="6" t="s">
        <v>793</v>
      </c>
      <c r="J1258" s="3">
        <v>2</v>
      </c>
      <c r="K1258" s="3">
        <v>2</v>
      </c>
      <c r="L1258" s="3">
        <v>22.8</v>
      </c>
      <c r="M1258" s="3">
        <v>6.5</v>
      </c>
      <c r="N1258" s="3">
        <v>11</v>
      </c>
      <c r="O1258" s="3">
        <v>3.9</v>
      </c>
      <c r="P1258" s="3"/>
      <c r="Q1258" s="3">
        <v>170</v>
      </c>
      <c r="R1258" s="3"/>
      <c r="S1258" s="3"/>
      <c r="T1258" s="3"/>
      <c r="U1258" s="3"/>
      <c r="V1258" s="3"/>
      <c r="W1258" s="3"/>
      <c r="X1258" s="3" t="s">
        <v>138</v>
      </c>
      <c r="Y1258" s="3" t="s">
        <v>1018</v>
      </c>
    </row>
    <row r="1259" spans="1:25" ht="15" customHeight="1" x14ac:dyDescent="0.3">
      <c r="A1259" s="5">
        <v>45931</v>
      </c>
      <c r="B1259" s="25">
        <v>28</v>
      </c>
      <c r="C1259" s="3" t="s">
        <v>38</v>
      </c>
      <c r="D1259" s="3" t="s">
        <v>164</v>
      </c>
      <c r="E1259" s="3">
        <v>2</v>
      </c>
      <c r="F1259" s="3">
        <v>181</v>
      </c>
      <c r="G1259" s="6" t="s">
        <v>57</v>
      </c>
      <c r="H1259" s="3" t="s">
        <v>1791</v>
      </c>
      <c r="I1259" s="6" t="s">
        <v>793</v>
      </c>
      <c r="J1259" s="3">
        <v>4</v>
      </c>
      <c r="K1259" s="3">
        <v>4</v>
      </c>
      <c r="L1259" s="3">
        <v>14.35</v>
      </c>
      <c r="M1259" s="3">
        <v>4.0999999999999996</v>
      </c>
      <c r="N1259" s="3">
        <v>6</v>
      </c>
      <c r="O1259" s="3">
        <v>3</v>
      </c>
      <c r="P1259" s="3">
        <v>39</v>
      </c>
      <c r="Q1259" s="3">
        <v>180</v>
      </c>
      <c r="R1259" s="3"/>
      <c r="S1259" s="3"/>
      <c r="T1259" s="3"/>
      <c r="U1259" s="3"/>
      <c r="V1259" s="3"/>
      <c r="W1259" s="3"/>
      <c r="X1259" s="3" t="s">
        <v>388</v>
      </c>
      <c r="Y1259" s="3" t="s">
        <v>396</v>
      </c>
    </row>
    <row r="1260" spans="1:25" ht="15" customHeight="1" x14ac:dyDescent="0.3">
      <c r="A1260" s="5">
        <v>45931</v>
      </c>
      <c r="B1260" s="25">
        <v>28</v>
      </c>
      <c r="C1260" s="3" t="s">
        <v>38</v>
      </c>
      <c r="D1260" s="3" t="s">
        <v>164</v>
      </c>
      <c r="E1260" s="3">
        <v>2</v>
      </c>
      <c r="F1260" s="3">
        <v>401</v>
      </c>
      <c r="G1260" s="6" t="s">
        <v>844</v>
      </c>
      <c r="H1260" s="3" t="s">
        <v>1695</v>
      </c>
      <c r="I1260" s="6" t="s">
        <v>793</v>
      </c>
      <c r="J1260" s="3">
        <v>1</v>
      </c>
      <c r="K1260" s="3">
        <v>1</v>
      </c>
      <c r="L1260" s="3">
        <v>10.38</v>
      </c>
      <c r="M1260" s="3"/>
      <c r="N1260" s="3"/>
      <c r="O1260" s="3">
        <v>4</v>
      </c>
      <c r="P1260" s="3"/>
      <c r="Q1260" s="3"/>
      <c r="R1260" s="3"/>
      <c r="S1260" s="3"/>
      <c r="T1260" s="3"/>
      <c r="U1260" s="3"/>
      <c r="V1260" s="3"/>
      <c r="W1260" s="3"/>
      <c r="X1260" s="3" t="s">
        <v>1799</v>
      </c>
      <c r="Y1260" s="3"/>
    </row>
    <row r="1261" spans="1:25" ht="15" customHeight="1" x14ac:dyDescent="0.3">
      <c r="A1261" s="5">
        <v>45931</v>
      </c>
      <c r="B1261" s="25">
        <v>28</v>
      </c>
      <c r="C1261" s="3" t="s">
        <v>38</v>
      </c>
      <c r="D1261" s="3" t="s">
        <v>164</v>
      </c>
      <c r="E1261" s="3">
        <v>2</v>
      </c>
      <c r="F1261" s="3">
        <v>402</v>
      </c>
      <c r="G1261" s="6" t="s">
        <v>12</v>
      </c>
      <c r="H1261" s="3" t="s">
        <v>1792</v>
      </c>
      <c r="I1261" s="6" t="s">
        <v>793</v>
      </c>
      <c r="J1261" s="3">
        <v>2</v>
      </c>
      <c r="K1261" s="3">
        <v>2</v>
      </c>
      <c r="L1261" s="3">
        <v>9</v>
      </c>
      <c r="M1261" s="3"/>
      <c r="N1261" s="3"/>
      <c r="O1261" s="3">
        <v>3.5</v>
      </c>
      <c r="P1261" s="3"/>
      <c r="Q1261" s="3"/>
      <c r="R1261" s="3"/>
      <c r="S1261" s="3"/>
      <c r="T1261" s="3"/>
      <c r="U1261" s="3"/>
      <c r="V1261" s="3"/>
      <c r="W1261" s="3"/>
      <c r="X1261" s="3" t="s">
        <v>1800</v>
      </c>
      <c r="Y1261" s="3"/>
    </row>
    <row r="1262" spans="1:25" ht="15" customHeight="1" x14ac:dyDescent="0.3">
      <c r="A1262" s="5">
        <v>45931</v>
      </c>
      <c r="B1262" s="25">
        <v>28</v>
      </c>
      <c r="C1262" s="3" t="s">
        <v>38</v>
      </c>
      <c r="D1262" s="3" t="s">
        <v>164</v>
      </c>
      <c r="E1262" s="3">
        <v>2</v>
      </c>
      <c r="F1262" s="3">
        <v>172</v>
      </c>
      <c r="G1262" s="6" t="s">
        <v>1638</v>
      </c>
      <c r="H1262" s="3" t="s">
        <v>1639</v>
      </c>
      <c r="I1262" s="6" t="s">
        <v>793</v>
      </c>
      <c r="J1262" s="3">
        <v>4</v>
      </c>
      <c r="K1262" s="3">
        <v>4</v>
      </c>
      <c r="L1262" s="3">
        <v>20.34</v>
      </c>
      <c r="M1262" s="3">
        <v>3.5</v>
      </c>
      <c r="N1262" s="3">
        <v>12.5</v>
      </c>
      <c r="O1262" s="3">
        <v>10</v>
      </c>
      <c r="P1262" s="3" t="s">
        <v>1795</v>
      </c>
      <c r="Q1262" s="3">
        <v>170</v>
      </c>
      <c r="R1262" s="3"/>
      <c r="S1262" s="3"/>
      <c r="T1262" s="3"/>
      <c r="U1262" s="3"/>
      <c r="V1262" s="3"/>
      <c r="W1262" s="3"/>
      <c r="X1262" s="3" t="s">
        <v>79</v>
      </c>
      <c r="Y1262" s="3" t="s">
        <v>84</v>
      </c>
    </row>
    <row r="1263" spans="1:25" ht="15" customHeight="1" x14ac:dyDescent="0.3">
      <c r="A1263" s="5">
        <v>45931</v>
      </c>
      <c r="B1263" s="25">
        <v>28</v>
      </c>
      <c r="C1263" s="3" t="s">
        <v>38</v>
      </c>
      <c r="D1263" s="3" t="s">
        <v>164</v>
      </c>
      <c r="E1263" s="3">
        <v>2</v>
      </c>
      <c r="F1263" s="3">
        <v>173</v>
      </c>
      <c r="G1263" s="6" t="s">
        <v>437</v>
      </c>
      <c r="H1263" s="3" t="s">
        <v>1762</v>
      </c>
      <c r="I1263" s="6" t="s">
        <v>793</v>
      </c>
      <c r="J1263" s="3">
        <v>5</v>
      </c>
      <c r="K1263" s="3">
        <v>5</v>
      </c>
      <c r="L1263" s="3">
        <v>16.3</v>
      </c>
      <c r="M1263" s="3">
        <v>0.5</v>
      </c>
      <c r="N1263" s="3">
        <v>11</v>
      </c>
      <c r="O1263" s="3">
        <v>7</v>
      </c>
      <c r="P1263" s="3" t="s">
        <v>1796</v>
      </c>
      <c r="Q1263" s="3">
        <v>160</v>
      </c>
      <c r="R1263" s="3"/>
      <c r="S1263" s="3"/>
      <c r="T1263" s="3"/>
      <c r="U1263" s="3"/>
      <c r="V1263" s="3"/>
      <c r="W1263" s="3"/>
      <c r="X1263" s="3" t="s">
        <v>79</v>
      </c>
      <c r="Y1263" s="3" t="s">
        <v>87</v>
      </c>
    </row>
    <row r="1264" spans="1:25" ht="15" customHeight="1" x14ac:dyDescent="0.3">
      <c r="A1264" s="5">
        <v>45931</v>
      </c>
      <c r="B1264" s="25">
        <v>28</v>
      </c>
      <c r="C1264" s="3" t="s">
        <v>38</v>
      </c>
      <c r="D1264" s="3" t="s">
        <v>164</v>
      </c>
      <c r="E1264" s="3">
        <v>2</v>
      </c>
      <c r="F1264" s="3">
        <v>174</v>
      </c>
      <c r="G1264" s="6" t="s">
        <v>558</v>
      </c>
      <c r="H1264" s="3" t="s">
        <v>1793</v>
      </c>
      <c r="I1264" s="6" t="s">
        <v>793</v>
      </c>
      <c r="J1264" s="3">
        <v>3</v>
      </c>
      <c r="K1264" s="3">
        <v>3</v>
      </c>
      <c r="L1264" s="3">
        <v>14.36</v>
      </c>
      <c r="M1264" s="3">
        <v>3</v>
      </c>
      <c r="N1264" s="3">
        <v>7</v>
      </c>
      <c r="O1264" s="3">
        <v>5.8</v>
      </c>
      <c r="P1264" s="3"/>
      <c r="Q1264" s="3">
        <v>175</v>
      </c>
      <c r="R1264" s="3"/>
      <c r="S1264" s="3"/>
      <c r="T1264" s="3"/>
      <c r="U1264" s="3"/>
      <c r="V1264" s="3"/>
      <c r="W1264" s="3"/>
      <c r="X1264" s="3" t="s">
        <v>1105</v>
      </c>
      <c r="Y1264" s="3" t="s">
        <v>1805</v>
      </c>
    </row>
    <row r="1265" spans="1:25" ht="15" customHeight="1" x14ac:dyDescent="0.3">
      <c r="A1265" s="5">
        <v>45931</v>
      </c>
      <c r="B1265" s="25">
        <v>28</v>
      </c>
      <c r="C1265" s="3" t="s">
        <v>38</v>
      </c>
      <c r="D1265" s="3" t="s">
        <v>164</v>
      </c>
      <c r="E1265" s="3">
        <v>2</v>
      </c>
      <c r="F1265" s="3">
        <v>176</v>
      </c>
      <c r="G1265" s="6" t="s">
        <v>17</v>
      </c>
      <c r="H1265" s="3" t="s">
        <v>1627</v>
      </c>
      <c r="I1265" s="6" t="s">
        <v>793</v>
      </c>
      <c r="J1265" s="3">
        <v>5</v>
      </c>
      <c r="K1265" s="3">
        <v>5</v>
      </c>
      <c r="L1265" s="3">
        <v>17.38</v>
      </c>
      <c r="M1265" s="3">
        <v>1</v>
      </c>
      <c r="N1265" s="3">
        <v>10.8</v>
      </c>
      <c r="O1265" s="3">
        <v>7</v>
      </c>
      <c r="P1265" s="3" t="s">
        <v>1773</v>
      </c>
      <c r="Q1265" s="3">
        <v>175</v>
      </c>
      <c r="R1265" s="3"/>
      <c r="S1265" s="3"/>
      <c r="T1265" s="3"/>
      <c r="U1265" s="3"/>
      <c r="V1265" s="3"/>
      <c r="W1265" s="3"/>
      <c r="X1265" s="3" t="s">
        <v>79</v>
      </c>
      <c r="Y1265" s="3" t="s">
        <v>84</v>
      </c>
    </row>
    <row r="1266" spans="1:25" ht="15" customHeight="1" x14ac:dyDescent="0.3">
      <c r="A1266" s="5">
        <v>45931</v>
      </c>
      <c r="B1266" s="25">
        <v>28</v>
      </c>
      <c r="C1266" s="3" t="s">
        <v>38</v>
      </c>
      <c r="D1266" s="3" t="s">
        <v>164</v>
      </c>
      <c r="E1266" s="3">
        <v>2</v>
      </c>
      <c r="F1266" s="3">
        <v>177</v>
      </c>
      <c r="G1266" s="6" t="s">
        <v>15</v>
      </c>
      <c r="H1266" s="3" t="s">
        <v>1794</v>
      </c>
      <c r="I1266" s="6" t="s">
        <v>793</v>
      </c>
      <c r="J1266" s="3">
        <v>4</v>
      </c>
      <c r="K1266" s="3">
        <v>4</v>
      </c>
      <c r="L1266" s="3">
        <v>14</v>
      </c>
      <c r="M1266" s="3">
        <v>0.8</v>
      </c>
      <c r="N1266" s="3">
        <v>9</v>
      </c>
      <c r="O1266" s="3">
        <v>7</v>
      </c>
      <c r="P1266" s="3" t="s">
        <v>1797</v>
      </c>
      <c r="Q1266" s="3">
        <v>170</v>
      </c>
      <c r="R1266" s="3"/>
      <c r="S1266" s="3"/>
      <c r="T1266" s="3"/>
      <c r="U1266" s="3"/>
      <c r="V1266" s="3"/>
      <c r="W1266" s="3"/>
      <c r="X1266" s="3" t="s">
        <v>252</v>
      </c>
      <c r="Y1266" s="3" t="s">
        <v>87</v>
      </c>
    </row>
    <row r="1267" spans="1:25" ht="15" customHeight="1" x14ac:dyDescent="0.3">
      <c r="A1267" s="5">
        <v>45931</v>
      </c>
      <c r="B1267" s="25">
        <v>28</v>
      </c>
      <c r="C1267" s="3" t="s">
        <v>38</v>
      </c>
      <c r="D1267" s="3" t="s">
        <v>164</v>
      </c>
      <c r="E1267" s="3">
        <v>2</v>
      </c>
      <c r="F1267" s="3">
        <v>131</v>
      </c>
      <c r="G1267" s="6" t="s">
        <v>1727</v>
      </c>
      <c r="H1267" s="3" t="s">
        <v>1728</v>
      </c>
      <c r="I1267" s="6" t="s">
        <v>793</v>
      </c>
      <c r="J1267" s="3">
        <v>3</v>
      </c>
      <c r="K1267" s="3">
        <v>3</v>
      </c>
      <c r="L1267" s="3">
        <v>18.46</v>
      </c>
      <c r="M1267" s="3">
        <v>3</v>
      </c>
      <c r="N1267" s="3">
        <v>8.5</v>
      </c>
      <c r="O1267" s="3">
        <v>6</v>
      </c>
      <c r="P1267" s="3"/>
      <c r="Q1267" s="3">
        <v>175</v>
      </c>
      <c r="R1267" s="3"/>
      <c r="S1267" s="3"/>
      <c r="T1267" s="3"/>
      <c r="U1267" s="3"/>
      <c r="V1267" s="3"/>
      <c r="W1267" s="3"/>
      <c r="X1267" s="3" t="s">
        <v>84</v>
      </c>
      <c r="Y1267" s="3" t="s">
        <v>1806</v>
      </c>
    </row>
    <row r="1268" spans="1:25" ht="15" customHeight="1" x14ac:dyDescent="0.3">
      <c r="A1268" s="5">
        <v>45931</v>
      </c>
      <c r="B1268" s="25">
        <v>28</v>
      </c>
      <c r="C1268" s="3" t="s">
        <v>38</v>
      </c>
      <c r="D1268" s="3" t="s">
        <v>164</v>
      </c>
      <c r="E1268" s="3">
        <v>2</v>
      </c>
      <c r="F1268" s="3">
        <v>132</v>
      </c>
      <c r="G1268" s="6" t="s">
        <v>1764</v>
      </c>
      <c r="H1268" s="3" t="s">
        <v>1765</v>
      </c>
      <c r="I1268" s="6" t="s">
        <v>793</v>
      </c>
      <c r="J1268" s="3">
        <v>3</v>
      </c>
      <c r="K1268" s="3">
        <v>3</v>
      </c>
      <c r="L1268" s="3">
        <v>18.170000000000002</v>
      </c>
      <c r="M1268" s="3">
        <v>2.9</v>
      </c>
      <c r="N1268" s="3">
        <v>8.1</v>
      </c>
      <c r="O1268" s="3">
        <v>6.5</v>
      </c>
      <c r="P1268" s="3"/>
      <c r="Q1268" s="3">
        <v>175</v>
      </c>
      <c r="R1268" s="3"/>
      <c r="S1268" s="3"/>
      <c r="T1268" s="3"/>
      <c r="U1268" s="3"/>
      <c r="V1268" s="3"/>
      <c r="W1268" s="3"/>
      <c r="X1268" s="3" t="s">
        <v>1492</v>
      </c>
      <c r="Y1268" s="3" t="s">
        <v>399</v>
      </c>
    </row>
    <row r="1269" spans="1:25" ht="15" customHeight="1" x14ac:dyDescent="0.3">
      <c r="A1269" s="5">
        <v>45931</v>
      </c>
      <c r="B1269" s="25">
        <v>28</v>
      </c>
      <c r="C1269" s="3" t="s">
        <v>38</v>
      </c>
      <c r="D1269" s="3" t="s">
        <v>164</v>
      </c>
      <c r="E1269" s="3">
        <v>2</v>
      </c>
      <c r="F1269" s="3">
        <v>134</v>
      </c>
      <c r="G1269" s="6" t="s">
        <v>1480</v>
      </c>
      <c r="H1269" s="3" t="s">
        <v>1700</v>
      </c>
      <c r="I1269" s="6" t="s">
        <v>793</v>
      </c>
      <c r="J1269" s="3">
        <v>3</v>
      </c>
      <c r="K1269" s="3">
        <v>3</v>
      </c>
      <c r="L1269" s="3">
        <v>17.12</v>
      </c>
      <c r="M1269" s="3">
        <v>4</v>
      </c>
      <c r="N1269" s="3">
        <v>6.95</v>
      </c>
      <c r="O1269" s="3">
        <v>5</v>
      </c>
      <c r="P1269" s="3"/>
      <c r="Q1269" s="3">
        <v>170</v>
      </c>
      <c r="R1269" s="3"/>
      <c r="S1269" s="3"/>
      <c r="T1269" s="3"/>
      <c r="U1269" s="3"/>
      <c r="V1269" s="3"/>
      <c r="W1269" s="3"/>
      <c r="X1269" s="3" t="s">
        <v>84</v>
      </c>
      <c r="Y1269" s="3" t="s">
        <v>586</v>
      </c>
    </row>
    <row r="1270" spans="1:25" ht="15" customHeight="1" x14ac:dyDescent="0.3">
      <c r="A1270" s="5">
        <v>45931</v>
      </c>
      <c r="B1270" s="25">
        <v>28</v>
      </c>
      <c r="C1270" s="3" t="s">
        <v>38</v>
      </c>
      <c r="D1270" s="3" t="s">
        <v>164</v>
      </c>
      <c r="E1270" s="3">
        <v>2</v>
      </c>
      <c r="F1270" s="3">
        <v>135</v>
      </c>
      <c r="G1270" s="6" t="s">
        <v>1254</v>
      </c>
      <c r="H1270" s="3" t="s">
        <v>1767</v>
      </c>
      <c r="I1270" s="6" t="s">
        <v>793</v>
      </c>
      <c r="J1270" s="3">
        <v>2</v>
      </c>
      <c r="K1270" s="3">
        <v>2</v>
      </c>
      <c r="L1270" s="3">
        <v>19.87</v>
      </c>
      <c r="M1270" s="3">
        <v>3.8</v>
      </c>
      <c r="N1270" s="3">
        <v>9.9499999999999993</v>
      </c>
      <c r="O1270" s="3">
        <v>5</v>
      </c>
      <c r="P1270" s="3"/>
      <c r="Q1270" s="3">
        <v>180</v>
      </c>
      <c r="R1270" s="3"/>
      <c r="S1270" s="3"/>
      <c r="T1270" s="3"/>
      <c r="U1270" s="3"/>
      <c r="V1270" s="3"/>
      <c r="W1270" s="3"/>
      <c r="X1270" s="3" t="s">
        <v>1494</v>
      </c>
      <c r="Y1270" s="3" t="s">
        <v>399</v>
      </c>
    </row>
    <row r="1271" spans="1:25" ht="15" customHeight="1" x14ac:dyDescent="0.3">
      <c r="A1271" s="5">
        <v>45931</v>
      </c>
      <c r="B1271" s="25">
        <v>28</v>
      </c>
      <c r="C1271" s="3" t="s">
        <v>38</v>
      </c>
      <c r="D1271" s="3" t="s">
        <v>164</v>
      </c>
      <c r="E1271" s="3">
        <v>2</v>
      </c>
      <c r="F1271" s="3">
        <v>138</v>
      </c>
      <c r="G1271" s="6" t="s">
        <v>1701</v>
      </c>
      <c r="H1271" s="3" t="s">
        <v>1702</v>
      </c>
      <c r="I1271" s="6" t="s">
        <v>793</v>
      </c>
      <c r="J1271" s="3">
        <v>3</v>
      </c>
      <c r="K1271" s="3">
        <v>3</v>
      </c>
      <c r="L1271" s="3">
        <v>13.76</v>
      </c>
      <c r="M1271" s="3">
        <v>2.7</v>
      </c>
      <c r="N1271" s="3">
        <v>6</v>
      </c>
      <c r="O1271" s="3">
        <v>4</v>
      </c>
      <c r="P1271" s="3"/>
      <c r="Q1271" s="3">
        <v>190</v>
      </c>
      <c r="R1271" s="3"/>
      <c r="S1271" s="3"/>
      <c r="T1271" s="3"/>
      <c r="U1271" s="3"/>
      <c r="V1271" s="3"/>
      <c r="W1271" s="3"/>
      <c r="X1271" s="3" t="s">
        <v>82</v>
      </c>
      <c r="Y1271" s="3" t="s">
        <v>396</v>
      </c>
    </row>
    <row r="1272" spans="1:25" ht="15" customHeight="1" x14ac:dyDescent="0.3">
      <c r="A1272" s="5">
        <v>45931</v>
      </c>
      <c r="B1272" s="25">
        <v>28</v>
      </c>
      <c r="C1272" s="3" t="s">
        <v>38</v>
      </c>
      <c r="D1272" s="3" t="s">
        <v>164</v>
      </c>
      <c r="E1272" s="3">
        <v>2</v>
      </c>
      <c r="F1272" s="3">
        <v>202</v>
      </c>
      <c r="G1272" s="6" t="s">
        <v>1674</v>
      </c>
      <c r="H1272" s="3" t="s">
        <v>1675</v>
      </c>
      <c r="I1272" s="6" t="s">
        <v>111</v>
      </c>
      <c r="J1272" s="3">
        <v>8</v>
      </c>
      <c r="K1272" s="23">
        <v>7</v>
      </c>
      <c r="L1272" s="3">
        <v>35.9</v>
      </c>
      <c r="M1272" s="3">
        <v>14</v>
      </c>
      <c r="N1272" s="3">
        <v>2.5</v>
      </c>
      <c r="O1272" s="3"/>
      <c r="P1272" s="3"/>
      <c r="Q1272" s="3"/>
      <c r="R1272" s="3" t="s">
        <v>64</v>
      </c>
      <c r="S1272" s="3" t="s">
        <v>135</v>
      </c>
      <c r="T1272" s="3">
        <v>2.5</v>
      </c>
      <c r="U1272" s="3">
        <v>15</v>
      </c>
      <c r="V1272" s="3">
        <v>25</v>
      </c>
      <c r="W1272" s="3">
        <v>140</v>
      </c>
      <c r="X1272" s="3" t="s">
        <v>1801</v>
      </c>
      <c r="Y1272" s="3"/>
    </row>
    <row r="1273" spans="1:25" ht="15" customHeight="1" x14ac:dyDescent="0.3">
      <c r="A1273" s="5">
        <v>45931</v>
      </c>
      <c r="B1273" s="25">
        <v>28</v>
      </c>
      <c r="C1273" s="3" t="s">
        <v>38</v>
      </c>
      <c r="D1273" s="3" t="s">
        <v>164</v>
      </c>
      <c r="E1273" s="3">
        <v>2</v>
      </c>
      <c r="F1273" s="3">
        <v>203</v>
      </c>
      <c r="G1273" s="6" t="s">
        <v>23</v>
      </c>
      <c r="H1273" s="3" t="s">
        <v>1256</v>
      </c>
      <c r="I1273" s="6" t="s">
        <v>111</v>
      </c>
      <c r="J1273" s="3">
        <v>8</v>
      </c>
      <c r="K1273" s="23">
        <v>7</v>
      </c>
      <c r="L1273" s="3">
        <v>18.2</v>
      </c>
      <c r="M1273" s="3">
        <v>5</v>
      </c>
      <c r="N1273" s="3">
        <v>3.5</v>
      </c>
      <c r="O1273" s="3"/>
      <c r="P1273" s="3"/>
      <c r="Q1273" s="3"/>
      <c r="R1273" s="3" t="s">
        <v>318</v>
      </c>
      <c r="S1273" s="3" t="s">
        <v>1053</v>
      </c>
      <c r="T1273" s="3">
        <v>2</v>
      </c>
      <c r="U1273" s="3">
        <v>20</v>
      </c>
      <c r="V1273" s="3">
        <v>25</v>
      </c>
      <c r="W1273" s="3">
        <v>95</v>
      </c>
      <c r="X1273" s="3" t="s">
        <v>1659</v>
      </c>
      <c r="Y1273" s="3" t="s">
        <v>1807</v>
      </c>
    </row>
    <row r="1274" spans="1:25" ht="15" customHeight="1" x14ac:dyDescent="0.3">
      <c r="A1274" s="5">
        <v>45931</v>
      </c>
      <c r="B1274" s="25">
        <v>28</v>
      </c>
      <c r="C1274" s="3" t="s">
        <v>38</v>
      </c>
      <c r="D1274" s="3" t="s">
        <v>164</v>
      </c>
      <c r="E1274" s="3">
        <v>2</v>
      </c>
      <c r="F1274" s="3">
        <v>212</v>
      </c>
      <c r="G1274" s="6" t="s">
        <v>667</v>
      </c>
      <c r="H1274" s="3" t="s">
        <v>1735</v>
      </c>
      <c r="I1274" s="6" t="s">
        <v>111</v>
      </c>
      <c r="J1274" s="3">
        <v>12</v>
      </c>
      <c r="K1274" s="23">
        <v>10</v>
      </c>
      <c r="L1274" s="3">
        <v>30.46</v>
      </c>
      <c r="M1274" s="3">
        <v>20</v>
      </c>
      <c r="N1274" s="3">
        <v>3</v>
      </c>
      <c r="O1274" s="3"/>
      <c r="P1274" s="3"/>
      <c r="Q1274" s="3"/>
      <c r="R1274" s="3" t="s">
        <v>1798</v>
      </c>
      <c r="S1274" s="3" t="s">
        <v>1798</v>
      </c>
      <c r="T1274" s="3">
        <v>0.1</v>
      </c>
      <c r="U1274" s="3">
        <v>15</v>
      </c>
      <c r="V1274" s="3">
        <v>20</v>
      </c>
      <c r="W1274" s="3">
        <v>170</v>
      </c>
      <c r="X1274" s="3" t="s">
        <v>1782</v>
      </c>
      <c r="Y1274" s="3" t="s">
        <v>1808</v>
      </c>
    </row>
    <row r="1275" spans="1:25" ht="15" customHeight="1" x14ac:dyDescent="0.3">
      <c r="A1275" s="5">
        <v>45931</v>
      </c>
      <c r="B1275" s="25">
        <v>28</v>
      </c>
      <c r="C1275" s="3" t="s">
        <v>38</v>
      </c>
      <c r="D1275" s="3" t="s">
        <v>164</v>
      </c>
      <c r="E1275" s="3">
        <v>2</v>
      </c>
      <c r="F1275" s="3">
        <v>205</v>
      </c>
      <c r="G1275" s="6" t="s">
        <v>1548</v>
      </c>
      <c r="H1275" s="3" t="s">
        <v>1703</v>
      </c>
      <c r="I1275" s="6" t="s">
        <v>111</v>
      </c>
      <c r="J1275" s="3">
        <v>12</v>
      </c>
      <c r="K1275" s="23">
        <v>10</v>
      </c>
      <c r="L1275" s="3">
        <v>23.1</v>
      </c>
      <c r="M1275" s="3">
        <v>10</v>
      </c>
      <c r="N1275" s="3">
        <v>3</v>
      </c>
      <c r="O1275" s="3"/>
      <c r="P1275" s="3"/>
      <c r="Q1275" s="3"/>
      <c r="R1275" s="3" t="s">
        <v>64</v>
      </c>
      <c r="S1275" s="3" t="s">
        <v>63</v>
      </c>
      <c r="T1275" s="3">
        <v>1</v>
      </c>
      <c r="U1275" s="3">
        <v>20</v>
      </c>
      <c r="V1275" s="3">
        <v>25</v>
      </c>
      <c r="W1275" s="3">
        <v>90</v>
      </c>
      <c r="X1275" s="3" t="s">
        <v>1613</v>
      </c>
      <c r="Y1275" s="3"/>
    </row>
    <row r="1276" spans="1:25" ht="15" customHeight="1" x14ac:dyDescent="0.3">
      <c r="A1276" s="5">
        <v>45931</v>
      </c>
      <c r="B1276" s="25">
        <v>28</v>
      </c>
      <c r="C1276" s="3" t="s">
        <v>38</v>
      </c>
      <c r="D1276" s="3" t="s">
        <v>164</v>
      </c>
      <c r="E1276" s="3">
        <v>2</v>
      </c>
      <c r="F1276" s="3">
        <v>207</v>
      </c>
      <c r="G1276" s="6" t="s">
        <v>476</v>
      </c>
      <c r="H1276" s="3" t="s">
        <v>1729</v>
      </c>
      <c r="I1276" s="6" t="s">
        <v>111</v>
      </c>
      <c r="J1276" s="3">
        <v>12</v>
      </c>
      <c r="K1276" s="23">
        <v>9</v>
      </c>
      <c r="L1276" s="3">
        <v>31</v>
      </c>
      <c r="M1276" s="3">
        <v>13</v>
      </c>
      <c r="N1276" s="3">
        <v>3</v>
      </c>
      <c r="O1276" s="3"/>
      <c r="P1276" s="3"/>
      <c r="Q1276" s="3"/>
      <c r="R1276" s="3" t="s">
        <v>1131</v>
      </c>
      <c r="S1276" s="3" t="s">
        <v>242</v>
      </c>
      <c r="T1276" s="3">
        <v>2</v>
      </c>
      <c r="U1276" s="3">
        <v>15</v>
      </c>
      <c r="V1276" s="3">
        <v>20</v>
      </c>
      <c r="W1276" s="3">
        <v>100</v>
      </c>
      <c r="X1276" s="3" t="s">
        <v>1660</v>
      </c>
      <c r="Y1276" s="3" t="s">
        <v>1809</v>
      </c>
    </row>
    <row r="1277" spans="1:25" ht="15" customHeight="1" x14ac:dyDescent="0.3">
      <c r="A1277" s="5">
        <v>45931</v>
      </c>
      <c r="B1277" s="25">
        <v>28</v>
      </c>
      <c r="C1277" s="3" t="s">
        <v>38</v>
      </c>
      <c r="D1277" s="3" t="s">
        <v>164</v>
      </c>
      <c r="E1277" s="3">
        <v>2</v>
      </c>
      <c r="F1277" s="3">
        <v>209</v>
      </c>
      <c r="G1277" s="6" t="s">
        <v>996</v>
      </c>
      <c r="H1277" s="3" t="s">
        <v>1730</v>
      </c>
      <c r="I1277" s="6" t="s">
        <v>111</v>
      </c>
      <c r="J1277" s="3">
        <v>4</v>
      </c>
      <c r="K1277" s="23">
        <v>3</v>
      </c>
      <c r="L1277" s="3">
        <v>25.6</v>
      </c>
      <c r="M1277" s="3">
        <v>12</v>
      </c>
      <c r="N1277" s="3">
        <v>3</v>
      </c>
      <c r="O1277" s="3"/>
      <c r="P1277" s="3"/>
      <c r="Q1277" s="3"/>
      <c r="R1277" s="3" t="s">
        <v>1739</v>
      </c>
      <c r="S1277" s="3" t="s">
        <v>1608</v>
      </c>
      <c r="T1277" s="3">
        <v>2</v>
      </c>
      <c r="U1277" s="3">
        <v>10</v>
      </c>
      <c r="V1277" s="3">
        <v>20</v>
      </c>
      <c r="W1277" s="3">
        <v>170</v>
      </c>
      <c r="X1277" s="3" t="s">
        <v>1802</v>
      </c>
      <c r="Y1277" s="3" t="s">
        <v>1810</v>
      </c>
    </row>
    <row r="1278" spans="1:25" ht="15" customHeight="1" x14ac:dyDescent="0.3">
      <c r="A1278" s="5">
        <v>45931</v>
      </c>
      <c r="B1278" s="25">
        <v>28</v>
      </c>
      <c r="C1278" s="3" t="s">
        <v>38</v>
      </c>
      <c r="D1278" s="3" t="s">
        <v>164</v>
      </c>
      <c r="E1278" s="3">
        <v>2</v>
      </c>
      <c r="F1278" s="3">
        <v>302</v>
      </c>
      <c r="G1278" s="6" t="s">
        <v>31</v>
      </c>
      <c r="H1278" s="3" t="s">
        <v>195</v>
      </c>
      <c r="I1278" s="6" t="s">
        <v>793</v>
      </c>
      <c r="J1278" s="3">
        <v>12</v>
      </c>
      <c r="K1278" s="23">
        <v>10</v>
      </c>
      <c r="L1278" s="3">
        <v>52.03</v>
      </c>
      <c r="M1278" s="3">
        <v>16</v>
      </c>
      <c r="N1278" s="3">
        <v>17</v>
      </c>
      <c r="O1278" s="3"/>
      <c r="P1278" s="3"/>
      <c r="Q1278" s="3"/>
      <c r="R1278" s="3" t="s">
        <v>1554</v>
      </c>
      <c r="S1278" s="3" t="s">
        <v>895</v>
      </c>
      <c r="T1278" s="3">
        <v>3</v>
      </c>
      <c r="U1278" s="3">
        <v>40</v>
      </c>
      <c r="V1278" s="3">
        <v>40</v>
      </c>
      <c r="W1278" s="3">
        <v>150</v>
      </c>
      <c r="X1278" s="3" t="s">
        <v>1803</v>
      </c>
      <c r="Y1278" s="6" t="s">
        <v>1811</v>
      </c>
    </row>
    <row r="1279" spans="1:25" ht="15" customHeight="1" x14ac:dyDescent="0.3">
      <c r="A1279" s="5">
        <v>45931</v>
      </c>
      <c r="B1279" s="25">
        <v>28</v>
      </c>
      <c r="C1279" s="3" t="s">
        <v>38</v>
      </c>
      <c r="D1279" s="3" t="s">
        <v>164</v>
      </c>
      <c r="E1279" s="3">
        <v>2</v>
      </c>
      <c r="F1279" s="3">
        <v>303</v>
      </c>
      <c r="G1279" s="6" t="s">
        <v>1258</v>
      </c>
      <c r="H1279" s="3" t="s">
        <v>1259</v>
      </c>
      <c r="I1279" s="6" t="s">
        <v>793</v>
      </c>
      <c r="J1279" s="3">
        <v>8</v>
      </c>
      <c r="K1279" s="23">
        <v>7</v>
      </c>
      <c r="L1279" s="3">
        <v>57.9</v>
      </c>
      <c r="M1279" s="3">
        <v>30</v>
      </c>
      <c r="N1279" s="3">
        <v>8</v>
      </c>
      <c r="O1279" s="3"/>
      <c r="P1279" s="3"/>
      <c r="Q1279" s="3"/>
      <c r="R1279" s="3" t="s">
        <v>1649</v>
      </c>
      <c r="S1279" s="3" t="s">
        <v>64</v>
      </c>
      <c r="T1279" s="3">
        <v>4</v>
      </c>
      <c r="U1279" s="3">
        <v>50</v>
      </c>
      <c r="V1279" s="3">
        <v>50</v>
      </c>
      <c r="W1279" s="3">
        <v>135</v>
      </c>
      <c r="X1279" s="3" t="s">
        <v>1804</v>
      </c>
      <c r="Y1279" s="3" t="s">
        <v>1812</v>
      </c>
    </row>
    <row r="1280" spans="1:25" ht="15" customHeight="1" x14ac:dyDescent="0.3">
      <c r="A1280" s="5">
        <v>45931</v>
      </c>
      <c r="B1280" s="25">
        <v>28</v>
      </c>
      <c r="C1280" s="3" t="s">
        <v>38</v>
      </c>
      <c r="D1280" s="3" t="s">
        <v>164</v>
      </c>
      <c r="E1280" s="3">
        <v>2</v>
      </c>
      <c r="F1280" s="3">
        <v>503</v>
      </c>
      <c r="G1280" s="6" t="s">
        <v>1768</v>
      </c>
      <c r="H1280" s="3" t="s">
        <v>1769</v>
      </c>
      <c r="I1280" s="6" t="s">
        <v>110</v>
      </c>
      <c r="J1280" s="3">
        <v>2</v>
      </c>
      <c r="K1280" s="23">
        <v>1</v>
      </c>
      <c r="L1280" s="3">
        <v>15</v>
      </c>
      <c r="M1280" s="3"/>
      <c r="N1280" s="3"/>
      <c r="O1280" s="3">
        <v>18</v>
      </c>
      <c r="P1280" s="3"/>
      <c r="Q1280" s="3"/>
      <c r="R1280" s="3"/>
      <c r="S1280" s="3"/>
      <c r="T1280" s="3"/>
      <c r="U1280" s="3"/>
      <c r="V1280" s="3"/>
      <c r="W1280" s="3"/>
      <c r="X1280" s="3" t="s">
        <v>618</v>
      </c>
      <c r="Y1280" s="6"/>
    </row>
    <row r="1281" spans="1:25" ht="15" customHeight="1" x14ac:dyDescent="0.3">
      <c r="A1281" s="27">
        <v>45932</v>
      </c>
      <c r="B1281" s="25">
        <v>28</v>
      </c>
      <c r="C1281" s="3" t="s">
        <v>38</v>
      </c>
      <c r="D1281" s="3" t="s">
        <v>164</v>
      </c>
      <c r="E1281" s="3">
        <v>2</v>
      </c>
      <c r="F1281" s="3">
        <v>102</v>
      </c>
      <c r="G1281" s="6" t="s">
        <v>547</v>
      </c>
      <c r="H1281" s="3" t="s">
        <v>1721</v>
      </c>
      <c r="I1281" s="6" t="s">
        <v>793</v>
      </c>
      <c r="J1281" s="3">
        <v>5</v>
      </c>
      <c r="K1281" s="3">
        <v>5</v>
      </c>
      <c r="L1281" s="3">
        <v>18.86</v>
      </c>
      <c r="M1281" s="3">
        <v>4.7</v>
      </c>
      <c r="N1281" s="3">
        <v>9.3000000000000007</v>
      </c>
      <c r="O1281" s="3">
        <v>6</v>
      </c>
      <c r="P1281" s="3">
        <v>50</v>
      </c>
      <c r="Q1281" s="3">
        <v>170</v>
      </c>
      <c r="R1281" s="3"/>
      <c r="S1281" s="3"/>
      <c r="T1281" s="3"/>
      <c r="U1281" s="3"/>
      <c r="V1281" s="3"/>
      <c r="W1281" s="3"/>
      <c r="X1281" s="3" t="s">
        <v>251</v>
      </c>
      <c r="Y1281" s="3" t="s">
        <v>580</v>
      </c>
    </row>
    <row r="1282" spans="1:25" ht="15" customHeight="1" x14ac:dyDescent="0.3">
      <c r="A1282" s="27">
        <v>45932</v>
      </c>
      <c r="B1282" s="25">
        <v>28</v>
      </c>
      <c r="C1282" s="3" t="s">
        <v>38</v>
      </c>
      <c r="D1282" s="3" t="s">
        <v>164</v>
      </c>
      <c r="E1282" s="3">
        <v>2</v>
      </c>
      <c r="F1282" s="3">
        <v>103</v>
      </c>
      <c r="G1282" s="6" t="s">
        <v>163</v>
      </c>
      <c r="H1282" s="3" t="s">
        <v>1578</v>
      </c>
      <c r="I1282" s="6" t="s">
        <v>793</v>
      </c>
      <c r="J1282" s="3">
        <v>5</v>
      </c>
      <c r="K1282" s="3">
        <v>5</v>
      </c>
      <c r="L1282" s="3">
        <v>15.09</v>
      </c>
      <c r="M1282" s="3">
        <v>4</v>
      </c>
      <c r="N1282" s="3">
        <v>6.5</v>
      </c>
      <c r="O1282" s="3">
        <v>6</v>
      </c>
      <c r="P1282" s="3">
        <v>50</v>
      </c>
      <c r="Q1282" s="3">
        <v>170</v>
      </c>
      <c r="R1282" s="3"/>
      <c r="S1282" s="3"/>
      <c r="T1282" s="3"/>
      <c r="U1282" s="3"/>
      <c r="V1282" s="3"/>
      <c r="W1282" s="3"/>
      <c r="X1282" s="3" t="s">
        <v>251</v>
      </c>
      <c r="Y1282" s="3" t="s">
        <v>1615</v>
      </c>
    </row>
    <row r="1283" spans="1:25" ht="15" customHeight="1" x14ac:dyDescent="0.3">
      <c r="A1283" s="27">
        <v>45932</v>
      </c>
      <c r="B1283" s="25">
        <v>28</v>
      </c>
      <c r="C1283" s="3" t="s">
        <v>38</v>
      </c>
      <c r="D1283" s="3" t="s">
        <v>164</v>
      </c>
      <c r="E1283" s="3">
        <v>2</v>
      </c>
      <c r="F1283" s="3">
        <v>104</v>
      </c>
      <c r="G1283" s="6" t="s">
        <v>169</v>
      </c>
      <c r="H1283" s="3" t="s">
        <v>1759</v>
      </c>
      <c r="I1283" s="6" t="s">
        <v>793</v>
      </c>
      <c r="J1283" s="3">
        <v>9</v>
      </c>
      <c r="K1283" s="3">
        <v>9</v>
      </c>
      <c r="L1283" s="3">
        <v>13.08</v>
      </c>
      <c r="M1283" s="3">
        <v>2.2999999999999998</v>
      </c>
      <c r="N1283" s="3">
        <v>5.5</v>
      </c>
      <c r="O1283" s="3">
        <v>4.5</v>
      </c>
      <c r="P1283" s="3"/>
      <c r="Q1283" s="3">
        <v>170</v>
      </c>
      <c r="R1283" s="3"/>
      <c r="S1283" s="3"/>
      <c r="T1283" s="3"/>
      <c r="U1283" s="3"/>
      <c r="V1283" s="3"/>
      <c r="W1283" s="3"/>
      <c r="X1283" s="3" t="s">
        <v>388</v>
      </c>
      <c r="Y1283" s="3" t="s">
        <v>87</v>
      </c>
    </row>
    <row r="1284" spans="1:25" ht="15" customHeight="1" x14ac:dyDescent="0.3">
      <c r="A1284" s="27">
        <v>45932</v>
      </c>
      <c r="B1284" s="25">
        <v>28</v>
      </c>
      <c r="C1284" s="3" t="s">
        <v>38</v>
      </c>
      <c r="D1284" s="3" t="s">
        <v>164</v>
      </c>
      <c r="E1284" s="3">
        <v>2</v>
      </c>
      <c r="F1284" s="3">
        <v>162</v>
      </c>
      <c r="G1284" s="6" t="s">
        <v>1454</v>
      </c>
      <c r="H1284" s="3" t="s">
        <v>1634</v>
      </c>
      <c r="I1284" s="6" t="s">
        <v>793</v>
      </c>
      <c r="J1284" s="3">
        <v>2</v>
      </c>
      <c r="K1284" s="3">
        <v>2</v>
      </c>
      <c r="L1284" s="3">
        <v>24</v>
      </c>
      <c r="M1284" s="3">
        <v>6.5</v>
      </c>
      <c r="N1284" s="3">
        <v>10</v>
      </c>
      <c r="O1284" s="3">
        <v>4</v>
      </c>
      <c r="P1284" s="3">
        <v>38.5</v>
      </c>
      <c r="Q1284" s="3">
        <v>170</v>
      </c>
      <c r="R1284" s="3"/>
      <c r="S1284" s="3"/>
      <c r="T1284" s="3"/>
      <c r="U1284" s="3"/>
      <c r="V1284" s="3"/>
      <c r="W1284" s="3"/>
      <c r="X1284" s="3" t="s">
        <v>288</v>
      </c>
      <c r="Y1284" s="3" t="s">
        <v>83</v>
      </c>
    </row>
    <row r="1285" spans="1:25" ht="15" customHeight="1" x14ac:dyDescent="0.3">
      <c r="A1285" s="27">
        <v>45932</v>
      </c>
      <c r="B1285" s="25">
        <v>28</v>
      </c>
      <c r="C1285" s="3" t="s">
        <v>38</v>
      </c>
      <c r="D1285" s="3" t="s">
        <v>164</v>
      </c>
      <c r="E1285" s="3">
        <v>2</v>
      </c>
      <c r="F1285" s="3">
        <v>164</v>
      </c>
      <c r="G1285" s="6" t="s">
        <v>11</v>
      </c>
      <c r="H1285" s="3" t="s">
        <v>1724</v>
      </c>
      <c r="I1285" s="6" t="s">
        <v>793</v>
      </c>
      <c r="J1285" s="3">
        <v>2</v>
      </c>
      <c r="K1285" s="3">
        <v>2</v>
      </c>
      <c r="L1285" s="3">
        <v>22.8</v>
      </c>
      <c r="M1285" s="3">
        <v>6.5</v>
      </c>
      <c r="N1285" s="3">
        <v>11</v>
      </c>
      <c r="O1285" s="3">
        <v>3.9</v>
      </c>
      <c r="P1285" s="3"/>
      <c r="Q1285" s="3">
        <v>180</v>
      </c>
      <c r="R1285" s="3"/>
      <c r="S1285" s="3"/>
      <c r="T1285" s="3"/>
      <c r="U1285" s="3"/>
      <c r="V1285" s="3"/>
      <c r="W1285" s="3"/>
      <c r="X1285" s="3" t="s">
        <v>138</v>
      </c>
      <c r="Y1285" s="3" t="s">
        <v>1018</v>
      </c>
    </row>
    <row r="1286" spans="1:25" ht="15" customHeight="1" x14ac:dyDescent="0.3">
      <c r="A1286" s="27">
        <v>45932</v>
      </c>
      <c r="B1286" s="25">
        <v>28</v>
      </c>
      <c r="C1286" s="3" t="s">
        <v>38</v>
      </c>
      <c r="D1286" s="3" t="s">
        <v>164</v>
      </c>
      <c r="E1286" s="3">
        <v>2</v>
      </c>
      <c r="F1286" s="3">
        <v>182</v>
      </c>
      <c r="G1286" s="6" t="s">
        <v>1471</v>
      </c>
      <c r="H1286" s="3" t="s">
        <v>1760</v>
      </c>
      <c r="I1286" s="6" t="s">
        <v>793</v>
      </c>
      <c r="J1286" s="3">
        <v>4</v>
      </c>
      <c r="K1286" s="3">
        <v>4</v>
      </c>
      <c r="L1286" s="3">
        <v>14.42</v>
      </c>
      <c r="M1286" s="3">
        <v>4.0999999999999996</v>
      </c>
      <c r="N1286" s="3">
        <v>6</v>
      </c>
      <c r="O1286" s="3">
        <v>3</v>
      </c>
      <c r="P1286" s="3">
        <v>39</v>
      </c>
      <c r="Q1286" s="3">
        <v>180</v>
      </c>
      <c r="R1286" s="3"/>
      <c r="S1286" s="3"/>
      <c r="T1286" s="3"/>
      <c r="U1286" s="3"/>
      <c r="V1286" s="3"/>
      <c r="W1286" s="3"/>
      <c r="X1286" s="3" t="s">
        <v>388</v>
      </c>
      <c r="Y1286" s="3" t="s">
        <v>396</v>
      </c>
    </row>
    <row r="1287" spans="1:25" ht="15" customHeight="1" x14ac:dyDescent="0.3">
      <c r="A1287" s="27">
        <v>45932</v>
      </c>
      <c r="B1287" s="25">
        <v>28</v>
      </c>
      <c r="C1287" s="3" t="s">
        <v>38</v>
      </c>
      <c r="D1287" s="3" t="s">
        <v>164</v>
      </c>
      <c r="E1287" s="3">
        <v>2</v>
      </c>
      <c r="F1287" s="3">
        <v>401</v>
      </c>
      <c r="G1287" s="6" t="s">
        <v>844</v>
      </c>
      <c r="H1287" s="3" t="s">
        <v>1695</v>
      </c>
      <c r="I1287" s="6" t="s">
        <v>793</v>
      </c>
      <c r="J1287" s="3">
        <v>1</v>
      </c>
      <c r="K1287" s="3">
        <v>1</v>
      </c>
      <c r="L1287" s="3">
        <v>10.41</v>
      </c>
      <c r="M1287" s="3"/>
      <c r="N1287" s="3"/>
      <c r="O1287" s="3">
        <v>4</v>
      </c>
      <c r="P1287" s="3"/>
      <c r="Q1287" s="3"/>
      <c r="R1287" s="3"/>
      <c r="S1287" s="3"/>
      <c r="T1287" s="3"/>
      <c r="U1287" s="3"/>
      <c r="V1287" s="3"/>
      <c r="W1287" s="3"/>
      <c r="X1287" s="3" t="s">
        <v>1822</v>
      </c>
      <c r="Y1287" s="3"/>
    </row>
    <row r="1288" spans="1:25" ht="15" customHeight="1" x14ac:dyDescent="0.3">
      <c r="A1288" s="27">
        <v>45932</v>
      </c>
      <c r="B1288" s="25">
        <v>28</v>
      </c>
      <c r="C1288" s="3" t="s">
        <v>38</v>
      </c>
      <c r="D1288" s="3" t="s">
        <v>164</v>
      </c>
      <c r="E1288" s="3">
        <v>2</v>
      </c>
      <c r="F1288" s="3">
        <v>402</v>
      </c>
      <c r="G1288" s="6" t="s">
        <v>12</v>
      </c>
      <c r="H1288" s="3" t="s">
        <v>1792</v>
      </c>
      <c r="I1288" s="6" t="s">
        <v>793</v>
      </c>
      <c r="J1288" s="3">
        <v>2</v>
      </c>
      <c r="K1288" s="3">
        <v>2</v>
      </c>
      <c r="L1288" s="3">
        <v>9</v>
      </c>
      <c r="M1288" s="3"/>
      <c r="N1288" s="3"/>
      <c r="O1288" s="3">
        <v>3.5</v>
      </c>
      <c r="P1288" s="3"/>
      <c r="Q1288" s="3"/>
      <c r="R1288" s="3"/>
      <c r="S1288" s="3"/>
      <c r="T1288" s="3"/>
      <c r="U1288" s="3"/>
      <c r="V1288" s="3"/>
      <c r="W1288" s="3"/>
      <c r="X1288" s="3" t="s">
        <v>1823</v>
      </c>
      <c r="Y1288" s="3"/>
    </row>
    <row r="1289" spans="1:25" ht="15" customHeight="1" x14ac:dyDescent="0.3">
      <c r="A1289" s="27">
        <v>45932</v>
      </c>
      <c r="B1289" s="25">
        <v>28</v>
      </c>
      <c r="C1289" s="3" t="s">
        <v>38</v>
      </c>
      <c r="D1289" s="3" t="s">
        <v>164</v>
      </c>
      <c r="E1289" s="3">
        <v>2</v>
      </c>
      <c r="F1289" s="3">
        <v>171</v>
      </c>
      <c r="G1289" s="6" t="s">
        <v>1225</v>
      </c>
      <c r="H1289" s="3" t="s">
        <v>1813</v>
      </c>
      <c r="I1289" s="6" t="s">
        <v>793</v>
      </c>
      <c r="J1289" s="3">
        <v>7</v>
      </c>
      <c r="K1289" s="3">
        <v>7</v>
      </c>
      <c r="L1289" s="3">
        <v>20.100000000000001</v>
      </c>
      <c r="M1289" s="3">
        <v>4.5</v>
      </c>
      <c r="N1289" s="3">
        <v>11</v>
      </c>
      <c r="O1289" s="3">
        <v>6</v>
      </c>
      <c r="P1289" s="3"/>
      <c r="Q1289" s="3">
        <v>180</v>
      </c>
      <c r="R1289" s="3"/>
      <c r="S1289" s="3"/>
      <c r="T1289" s="3"/>
      <c r="U1289" s="3"/>
      <c r="V1289" s="3"/>
      <c r="W1289" s="3"/>
      <c r="X1289" s="3" t="s">
        <v>79</v>
      </c>
      <c r="Y1289" s="3" t="s">
        <v>87</v>
      </c>
    </row>
    <row r="1290" spans="1:25" ht="15" customHeight="1" x14ac:dyDescent="0.3">
      <c r="A1290" s="27">
        <v>45932</v>
      </c>
      <c r="B1290" s="25">
        <v>28</v>
      </c>
      <c r="C1290" s="3" t="s">
        <v>38</v>
      </c>
      <c r="D1290" s="3" t="s">
        <v>164</v>
      </c>
      <c r="E1290" s="3">
        <v>2</v>
      </c>
      <c r="F1290" s="3">
        <v>172</v>
      </c>
      <c r="G1290" s="6" t="s">
        <v>1638</v>
      </c>
      <c r="H1290" s="3" t="s">
        <v>1639</v>
      </c>
      <c r="I1290" s="6" t="s">
        <v>793</v>
      </c>
      <c r="J1290" s="3">
        <v>4</v>
      </c>
      <c r="K1290" s="3">
        <v>4</v>
      </c>
      <c r="L1290" s="3">
        <v>18.59</v>
      </c>
      <c r="M1290" s="3">
        <v>1.5</v>
      </c>
      <c r="N1290" s="3">
        <v>12.5</v>
      </c>
      <c r="O1290" s="3">
        <v>10</v>
      </c>
      <c r="P1290" s="3" t="s">
        <v>1795</v>
      </c>
      <c r="Q1290" s="3">
        <v>170</v>
      </c>
      <c r="R1290" s="3"/>
      <c r="S1290" s="3"/>
      <c r="T1290" s="3"/>
      <c r="U1290" s="3"/>
      <c r="V1290" s="3"/>
      <c r="W1290" s="3"/>
      <c r="X1290" s="3" t="s">
        <v>901</v>
      </c>
      <c r="Y1290" s="3" t="s">
        <v>80</v>
      </c>
    </row>
    <row r="1291" spans="1:25" ht="15" customHeight="1" x14ac:dyDescent="0.3">
      <c r="A1291" s="27">
        <v>45932</v>
      </c>
      <c r="B1291" s="25">
        <v>28</v>
      </c>
      <c r="C1291" s="3" t="s">
        <v>38</v>
      </c>
      <c r="D1291" s="3" t="s">
        <v>164</v>
      </c>
      <c r="E1291" s="3">
        <v>2</v>
      </c>
      <c r="F1291" s="3">
        <v>173</v>
      </c>
      <c r="G1291" s="6" t="s">
        <v>437</v>
      </c>
      <c r="H1291" s="3" t="s">
        <v>1762</v>
      </c>
      <c r="I1291" s="6" t="s">
        <v>793</v>
      </c>
      <c r="J1291" s="3">
        <v>5</v>
      </c>
      <c r="K1291" s="3">
        <v>5</v>
      </c>
      <c r="L1291" s="3">
        <v>16.29</v>
      </c>
      <c r="M1291" s="3">
        <v>0.5</v>
      </c>
      <c r="N1291" s="3">
        <v>11</v>
      </c>
      <c r="O1291" s="3">
        <v>7</v>
      </c>
      <c r="P1291" s="3" t="s">
        <v>1796</v>
      </c>
      <c r="Q1291" s="3">
        <v>160</v>
      </c>
      <c r="R1291" s="3"/>
      <c r="S1291" s="3"/>
      <c r="T1291" s="3"/>
      <c r="U1291" s="3"/>
      <c r="V1291" s="3"/>
      <c r="W1291" s="3"/>
      <c r="X1291" s="3" t="s">
        <v>79</v>
      </c>
      <c r="Y1291" s="3" t="s">
        <v>87</v>
      </c>
    </row>
    <row r="1292" spans="1:25" ht="15" customHeight="1" x14ac:dyDescent="0.3">
      <c r="A1292" s="27">
        <v>45932</v>
      </c>
      <c r="B1292" s="25">
        <v>28</v>
      </c>
      <c r="C1292" s="3" t="s">
        <v>38</v>
      </c>
      <c r="D1292" s="3" t="s">
        <v>164</v>
      </c>
      <c r="E1292" s="3">
        <v>2</v>
      </c>
      <c r="F1292" s="3">
        <v>174</v>
      </c>
      <c r="G1292" s="6" t="s">
        <v>558</v>
      </c>
      <c r="H1292" s="3" t="s">
        <v>1793</v>
      </c>
      <c r="I1292" s="6" t="s">
        <v>793</v>
      </c>
      <c r="J1292" s="3">
        <v>3</v>
      </c>
      <c r="K1292" s="3">
        <v>3</v>
      </c>
      <c r="L1292" s="3">
        <v>14.86</v>
      </c>
      <c r="M1292" s="3">
        <v>3.5</v>
      </c>
      <c r="N1292" s="3">
        <v>7</v>
      </c>
      <c r="O1292" s="3">
        <v>5.8</v>
      </c>
      <c r="P1292" s="3"/>
      <c r="Q1292" s="3">
        <v>175</v>
      </c>
      <c r="R1292" s="3"/>
      <c r="S1292" s="3"/>
      <c r="T1292" s="3"/>
      <c r="U1292" s="3"/>
      <c r="V1292" s="3"/>
      <c r="W1292" s="3"/>
      <c r="X1292" s="3" t="s">
        <v>1105</v>
      </c>
      <c r="Y1292" s="3" t="s">
        <v>80</v>
      </c>
    </row>
    <row r="1293" spans="1:25" ht="15" customHeight="1" x14ac:dyDescent="0.3">
      <c r="A1293" s="27">
        <v>45932</v>
      </c>
      <c r="B1293" s="25">
        <v>28</v>
      </c>
      <c r="C1293" s="3" t="s">
        <v>38</v>
      </c>
      <c r="D1293" s="3" t="s">
        <v>164</v>
      </c>
      <c r="E1293" s="3">
        <v>2</v>
      </c>
      <c r="F1293" s="3">
        <v>175</v>
      </c>
      <c r="G1293" s="6" t="s">
        <v>181</v>
      </c>
      <c r="H1293" s="3" t="s">
        <v>1763</v>
      </c>
      <c r="I1293" s="6" t="s">
        <v>793</v>
      </c>
      <c r="J1293" s="3">
        <v>5</v>
      </c>
      <c r="K1293" s="3">
        <v>5</v>
      </c>
      <c r="L1293" s="3">
        <v>16</v>
      </c>
      <c r="M1293" s="3">
        <v>0.25</v>
      </c>
      <c r="N1293" s="3">
        <v>11</v>
      </c>
      <c r="O1293" s="3">
        <v>5</v>
      </c>
      <c r="P1293" s="3" t="s">
        <v>1817</v>
      </c>
      <c r="Q1293" s="3">
        <v>170</v>
      </c>
      <c r="R1293" s="3"/>
      <c r="S1293" s="3"/>
      <c r="T1293" s="3"/>
      <c r="U1293" s="3"/>
      <c r="V1293" s="3"/>
      <c r="W1293" s="3"/>
      <c r="X1293" s="3" t="s">
        <v>252</v>
      </c>
      <c r="Y1293" s="3" t="s">
        <v>84</v>
      </c>
    </row>
    <row r="1294" spans="1:25" ht="15" customHeight="1" x14ac:dyDescent="0.3">
      <c r="A1294" s="27">
        <v>45932</v>
      </c>
      <c r="B1294" s="25">
        <v>28</v>
      </c>
      <c r="C1294" s="3" t="s">
        <v>38</v>
      </c>
      <c r="D1294" s="3" t="s">
        <v>164</v>
      </c>
      <c r="E1294" s="3">
        <v>2</v>
      </c>
      <c r="F1294" s="3">
        <v>176</v>
      </c>
      <c r="G1294" s="6" t="s">
        <v>17</v>
      </c>
      <c r="H1294" s="3" t="s">
        <v>1627</v>
      </c>
      <c r="I1294" s="6" t="s">
        <v>793</v>
      </c>
      <c r="J1294" s="3">
        <v>5</v>
      </c>
      <c r="K1294" s="3">
        <v>5</v>
      </c>
      <c r="L1294" s="3">
        <v>17.3</v>
      </c>
      <c r="M1294" s="3">
        <v>1</v>
      </c>
      <c r="N1294" s="3">
        <v>10.8</v>
      </c>
      <c r="O1294" s="3">
        <v>7</v>
      </c>
      <c r="P1294" s="3" t="s">
        <v>1773</v>
      </c>
      <c r="Q1294" s="3">
        <v>175</v>
      </c>
      <c r="R1294" s="3"/>
      <c r="S1294" s="3"/>
      <c r="T1294" s="3"/>
      <c r="U1294" s="3"/>
      <c r="V1294" s="3"/>
      <c r="W1294" s="3"/>
      <c r="X1294" s="3" t="s">
        <v>79</v>
      </c>
      <c r="Y1294" s="3" t="s">
        <v>84</v>
      </c>
    </row>
    <row r="1295" spans="1:25" ht="15" customHeight="1" x14ac:dyDescent="0.3">
      <c r="A1295" s="27">
        <v>45932</v>
      </c>
      <c r="B1295" s="25">
        <v>28</v>
      </c>
      <c r="C1295" s="3" t="s">
        <v>38</v>
      </c>
      <c r="D1295" s="3" t="s">
        <v>164</v>
      </c>
      <c r="E1295" s="3">
        <v>2</v>
      </c>
      <c r="F1295" s="3">
        <v>177</v>
      </c>
      <c r="G1295" s="6" t="s">
        <v>15</v>
      </c>
      <c r="H1295" s="3" t="s">
        <v>1794</v>
      </c>
      <c r="I1295" s="6" t="s">
        <v>793</v>
      </c>
      <c r="J1295" s="3">
        <v>4</v>
      </c>
      <c r="K1295" s="3">
        <v>4</v>
      </c>
      <c r="L1295" s="3">
        <v>13.69</v>
      </c>
      <c r="M1295" s="3">
        <v>0.8</v>
      </c>
      <c r="N1295" s="3">
        <v>9</v>
      </c>
      <c r="O1295" s="3">
        <v>7</v>
      </c>
      <c r="P1295" s="3" t="s">
        <v>1818</v>
      </c>
      <c r="Q1295" s="3">
        <v>170</v>
      </c>
      <c r="R1295" s="3"/>
      <c r="S1295" s="3"/>
      <c r="T1295" s="3"/>
      <c r="U1295" s="3"/>
      <c r="V1295" s="3"/>
      <c r="W1295" s="3"/>
      <c r="X1295" s="3" t="s">
        <v>252</v>
      </c>
      <c r="Y1295" s="3" t="s">
        <v>87</v>
      </c>
    </row>
    <row r="1296" spans="1:25" ht="15" customHeight="1" x14ac:dyDescent="0.3">
      <c r="A1296" s="27">
        <v>45932</v>
      </c>
      <c r="B1296" s="25">
        <v>28</v>
      </c>
      <c r="C1296" s="3" t="s">
        <v>38</v>
      </c>
      <c r="D1296" s="3" t="s">
        <v>164</v>
      </c>
      <c r="E1296" s="3">
        <v>2</v>
      </c>
      <c r="F1296" s="3">
        <v>131</v>
      </c>
      <c r="G1296" s="6" t="s">
        <v>185</v>
      </c>
      <c r="H1296" s="3" t="s">
        <v>1814</v>
      </c>
      <c r="I1296" s="6" t="s">
        <v>793</v>
      </c>
      <c r="J1296" s="3">
        <v>3</v>
      </c>
      <c r="K1296" s="3">
        <v>3</v>
      </c>
      <c r="L1296" s="3">
        <v>18.87</v>
      </c>
      <c r="M1296" s="3">
        <v>3</v>
      </c>
      <c r="N1296" s="3">
        <v>9</v>
      </c>
      <c r="O1296" s="3">
        <v>6</v>
      </c>
      <c r="P1296" s="3"/>
      <c r="Q1296" s="3">
        <v>175</v>
      </c>
      <c r="R1296" s="3"/>
      <c r="S1296" s="3"/>
      <c r="T1296" s="3"/>
      <c r="U1296" s="3"/>
      <c r="V1296" s="3"/>
      <c r="W1296" s="3"/>
      <c r="X1296" s="3" t="s">
        <v>80</v>
      </c>
      <c r="Y1296" s="3" t="s">
        <v>907</v>
      </c>
    </row>
    <row r="1297" spans="1:25" ht="15" customHeight="1" x14ac:dyDescent="0.3">
      <c r="A1297" s="27">
        <v>45932</v>
      </c>
      <c r="B1297" s="25">
        <v>28</v>
      </c>
      <c r="C1297" s="3" t="s">
        <v>38</v>
      </c>
      <c r="D1297" s="3" t="s">
        <v>164</v>
      </c>
      <c r="E1297" s="3">
        <v>2</v>
      </c>
      <c r="F1297" s="3">
        <v>132</v>
      </c>
      <c r="G1297" s="6" t="s">
        <v>1764</v>
      </c>
      <c r="H1297" s="3" t="s">
        <v>1765</v>
      </c>
      <c r="I1297" s="6" t="s">
        <v>793</v>
      </c>
      <c r="J1297" s="3">
        <v>3</v>
      </c>
      <c r="K1297" s="3">
        <v>3</v>
      </c>
      <c r="L1297" s="3">
        <v>18.18</v>
      </c>
      <c r="M1297" s="3">
        <v>2.9</v>
      </c>
      <c r="N1297" s="3">
        <v>8.1</v>
      </c>
      <c r="O1297" s="3">
        <v>6.5</v>
      </c>
      <c r="P1297" s="3"/>
      <c r="Q1297" s="3">
        <v>175</v>
      </c>
      <c r="R1297" s="3"/>
      <c r="S1297" s="3"/>
      <c r="T1297" s="3"/>
      <c r="U1297" s="3"/>
      <c r="V1297" s="3"/>
      <c r="W1297" s="3"/>
      <c r="X1297" s="3" t="s">
        <v>1492</v>
      </c>
      <c r="Y1297" s="3" t="s">
        <v>399</v>
      </c>
    </row>
    <row r="1298" spans="1:25" ht="15" customHeight="1" x14ac:dyDescent="0.3">
      <c r="A1298" s="27">
        <v>45932</v>
      </c>
      <c r="B1298" s="25">
        <v>28</v>
      </c>
      <c r="C1298" s="3" t="s">
        <v>38</v>
      </c>
      <c r="D1298" s="3" t="s">
        <v>164</v>
      </c>
      <c r="E1298" s="3">
        <v>2</v>
      </c>
      <c r="F1298" s="3">
        <v>134</v>
      </c>
      <c r="G1298" s="6" t="s">
        <v>1480</v>
      </c>
      <c r="H1298" s="3" t="s">
        <v>1700</v>
      </c>
      <c r="I1298" s="6" t="s">
        <v>793</v>
      </c>
      <c r="J1298" s="3">
        <v>3</v>
      </c>
      <c r="K1298" s="3">
        <v>3</v>
      </c>
      <c r="L1298" s="3">
        <v>16.96</v>
      </c>
      <c r="M1298" s="3">
        <v>3.8</v>
      </c>
      <c r="N1298" s="3">
        <v>6.8</v>
      </c>
      <c r="O1298" s="3">
        <v>5</v>
      </c>
      <c r="P1298" s="3"/>
      <c r="Q1298" s="3">
        <v>170</v>
      </c>
      <c r="R1298" s="3"/>
      <c r="S1298" s="3"/>
      <c r="T1298" s="3"/>
      <c r="U1298" s="3"/>
      <c r="V1298" s="3"/>
      <c r="W1298" s="3"/>
      <c r="X1298" s="3" t="s">
        <v>84</v>
      </c>
      <c r="Y1298" s="3" t="s">
        <v>586</v>
      </c>
    </row>
    <row r="1299" spans="1:25" ht="15" customHeight="1" x14ac:dyDescent="0.3">
      <c r="A1299" s="27">
        <v>45932</v>
      </c>
      <c r="B1299" s="25">
        <v>28</v>
      </c>
      <c r="C1299" s="3" t="s">
        <v>38</v>
      </c>
      <c r="D1299" s="3" t="s">
        <v>164</v>
      </c>
      <c r="E1299" s="3">
        <v>2</v>
      </c>
      <c r="F1299" s="3">
        <v>135</v>
      </c>
      <c r="G1299" s="6" t="s">
        <v>21</v>
      </c>
      <c r="H1299" s="3" t="s">
        <v>1815</v>
      </c>
      <c r="I1299" s="6" t="s">
        <v>793</v>
      </c>
      <c r="J1299" s="3">
        <v>2</v>
      </c>
      <c r="K1299" s="3">
        <v>2</v>
      </c>
      <c r="L1299" s="3">
        <v>20.58</v>
      </c>
      <c r="M1299" s="3">
        <v>6</v>
      </c>
      <c r="N1299" s="3">
        <v>9</v>
      </c>
      <c r="O1299" s="3">
        <v>5</v>
      </c>
      <c r="P1299" s="3"/>
      <c r="Q1299" s="3">
        <v>180</v>
      </c>
      <c r="R1299" s="3"/>
      <c r="S1299" s="3"/>
      <c r="T1299" s="3"/>
      <c r="U1299" s="3"/>
      <c r="V1299" s="3"/>
      <c r="W1299" s="3"/>
      <c r="X1299" s="3" t="s">
        <v>1494</v>
      </c>
      <c r="Y1299" s="3" t="s">
        <v>1827</v>
      </c>
    </row>
    <row r="1300" spans="1:25" ht="15" customHeight="1" x14ac:dyDescent="0.3">
      <c r="A1300" s="27">
        <v>45932</v>
      </c>
      <c r="B1300" s="25">
        <v>28</v>
      </c>
      <c r="C1300" s="3" t="s">
        <v>38</v>
      </c>
      <c r="D1300" s="3" t="s">
        <v>164</v>
      </c>
      <c r="E1300" s="3">
        <v>2</v>
      </c>
      <c r="F1300" s="3">
        <v>138</v>
      </c>
      <c r="G1300" s="6" t="s">
        <v>1701</v>
      </c>
      <c r="H1300" s="3" t="s">
        <v>1702</v>
      </c>
      <c r="I1300" s="6" t="s">
        <v>793</v>
      </c>
      <c r="J1300" s="3">
        <v>3</v>
      </c>
      <c r="K1300" s="3">
        <v>3</v>
      </c>
      <c r="L1300" s="3">
        <v>13.79</v>
      </c>
      <c r="M1300" s="3">
        <v>2.7</v>
      </c>
      <c r="N1300" s="3">
        <v>6</v>
      </c>
      <c r="O1300" s="3">
        <v>4</v>
      </c>
      <c r="P1300" s="3"/>
      <c r="Q1300" s="3">
        <v>170</v>
      </c>
      <c r="R1300" s="3"/>
      <c r="S1300" s="3"/>
      <c r="T1300" s="3"/>
      <c r="U1300" s="3"/>
      <c r="V1300" s="3"/>
      <c r="W1300" s="3"/>
      <c r="X1300" s="3" t="s">
        <v>82</v>
      </c>
      <c r="Y1300" s="3" t="s">
        <v>396</v>
      </c>
    </row>
    <row r="1301" spans="1:25" ht="15" customHeight="1" x14ac:dyDescent="0.3">
      <c r="A1301" s="27">
        <v>45932</v>
      </c>
      <c r="B1301" s="25">
        <v>28</v>
      </c>
      <c r="C1301" s="3" t="s">
        <v>38</v>
      </c>
      <c r="D1301" s="3" t="s">
        <v>164</v>
      </c>
      <c r="E1301" s="3">
        <v>2</v>
      </c>
      <c r="F1301" s="3">
        <v>202</v>
      </c>
      <c r="G1301" s="6" t="s">
        <v>1674</v>
      </c>
      <c r="H1301" s="3" t="s">
        <v>1675</v>
      </c>
      <c r="I1301" s="6" t="s">
        <v>111</v>
      </c>
      <c r="J1301" s="3">
        <v>8</v>
      </c>
      <c r="K1301" s="23">
        <v>6</v>
      </c>
      <c r="L1301" s="3">
        <v>33.6</v>
      </c>
      <c r="M1301" s="3">
        <v>14</v>
      </c>
      <c r="N1301" s="3">
        <v>2.5</v>
      </c>
      <c r="O1301" s="3"/>
      <c r="P1301" s="3"/>
      <c r="Q1301" s="3"/>
      <c r="R1301" s="3" t="s">
        <v>386</v>
      </c>
      <c r="S1301" s="3" t="s">
        <v>1820</v>
      </c>
      <c r="T1301" s="3">
        <v>2.5</v>
      </c>
      <c r="U1301" s="3">
        <v>15</v>
      </c>
      <c r="V1301" s="3">
        <v>25</v>
      </c>
      <c r="W1301" s="3">
        <v>140</v>
      </c>
      <c r="X1301" s="3" t="s">
        <v>1824</v>
      </c>
      <c r="Y1301" s="3"/>
    </row>
    <row r="1302" spans="1:25" ht="15" customHeight="1" x14ac:dyDescent="0.3">
      <c r="A1302" s="27">
        <v>45932</v>
      </c>
      <c r="B1302" s="25">
        <v>28</v>
      </c>
      <c r="C1302" s="3" t="s">
        <v>38</v>
      </c>
      <c r="D1302" s="3" t="s">
        <v>164</v>
      </c>
      <c r="E1302" s="3">
        <v>2</v>
      </c>
      <c r="F1302" s="3">
        <v>203</v>
      </c>
      <c r="G1302" s="6" t="s">
        <v>23</v>
      </c>
      <c r="H1302" s="3" t="s">
        <v>1256</v>
      </c>
      <c r="I1302" s="6" t="s">
        <v>111</v>
      </c>
      <c r="J1302" s="3">
        <v>8</v>
      </c>
      <c r="K1302" s="23">
        <v>7</v>
      </c>
      <c r="L1302" s="3">
        <v>18.2</v>
      </c>
      <c r="M1302" s="3">
        <v>5</v>
      </c>
      <c r="N1302" s="3">
        <v>3.5</v>
      </c>
      <c r="O1302" s="3"/>
      <c r="P1302" s="3"/>
      <c r="Q1302" s="3"/>
      <c r="R1302" s="3" t="s">
        <v>318</v>
      </c>
      <c r="S1302" s="3" t="s">
        <v>1053</v>
      </c>
      <c r="T1302" s="3">
        <v>2</v>
      </c>
      <c r="U1302" s="3">
        <v>20</v>
      </c>
      <c r="V1302" s="3">
        <v>25</v>
      </c>
      <c r="W1302" s="3">
        <v>95</v>
      </c>
      <c r="X1302" s="3" t="s">
        <v>1659</v>
      </c>
      <c r="Y1302" s="3" t="s">
        <v>1807</v>
      </c>
    </row>
    <row r="1303" spans="1:25" ht="15" customHeight="1" x14ac:dyDescent="0.3">
      <c r="A1303" s="27">
        <v>45932</v>
      </c>
      <c r="B1303" s="25">
        <v>28</v>
      </c>
      <c r="C1303" s="3" t="s">
        <v>38</v>
      </c>
      <c r="D1303" s="3" t="s">
        <v>164</v>
      </c>
      <c r="E1303" s="3">
        <v>2</v>
      </c>
      <c r="F1303" s="3">
        <v>212</v>
      </c>
      <c r="G1303" s="6" t="s">
        <v>667</v>
      </c>
      <c r="H1303" s="3" t="s">
        <v>1735</v>
      </c>
      <c r="I1303" s="6" t="s">
        <v>111</v>
      </c>
      <c r="J1303" s="3">
        <v>12</v>
      </c>
      <c r="K1303" s="23">
        <v>10</v>
      </c>
      <c r="L1303" s="3">
        <v>32.51</v>
      </c>
      <c r="M1303" s="3">
        <v>20</v>
      </c>
      <c r="N1303" s="3">
        <v>3</v>
      </c>
      <c r="O1303" s="3"/>
      <c r="P1303" s="3"/>
      <c r="Q1303" s="3"/>
      <c r="R1303" s="3" t="s">
        <v>1798</v>
      </c>
      <c r="S1303" s="3" t="s">
        <v>1821</v>
      </c>
      <c r="T1303" s="3">
        <v>0.1</v>
      </c>
      <c r="U1303" s="3">
        <v>15</v>
      </c>
      <c r="V1303" s="3">
        <v>20</v>
      </c>
      <c r="W1303" s="3">
        <v>170</v>
      </c>
      <c r="X1303" s="3" t="s">
        <v>1782</v>
      </c>
      <c r="Y1303" s="3" t="s">
        <v>1828</v>
      </c>
    </row>
    <row r="1304" spans="1:25" ht="15" customHeight="1" x14ac:dyDescent="0.3">
      <c r="A1304" s="27">
        <v>45932</v>
      </c>
      <c r="B1304" s="25">
        <v>28</v>
      </c>
      <c r="C1304" s="3" t="s">
        <v>38</v>
      </c>
      <c r="D1304" s="3" t="s">
        <v>164</v>
      </c>
      <c r="E1304" s="3">
        <v>2</v>
      </c>
      <c r="F1304" s="3">
        <v>205</v>
      </c>
      <c r="G1304" s="6" t="s">
        <v>1548</v>
      </c>
      <c r="H1304" s="3" t="s">
        <v>1703</v>
      </c>
      <c r="I1304" s="6" t="s">
        <v>111</v>
      </c>
      <c r="J1304" s="3">
        <v>12</v>
      </c>
      <c r="K1304" s="23">
        <v>10</v>
      </c>
      <c r="L1304" s="3">
        <v>22.3</v>
      </c>
      <c r="M1304" s="3">
        <v>10</v>
      </c>
      <c r="N1304" s="3">
        <v>3</v>
      </c>
      <c r="O1304" s="3"/>
      <c r="P1304" s="3"/>
      <c r="Q1304" s="3"/>
      <c r="R1304" s="3" t="s">
        <v>64</v>
      </c>
      <c r="S1304" s="3" t="s">
        <v>63</v>
      </c>
      <c r="T1304" s="3">
        <v>1</v>
      </c>
      <c r="U1304" s="3">
        <v>20</v>
      </c>
      <c r="V1304" s="3">
        <v>25</v>
      </c>
      <c r="W1304" s="3">
        <v>90</v>
      </c>
      <c r="X1304" s="3" t="s">
        <v>1613</v>
      </c>
      <c r="Y1304" s="6"/>
    </row>
    <row r="1305" spans="1:25" ht="15" customHeight="1" x14ac:dyDescent="0.3">
      <c r="A1305" s="27">
        <v>45932</v>
      </c>
      <c r="B1305" s="25">
        <v>28</v>
      </c>
      <c r="C1305" s="3" t="s">
        <v>38</v>
      </c>
      <c r="D1305" s="3" t="s">
        <v>164</v>
      </c>
      <c r="E1305" s="3">
        <v>2</v>
      </c>
      <c r="F1305" s="3">
        <v>207</v>
      </c>
      <c r="G1305" s="6" t="s">
        <v>476</v>
      </c>
      <c r="H1305" s="3" t="s">
        <v>1729</v>
      </c>
      <c r="I1305" s="6" t="s">
        <v>111</v>
      </c>
      <c r="J1305" s="3">
        <v>12</v>
      </c>
      <c r="K1305" s="23">
        <v>9</v>
      </c>
      <c r="L1305" s="3">
        <v>30.96</v>
      </c>
      <c r="M1305" s="3">
        <v>13</v>
      </c>
      <c r="N1305" s="3">
        <v>3</v>
      </c>
      <c r="O1305" s="3"/>
      <c r="P1305" s="3"/>
      <c r="Q1305" s="3"/>
      <c r="R1305" s="3" t="s">
        <v>1131</v>
      </c>
      <c r="S1305" s="3" t="s">
        <v>242</v>
      </c>
      <c r="T1305" s="3">
        <v>2</v>
      </c>
      <c r="U1305" s="3">
        <v>15</v>
      </c>
      <c r="V1305" s="3">
        <v>20</v>
      </c>
      <c r="W1305" s="3">
        <v>100</v>
      </c>
      <c r="X1305" s="3" t="s">
        <v>1825</v>
      </c>
      <c r="Y1305" s="3" t="s">
        <v>1809</v>
      </c>
    </row>
    <row r="1306" spans="1:25" ht="15" customHeight="1" x14ac:dyDescent="0.3">
      <c r="A1306" s="27">
        <v>45932</v>
      </c>
      <c r="B1306" s="25">
        <v>28</v>
      </c>
      <c r="C1306" s="3" t="s">
        <v>38</v>
      </c>
      <c r="D1306" s="3" t="s">
        <v>164</v>
      </c>
      <c r="E1306" s="3">
        <v>2</v>
      </c>
      <c r="F1306" s="3">
        <v>209</v>
      </c>
      <c r="G1306" s="6" t="s">
        <v>996</v>
      </c>
      <c r="H1306" s="3" t="s">
        <v>1730</v>
      </c>
      <c r="I1306" s="6" t="s">
        <v>111</v>
      </c>
      <c r="J1306" s="3">
        <v>4</v>
      </c>
      <c r="K1306" s="23">
        <v>3</v>
      </c>
      <c r="L1306" s="3">
        <v>26.3</v>
      </c>
      <c r="M1306" s="3">
        <v>13</v>
      </c>
      <c r="N1306" s="3">
        <v>3</v>
      </c>
      <c r="O1306" s="3"/>
      <c r="P1306" s="3"/>
      <c r="Q1306" s="3"/>
      <c r="R1306" s="3" t="s">
        <v>1819</v>
      </c>
      <c r="S1306" s="3" t="s">
        <v>1553</v>
      </c>
      <c r="T1306" s="3">
        <v>2</v>
      </c>
      <c r="U1306" s="3">
        <v>10</v>
      </c>
      <c r="V1306" s="3">
        <v>20</v>
      </c>
      <c r="W1306" s="3">
        <v>170</v>
      </c>
      <c r="X1306" s="3" t="s">
        <v>1747</v>
      </c>
      <c r="Y1306" s="3" t="s">
        <v>1829</v>
      </c>
    </row>
    <row r="1307" spans="1:25" ht="15" customHeight="1" x14ac:dyDescent="0.3">
      <c r="A1307" s="27">
        <v>45932</v>
      </c>
      <c r="B1307" s="25">
        <v>28</v>
      </c>
      <c r="C1307" s="3" t="s">
        <v>38</v>
      </c>
      <c r="D1307" s="3" t="s">
        <v>164</v>
      </c>
      <c r="E1307" s="3">
        <v>2</v>
      </c>
      <c r="F1307" s="3">
        <v>302</v>
      </c>
      <c r="G1307" s="6" t="s">
        <v>31</v>
      </c>
      <c r="H1307" s="3" t="s">
        <v>195</v>
      </c>
      <c r="I1307" s="6" t="s">
        <v>793</v>
      </c>
      <c r="J1307" s="3">
        <v>12</v>
      </c>
      <c r="K1307" s="23">
        <v>10</v>
      </c>
      <c r="L1307" s="3">
        <v>52.06</v>
      </c>
      <c r="M1307" s="3">
        <v>16</v>
      </c>
      <c r="N1307" s="3">
        <v>17</v>
      </c>
      <c r="O1307" s="3"/>
      <c r="P1307" s="3"/>
      <c r="Q1307" s="3"/>
      <c r="R1307" s="3" t="s">
        <v>1554</v>
      </c>
      <c r="S1307" s="3" t="s">
        <v>895</v>
      </c>
      <c r="T1307" s="3">
        <v>3</v>
      </c>
      <c r="U1307" s="3">
        <v>40</v>
      </c>
      <c r="V1307" s="3">
        <v>40</v>
      </c>
      <c r="W1307" s="3">
        <v>150</v>
      </c>
      <c r="X1307" s="3" t="s">
        <v>1803</v>
      </c>
      <c r="Y1307" s="6" t="s">
        <v>1790</v>
      </c>
    </row>
    <row r="1308" spans="1:25" ht="15" customHeight="1" x14ac:dyDescent="0.3">
      <c r="A1308" s="27">
        <v>45932</v>
      </c>
      <c r="B1308" s="25">
        <v>28</v>
      </c>
      <c r="C1308" s="3" t="s">
        <v>38</v>
      </c>
      <c r="D1308" s="3" t="s">
        <v>164</v>
      </c>
      <c r="E1308" s="3">
        <v>2</v>
      </c>
      <c r="F1308" s="3">
        <v>303</v>
      </c>
      <c r="G1308" s="6" t="s">
        <v>1258</v>
      </c>
      <c r="H1308" s="3" t="s">
        <v>1259</v>
      </c>
      <c r="I1308" s="6" t="s">
        <v>793</v>
      </c>
      <c r="J1308" s="3">
        <v>8</v>
      </c>
      <c r="K1308" s="23">
        <v>7</v>
      </c>
      <c r="L1308" s="3">
        <v>60.5</v>
      </c>
      <c r="M1308" s="3">
        <v>30</v>
      </c>
      <c r="N1308" s="3">
        <v>8</v>
      </c>
      <c r="O1308" s="3"/>
      <c r="P1308" s="3"/>
      <c r="Q1308" s="3"/>
      <c r="R1308" s="3" t="s">
        <v>678</v>
      </c>
      <c r="S1308" s="3" t="s">
        <v>1264</v>
      </c>
      <c r="T1308" s="3">
        <v>3</v>
      </c>
      <c r="U1308" s="3">
        <v>30</v>
      </c>
      <c r="V1308" s="3">
        <v>50</v>
      </c>
      <c r="W1308" s="3">
        <v>135</v>
      </c>
      <c r="X1308" s="3" t="s">
        <v>1826</v>
      </c>
      <c r="Y1308" s="3" t="s">
        <v>1830</v>
      </c>
    </row>
    <row r="1309" spans="1:25" ht="15" customHeight="1" x14ac:dyDescent="0.3">
      <c r="A1309" s="27">
        <v>45932</v>
      </c>
      <c r="B1309" s="25">
        <v>28</v>
      </c>
      <c r="C1309" s="3" t="s">
        <v>38</v>
      </c>
      <c r="D1309" s="3" t="s">
        <v>164</v>
      </c>
      <c r="E1309" s="3">
        <v>2</v>
      </c>
      <c r="F1309" s="3">
        <v>501</v>
      </c>
      <c r="G1309" s="6" t="s">
        <v>59</v>
      </c>
      <c r="H1309" s="3" t="s">
        <v>1816</v>
      </c>
      <c r="I1309" s="6" t="s">
        <v>110</v>
      </c>
      <c r="J1309" s="3">
        <v>6</v>
      </c>
      <c r="K1309" s="3">
        <v>6</v>
      </c>
      <c r="L1309" s="3">
        <v>16.02</v>
      </c>
      <c r="M1309" s="3"/>
      <c r="N1309" s="3"/>
      <c r="O1309" s="3">
        <v>9.4</v>
      </c>
      <c r="P1309" s="3"/>
      <c r="Q1309" s="3"/>
      <c r="R1309" s="3"/>
      <c r="S1309" s="3"/>
      <c r="T1309" s="3"/>
      <c r="U1309" s="3"/>
      <c r="V1309" s="3"/>
      <c r="W1309" s="3">
        <v>300</v>
      </c>
      <c r="X1309" s="3" t="s">
        <v>107</v>
      </c>
      <c r="Y1309" s="6"/>
    </row>
    <row r="1310" spans="1:25" ht="15" customHeight="1" x14ac:dyDescent="0.3">
      <c r="A1310" s="27"/>
      <c r="B1310" s="25"/>
      <c r="C1310" s="3"/>
      <c r="D1310" s="3"/>
      <c r="E1310" s="3"/>
      <c r="F1310" s="3"/>
      <c r="G1310" s="6"/>
      <c r="H1310" s="3"/>
      <c r="I1310" s="6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6"/>
    </row>
    <row r="1311" spans="1:25" ht="15" customHeight="1" x14ac:dyDescent="0.3">
      <c r="A1311" s="5">
        <v>45937</v>
      </c>
      <c r="B1311" s="25">
        <v>28</v>
      </c>
      <c r="C1311" s="3" t="s">
        <v>1839</v>
      </c>
      <c r="D1311" s="3" t="s">
        <v>545</v>
      </c>
      <c r="E1311" s="3">
        <v>2</v>
      </c>
      <c r="F1311" s="3">
        <v>401</v>
      </c>
      <c r="G1311" s="6" t="s">
        <v>844</v>
      </c>
      <c r="H1311" s="3" t="s">
        <v>1695</v>
      </c>
      <c r="I1311" s="6" t="s">
        <v>793</v>
      </c>
      <c r="J1311" s="3">
        <v>1</v>
      </c>
      <c r="K1311" s="3">
        <v>1</v>
      </c>
      <c r="L1311" s="3">
        <v>10.09</v>
      </c>
      <c r="M1311" s="3"/>
      <c r="N1311" s="3"/>
      <c r="O1311" s="3">
        <v>3.5</v>
      </c>
      <c r="P1311" s="3"/>
      <c r="Q1311" s="3"/>
      <c r="R1311" s="3"/>
      <c r="S1311" s="3"/>
      <c r="T1311" s="3"/>
      <c r="U1311" s="3"/>
      <c r="V1311" s="3"/>
      <c r="W1311" s="3"/>
      <c r="X1311" s="3" t="s">
        <v>1831</v>
      </c>
      <c r="Y1311" s="3"/>
    </row>
    <row r="1312" spans="1:25" ht="15" customHeight="1" x14ac:dyDescent="0.3">
      <c r="A1312" s="5">
        <v>45937</v>
      </c>
      <c r="B1312" s="25">
        <v>28</v>
      </c>
      <c r="C1312" s="3" t="s">
        <v>1839</v>
      </c>
      <c r="D1312" s="3" t="s">
        <v>545</v>
      </c>
      <c r="E1312" s="3">
        <v>2</v>
      </c>
      <c r="F1312" s="3">
        <v>405</v>
      </c>
      <c r="G1312" s="6" t="s">
        <v>1623</v>
      </c>
      <c r="H1312" s="3" t="s">
        <v>1840</v>
      </c>
      <c r="I1312" s="6" t="s">
        <v>1024</v>
      </c>
      <c r="J1312" s="3">
        <v>2</v>
      </c>
      <c r="K1312" s="3">
        <v>2</v>
      </c>
      <c r="L1312" s="3">
        <v>8.6</v>
      </c>
      <c r="M1312" s="3"/>
      <c r="N1312" s="3"/>
      <c r="O1312" s="3">
        <v>3</v>
      </c>
      <c r="P1312" s="3"/>
      <c r="Q1312" s="3"/>
      <c r="R1312" s="3"/>
      <c r="S1312" s="3"/>
      <c r="T1312" s="3"/>
      <c r="U1312" s="3"/>
      <c r="V1312" s="3"/>
      <c r="W1312" s="3"/>
      <c r="X1312" s="3" t="s">
        <v>1832</v>
      </c>
      <c r="Y1312" s="6"/>
    </row>
    <row r="1313" spans="1:25" ht="15" customHeight="1" x14ac:dyDescent="0.3">
      <c r="A1313" s="5">
        <v>45937</v>
      </c>
      <c r="B1313" s="25">
        <v>28</v>
      </c>
      <c r="C1313" s="3" t="s">
        <v>1839</v>
      </c>
      <c r="D1313" s="3" t="s">
        <v>545</v>
      </c>
      <c r="E1313" s="3">
        <v>2</v>
      </c>
      <c r="F1313" s="3">
        <v>203</v>
      </c>
      <c r="G1313" s="6" t="s">
        <v>23</v>
      </c>
      <c r="H1313" s="3" t="s">
        <v>1256</v>
      </c>
      <c r="I1313" s="6" t="s">
        <v>111</v>
      </c>
      <c r="J1313" s="3">
        <v>8</v>
      </c>
      <c r="K1313" s="3">
        <v>7</v>
      </c>
      <c r="L1313" s="3">
        <v>18.2</v>
      </c>
      <c r="M1313" s="3">
        <v>5</v>
      </c>
      <c r="N1313" s="3">
        <v>3.2</v>
      </c>
      <c r="O1313" s="3"/>
      <c r="P1313" s="3"/>
      <c r="Q1313" s="3"/>
      <c r="R1313" s="3" t="s">
        <v>1309</v>
      </c>
      <c r="S1313" s="3" t="s">
        <v>135</v>
      </c>
      <c r="T1313" s="3">
        <v>2</v>
      </c>
      <c r="U1313" s="3">
        <v>20</v>
      </c>
      <c r="V1313" s="3">
        <v>25</v>
      </c>
      <c r="W1313" s="3">
        <v>95</v>
      </c>
      <c r="X1313" s="3" t="s">
        <v>1833</v>
      </c>
      <c r="Y1313" s="6" t="s">
        <v>1834</v>
      </c>
    </row>
    <row r="1314" spans="1:25" ht="15" customHeight="1" x14ac:dyDescent="0.3">
      <c r="A1314" s="5">
        <v>45937</v>
      </c>
      <c r="B1314" s="25">
        <v>28</v>
      </c>
      <c r="C1314" s="3" t="s">
        <v>1839</v>
      </c>
      <c r="D1314" s="3" t="s">
        <v>545</v>
      </c>
      <c r="E1314" s="3">
        <v>2</v>
      </c>
      <c r="F1314" s="3">
        <v>205</v>
      </c>
      <c r="G1314" s="6" t="s">
        <v>1548</v>
      </c>
      <c r="H1314" s="3" t="s">
        <v>1703</v>
      </c>
      <c r="I1314" s="6" t="s">
        <v>111</v>
      </c>
      <c r="J1314" s="3">
        <v>12</v>
      </c>
      <c r="K1314" s="3">
        <v>9</v>
      </c>
      <c r="L1314" s="3">
        <v>24.6</v>
      </c>
      <c r="M1314" s="3">
        <v>11</v>
      </c>
      <c r="N1314" s="3">
        <v>3</v>
      </c>
      <c r="O1314" s="3"/>
      <c r="P1314" s="3"/>
      <c r="Q1314" s="3"/>
      <c r="R1314" s="3" t="s">
        <v>853</v>
      </c>
      <c r="S1314" s="3" t="s">
        <v>523</v>
      </c>
      <c r="T1314" s="3">
        <v>1</v>
      </c>
      <c r="U1314" s="3">
        <v>20</v>
      </c>
      <c r="V1314" s="3">
        <v>25</v>
      </c>
      <c r="W1314" s="3">
        <v>90</v>
      </c>
      <c r="X1314" s="3" t="s">
        <v>1613</v>
      </c>
      <c r="Y1314" s="6"/>
    </row>
    <row r="1315" spans="1:25" ht="15" customHeight="1" x14ac:dyDescent="0.3">
      <c r="A1315" s="5">
        <v>45937</v>
      </c>
      <c r="B1315" s="25">
        <v>28</v>
      </c>
      <c r="C1315" s="3" t="s">
        <v>1839</v>
      </c>
      <c r="D1315" s="3" t="s">
        <v>545</v>
      </c>
      <c r="E1315" s="3">
        <v>2</v>
      </c>
      <c r="F1315" s="3">
        <v>207</v>
      </c>
      <c r="G1315" s="6" t="s">
        <v>476</v>
      </c>
      <c r="H1315" s="3" t="s">
        <v>1729</v>
      </c>
      <c r="I1315" s="6" t="s">
        <v>111</v>
      </c>
      <c r="J1315" s="3">
        <v>12</v>
      </c>
      <c r="K1315" s="3">
        <v>9</v>
      </c>
      <c r="L1315" s="3">
        <v>30.62</v>
      </c>
      <c r="M1315" s="3">
        <v>13</v>
      </c>
      <c r="N1315" s="3">
        <v>3</v>
      </c>
      <c r="O1315" s="3"/>
      <c r="P1315" s="3"/>
      <c r="Q1315" s="3"/>
      <c r="R1315" s="3" t="s">
        <v>203</v>
      </c>
      <c r="S1315" s="3" t="s">
        <v>1049</v>
      </c>
      <c r="T1315" s="3">
        <v>2</v>
      </c>
      <c r="U1315" s="3">
        <v>15</v>
      </c>
      <c r="V1315" s="3">
        <v>20</v>
      </c>
      <c r="W1315" s="3">
        <v>100</v>
      </c>
      <c r="X1315" s="3" t="s">
        <v>1660</v>
      </c>
      <c r="Y1315" s="6" t="s">
        <v>1835</v>
      </c>
    </row>
    <row r="1316" spans="1:25" ht="15" customHeight="1" x14ac:dyDescent="0.3">
      <c r="A1316" s="5">
        <v>45937</v>
      </c>
      <c r="B1316" s="25">
        <v>28</v>
      </c>
      <c r="C1316" s="3" t="s">
        <v>1839</v>
      </c>
      <c r="D1316" s="3" t="s">
        <v>545</v>
      </c>
      <c r="E1316" s="3">
        <v>2</v>
      </c>
      <c r="F1316" s="3">
        <v>210</v>
      </c>
      <c r="G1316" s="6" t="s">
        <v>412</v>
      </c>
      <c r="H1316" s="3" t="s">
        <v>1841</v>
      </c>
      <c r="I1316" s="6" t="s">
        <v>111</v>
      </c>
      <c r="J1316" s="3">
        <v>4</v>
      </c>
      <c r="K1316" s="3">
        <v>4</v>
      </c>
      <c r="L1316" s="3">
        <v>21.2</v>
      </c>
      <c r="M1316" s="3">
        <v>7</v>
      </c>
      <c r="N1316" s="3">
        <v>4</v>
      </c>
      <c r="O1316" s="3"/>
      <c r="P1316" s="3"/>
      <c r="Q1316" s="3"/>
      <c r="R1316" s="3" t="s">
        <v>1033</v>
      </c>
      <c r="S1316" s="3" t="s">
        <v>387</v>
      </c>
      <c r="T1316" s="3">
        <v>1</v>
      </c>
      <c r="U1316" s="3">
        <v>25</v>
      </c>
      <c r="V1316" s="3">
        <v>35</v>
      </c>
      <c r="W1316" s="3">
        <v>101</v>
      </c>
      <c r="X1316" s="3" t="s">
        <v>1836</v>
      </c>
      <c r="Y1316" s="6" t="s">
        <v>1837</v>
      </c>
    </row>
    <row r="1317" spans="1:25" ht="15" customHeight="1" x14ac:dyDescent="0.3">
      <c r="A1317" s="5">
        <v>45937</v>
      </c>
      <c r="B1317" s="25">
        <v>28</v>
      </c>
      <c r="C1317" s="3" t="s">
        <v>1839</v>
      </c>
      <c r="D1317" s="3" t="s">
        <v>545</v>
      </c>
      <c r="E1317" s="3">
        <v>2</v>
      </c>
      <c r="F1317" s="3">
        <v>303</v>
      </c>
      <c r="G1317" s="6" t="s">
        <v>32</v>
      </c>
      <c r="H1317" s="3" t="s">
        <v>238</v>
      </c>
      <c r="I1317" s="6" t="s">
        <v>793</v>
      </c>
      <c r="J1317" s="3">
        <v>12</v>
      </c>
      <c r="K1317" s="3">
        <v>7</v>
      </c>
      <c r="L1317" s="3">
        <v>43.4</v>
      </c>
      <c r="M1317" s="3">
        <v>22</v>
      </c>
      <c r="N1317" s="3">
        <v>8</v>
      </c>
      <c r="O1317" s="3"/>
      <c r="P1317" s="3"/>
      <c r="Q1317" s="3"/>
      <c r="R1317" s="3" t="s">
        <v>135</v>
      </c>
      <c r="S1317" s="3" t="s">
        <v>1049</v>
      </c>
      <c r="T1317" s="3">
        <v>45</v>
      </c>
      <c r="U1317" s="3">
        <v>20</v>
      </c>
      <c r="V1317" s="3">
        <v>45</v>
      </c>
      <c r="W1317" s="3">
        <v>140</v>
      </c>
      <c r="X1317" s="3" t="s">
        <v>1591</v>
      </c>
      <c r="Y1317" s="6" t="s">
        <v>1838</v>
      </c>
    </row>
    <row r="1318" spans="1:25" ht="15" customHeight="1" x14ac:dyDescent="0.3">
      <c r="A1318" s="5">
        <v>45937</v>
      </c>
      <c r="B1318" s="25">
        <v>28</v>
      </c>
      <c r="C1318" s="3" t="s">
        <v>1839</v>
      </c>
      <c r="D1318" s="3" t="s">
        <v>545</v>
      </c>
      <c r="E1318" s="3">
        <v>2</v>
      </c>
      <c r="F1318" s="3">
        <v>503</v>
      </c>
      <c r="G1318" s="6" t="s">
        <v>1842</v>
      </c>
      <c r="H1318" s="3" t="s">
        <v>1843</v>
      </c>
      <c r="I1318" s="6" t="s">
        <v>110</v>
      </c>
      <c r="J1318" s="3">
        <v>1</v>
      </c>
      <c r="K1318" s="3">
        <v>1</v>
      </c>
      <c r="L1318" s="3">
        <v>15</v>
      </c>
      <c r="M1318" s="3"/>
      <c r="N1318" s="3"/>
      <c r="O1318" s="3">
        <v>18</v>
      </c>
      <c r="P1318" s="3"/>
      <c r="Q1318" s="3"/>
      <c r="R1318" s="3"/>
      <c r="S1318" s="3"/>
      <c r="T1318" s="3"/>
      <c r="U1318" s="3"/>
      <c r="V1318" s="3"/>
      <c r="W1318" s="3"/>
      <c r="X1318" s="3" t="s">
        <v>618</v>
      </c>
      <c r="Y1318" s="6"/>
    </row>
    <row r="1319" spans="1:25" ht="15" customHeight="1" x14ac:dyDescent="0.3">
      <c r="A1319" s="5">
        <v>45938</v>
      </c>
      <c r="B1319" s="25">
        <v>28</v>
      </c>
      <c r="C1319" s="3" t="s">
        <v>1839</v>
      </c>
      <c r="D1319" s="3" t="s">
        <v>545</v>
      </c>
      <c r="E1319" s="3">
        <v>2</v>
      </c>
      <c r="F1319" s="3">
        <v>405</v>
      </c>
      <c r="G1319" s="6" t="s">
        <v>14</v>
      </c>
      <c r="H1319" s="3">
        <v>18989</v>
      </c>
      <c r="I1319" s="6" t="s">
        <v>1024</v>
      </c>
      <c r="J1319" s="3">
        <v>2</v>
      </c>
      <c r="K1319" s="3">
        <v>2</v>
      </c>
      <c r="L1319" s="3">
        <v>8.5</v>
      </c>
      <c r="M1319" s="3"/>
      <c r="N1319" s="3"/>
      <c r="O1319" s="3">
        <v>3</v>
      </c>
      <c r="P1319" s="3"/>
      <c r="Q1319" s="3"/>
      <c r="R1319" s="3"/>
      <c r="S1319" s="3"/>
      <c r="T1319" s="3"/>
      <c r="U1319" s="3"/>
      <c r="V1319" s="3"/>
      <c r="W1319" s="3"/>
      <c r="X1319" s="3" t="s">
        <v>1857</v>
      </c>
      <c r="Y1319" s="6"/>
    </row>
    <row r="1320" spans="1:25" ht="15" customHeight="1" x14ac:dyDescent="0.3">
      <c r="A1320" s="5">
        <v>45938</v>
      </c>
      <c r="B1320" s="25">
        <v>28</v>
      </c>
      <c r="C1320" s="3" t="s">
        <v>1839</v>
      </c>
      <c r="D1320" s="3" t="s">
        <v>545</v>
      </c>
      <c r="E1320" s="3">
        <v>2</v>
      </c>
      <c r="F1320" s="3">
        <v>203</v>
      </c>
      <c r="G1320" s="6" t="s">
        <v>23</v>
      </c>
      <c r="H1320" s="3">
        <v>18706</v>
      </c>
      <c r="I1320" s="6" t="s">
        <v>111</v>
      </c>
      <c r="J1320" s="3">
        <v>8</v>
      </c>
      <c r="K1320" s="3">
        <v>7</v>
      </c>
      <c r="L1320" s="3">
        <v>18.5</v>
      </c>
      <c r="M1320" s="3">
        <v>5</v>
      </c>
      <c r="N1320" s="3">
        <v>3.8</v>
      </c>
      <c r="O1320" s="3"/>
      <c r="P1320" s="3"/>
      <c r="Q1320" s="3"/>
      <c r="R1320" s="3" t="s">
        <v>1398</v>
      </c>
      <c r="S1320" s="3" t="s">
        <v>72</v>
      </c>
      <c r="T1320" s="3">
        <v>2</v>
      </c>
      <c r="U1320" s="3">
        <v>20</v>
      </c>
      <c r="V1320" s="3">
        <v>25</v>
      </c>
      <c r="W1320" s="3">
        <v>95</v>
      </c>
      <c r="X1320" s="3" t="s">
        <v>1846</v>
      </c>
      <c r="Y1320" s="6" t="s">
        <v>1858</v>
      </c>
    </row>
    <row r="1321" spans="1:25" ht="15" customHeight="1" x14ac:dyDescent="0.3">
      <c r="A1321" s="5">
        <v>45938</v>
      </c>
      <c r="B1321" s="25">
        <v>28</v>
      </c>
      <c r="C1321" s="3" t="s">
        <v>1839</v>
      </c>
      <c r="D1321" s="3" t="s">
        <v>545</v>
      </c>
      <c r="E1321" s="3">
        <v>2</v>
      </c>
      <c r="F1321" s="3">
        <v>204</v>
      </c>
      <c r="G1321" s="6" t="s">
        <v>338</v>
      </c>
      <c r="H1321" s="3">
        <v>18910</v>
      </c>
      <c r="I1321" s="6" t="s">
        <v>111</v>
      </c>
      <c r="J1321" s="3">
        <v>4</v>
      </c>
      <c r="K1321" s="3">
        <v>3</v>
      </c>
      <c r="L1321" s="3">
        <v>21.4</v>
      </c>
      <c r="M1321" s="3">
        <v>8</v>
      </c>
      <c r="N1321" s="3">
        <v>3.5</v>
      </c>
      <c r="O1321" s="3"/>
      <c r="P1321" s="3"/>
      <c r="Q1321" s="3"/>
      <c r="R1321" s="3" t="s">
        <v>676</v>
      </c>
      <c r="S1321" s="3" t="s">
        <v>1340</v>
      </c>
      <c r="T1321" s="3">
        <v>1.2</v>
      </c>
      <c r="U1321" s="3">
        <v>15</v>
      </c>
      <c r="V1321" s="3">
        <v>20</v>
      </c>
      <c r="W1321" s="3">
        <v>140</v>
      </c>
      <c r="X1321" s="3" t="s">
        <v>1848</v>
      </c>
      <c r="Y1321" s="6"/>
    </row>
    <row r="1322" spans="1:25" ht="15" customHeight="1" x14ac:dyDescent="0.3">
      <c r="A1322" s="5">
        <v>45938</v>
      </c>
      <c r="B1322" s="25">
        <v>28</v>
      </c>
      <c r="C1322" s="3" t="s">
        <v>1839</v>
      </c>
      <c r="D1322" s="3" t="s">
        <v>545</v>
      </c>
      <c r="E1322" s="3">
        <v>2</v>
      </c>
      <c r="F1322" s="3">
        <v>205</v>
      </c>
      <c r="G1322" s="6" t="s">
        <v>1548</v>
      </c>
      <c r="H1322" s="3">
        <v>18857</v>
      </c>
      <c r="I1322" s="6" t="s">
        <v>111</v>
      </c>
      <c r="J1322" s="3">
        <v>12</v>
      </c>
      <c r="K1322" s="3">
        <v>9</v>
      </c>
      <c r="L1322" s="3">
        <v>22.5</v>
      </c>
      <c r="M1322" s="3">
        <v>11</v>
      </c>
      <c r="N1322" s="3">
        <v>3</v>
      </c>
      <c r="O1322" s="3"/>
      <c r="P1322" s="3"/>
      <c r="Q1322" s="3"/>
      <c r="R1322" s="3" t="s">
        <v>386</v>
      </c>
      <c r="S1322" s="3" t="s">
        <v>284</v>
      </c>
      <c r="T1322" s="3">
        <v>1</v>
      </c>
      <c r="U1322" s="3">
        <v>20</v>
      </c>
      <c r="V1322" s="3">
        <v>25</v>
      </c>
      <c r="W1322" s="3">
        <v>90</v>
      </c>
      <c r="X1322" s="3" t="s">
        <v>1613</v>
      </c>
      <c r="Y1322" s="6"/>
    </row>
    <row r="1323" spans="1:25" ht="15" customHeight="1" x14ac:dyDescent="0.3">
      <c r="A1323" s="5">
        <v>45938</v>
      </c>
      <c r="B1323" s="25">
        <v>28</v>
      </c>
      <c r="C1323" s="3" t="s">
        <v>1839</v>
      </c>
      <c r="D1323" s="3" t="s">
        <v>545</v>
      </c>
      <c r="E1323" s="3">
        <v>2</v>
      </c>
      <c r="F1323" s="3">
        <v>210</v>
      </c>
      <c r="G1323" s="6" t="s">
        <v>412</v>
      </c>
      <c r="H1323" s="3">
        <v>18982</v>
      </c>
      <c r="I1323" s="6" t="s">
        <v>111</v>
      </c>
      <c r="J1323" s="3">
        <v>4</v>
      </c>
      <c r="K1323" s="3">
        <v>4</v>
      </c>
      <c r="L1323" s="3">
        <v>20.9</v>
      </c>
      <c r="M1323" s="3">
        <v>7</v>
      </c>
      <c r="N1323" s="3">
        <v>4</v>
      </c>
      <c r="O1323" s="3"/>
      <c r="P1323" s="3"/>
      <c r="Q1323" s="3"/>
      <c r="R1323" s="3" t="s">
        <v>1033</v>
      </c>
      <c r="S1323" s="3" t="s">
        <v>387</v>
      </c>
      <c r="T1323" s="3">
        <v>1</v>
      </c>
      <c r="U1323" s="3">
        <v>25</v>
      </c>
      <c r="V1323" s="3">
        <v>35</v>
      </c>
      <c r="W1323" s="3">
        <v>101</v>
      </c>
      <c r="X1323" s="3" t="s">
        <v>1836</v>
      </c>
      <c r="Y1323" s="6" t="s">
        <v>1853</v>
      </c>
    </row>
    <row r="1324" spans="1:25" ht="15" customHeight="1" x14ac:dyDescent="0.3">
      <c r="A1324" s="5">
        <v>45938</v>
      </c>
      <c r="B1324" s="25">
        <v>28</v>
      </c>
      <c r="C1324" s="3" t="s">
        <v>1839</v>
      </c>
      <c r="D1324" s="3" t="s">
        <v>545</v>
      </c>
      <c r="E1324" s="3">
        <v>2</v>
      </c>
      <c r="F1324" s="3">
        <v>303</v>
      </c>
      <c r="G1324" s="6" t="s">
        <v>32</v>
      </c>
      <c r="H1324" s="3">
        <v>17685</v>
      </c>
      <c r="I1324" s="6" t="s">
        <v>793</v>
      </c>
      <c r="J1324" s="3">
        <v>8</v>
      </c>
      <c r="K1324" s="3">
        <v>7</v>
      </c>
      <c r="L1324" s="3">
        <v>43.5</v>
      </c>
      <c r="M1324" s="3">
        <v>22</v>
      </c>
      <c r="N1324" s="3">
        <v>8</v>
      </c>
      <c r="O1324" s="3"/>
      <c r="P1324" s="3"/>
      <c r="Q1324" s="3"/>
      <c r="R1324" s="3" t="s">
        <v>1053</v>
      </c>
      <c r="S1324" s="3" t="s">
        <v>1854</v>
      </c>
      <c r="T1324" s="3">
        <v>2.5</v>
      </c>
      <c r="U1324" s="3">
        <v>20</v>
      </c>
      <c r="V1324" s="3">
        <v>45</v>
      </c>
      <c r="W1324" s="3">
        <v>140</v>
      </c>
      <c r="X1324" s="3" t="s">
        <v>1591</v>
      </c>
      <c r="Y1324" s="6" t="s">
        <v>1856</v>
      </c>
    </row>
    <row r="1325" spans="1:25" ht="15" customHeight="1" x14ac:dyDescent="0.3">
      <c r="A1325" s="5">
        <v>45938</v>
      </c>
      <c r="B1325" s="25">
        <v>28</v>
      </c>
      <c r="C1325" s="3" t="s">
        <v>1839</v>
      </c>
      <c r="D1325" s="3" t="s">
        <v>545</v>
      </c>
      <c r="E1325" s="3">
        <v>2</v>
      </c>
      <c r="F1325" s="3">
        <v>501</v>
      </c>
      <c r="G1325" s="6" t="s">
        <v>1863</v>
      </c>
      <c r="H1325" s="3">
        <v>18977</v>
      </c>
      <c r="I1325" s="6" t="s">
        <v>110</v>
      </c>
      <c r="J1325" s="3">
        <v>6</v>
      </c>
      <c r="K1325" s="3">
        <v>6</v>
      </c>
      <c r="L1325" s="3">
        <v>16.02</v>
      </c>
      <c r="M1325" s="3"/>
      <c r="N1325" s="3"/>
      <c r="O1325" s="3">
        <v>9</v>
      </c>
      <c r="P1325" s="3"/>
      <c r="Q1325" s="3"/>
      <c r="R1325" s="3"/>
      <c r="S1325" s="3"/>
      <c r="T1325" s="3"/>
      <c r="U1325" s="3"/>
      <c r="V1325" s="3"/>
      <c r="W1325" s="3"/>
      <c r="X1325" s="3" t="s">
        <v>151</v>
      </c>
      <c r="Y1325" s="6"/>
    </row>
    <row r="1326" spans="1:25" ht="15" customHeight="1" x14ac:dyDescent="0.3">
      <c r="A1326" s="5">
        <v>45939</v>
      </c>
      <c r="B1326" s="25">
        <v>28</v>
      </c>
      <c r="C1326" s="3" t="s">
        <v>1839</v>
      </c>
      <c r="D1326" s="3" t="s">
        <v>545</v>
      </c>
      <c r="E1326" s="3">
        <v>2</v>
      </c>
      <c r="F1326" s="3">
        <v>405</v>
      </c>
      <c r="G1326" s="6" t="s">
        <v>14</v>
      </c>
      <c r="H1326" s="3" t="s">
        <v>1867</v>
      </c>
      <c r="I1326" s="6" t="s">
        <v>1024</v>
      </c>
      <c r="J1326" s="3">
        <v>2</v>
      </c>
      <c r="K1326" s="3">
        <v>2</v>
      </c>
      <c r="L1326" s="3">
        <v>8</v>
      </c>
      <c r="M1326" s="3"/>
      <c r="N1326" s="3"/>
      <c r="O1326" s="3">
        <v>3</v>
      </c>
      <c r="P1326" s="3"/>
      <c r="Q1326" s="3"/>
      <c r="R1326" s="3"/>
      <c r="S1326" s="3"/>
      <c r="T1326" s="3"/>
      <c r="U1326" s="3"/>
      <c r="V1326" s="3"/>
      <c r="W1326" s="3"/>
      <c r="X1326" s="3" t="s">
        <v>1844</v>
      </c>
      <c r="Y1326" s="3"/>
    </row>
    <row r="1327" spans="1:25" ht="15" customHeight="1" x14ac:dyDescent="0.3">
      <c r="A1327" s="5">
        <v>45939</v>
      </c>
      <c r="B1327" s="25">
        <v>28</v>
      </c>
      <c r="C1327" s="3" t="s">
        <v>1839</v>
      </c>
      <c r="D1327" s="3" t="s">
        <v>545</v>
      </c>
      <c r="E1327" s="3">
        <v>2</v>
      </c>
      <c r="F1327" s="3">
        <v>203</v>
      </c>
      <c r="G1327" s="6" t="s">
        <v>23</v>
      </c>
      <c r="H1327" s="3" t="s">
        <v>1256</v>
      </c>
      <c r="I1327" s="6" t="s">
        <v>111</v>
      </c>
      <c r="J1327" s="3">
        <v>8</v>
      </c>
      <c r="K1327" s="3">
        <v>7</v>
      </c>
      <c r="L1327" s="3">
        <v>17</v>
      </c>
      <c r="M1327" s="3">
        <v>5</v>
      </c>
      <c r="N1327" s="3">
        <v>4</v>
      </c>
      <c r="O1327" s="3"/>
      <c r="P1327" s="3"/>
      <c r="Q1327" s="3"/>
      <c r="R1327" s="3" t="s">
        <v>318</v>
      </c>
      <c r="S1327" s="3" t="s">
        <v>1845</v>
      </c>
      <c r="T1327" s="3">
        <v>1</v>
      </c>
      <c r="U1327" s="3">
        <v>15</v>
      </c>
      <c r="V1327" s="3">
        <v>20</v>
      </c>
      <c r="W1327" s="3">
        <v>95</v>
      </c>
      <c r="X1327" s="3" t="s">
        <v>1846</v>
      </c>
      <c r="Y1327" s="6" t="s">
        <v>1847</v>
      </c>
    </row>
    <row r="1328" spans="1:25" ht="15" customHeight="1" x14ac:dyDescent="0.3">
      <c r="A1328" s="5">
        <v>45939</v>
      </c>
      <c r="B1328" s="25">
        <v>28</v>
      </c>
      <c r="C1328" s="3" t="s">
        <v>1839</v>
      </c>
      <c r="D1328" s="3" t="s">
        <v>545</v>
      </c>
      <c r="E1328" s="3">
        <v>2</v>
      </c>
      <c r="F1328" s="3">
        <v>204</v>
      </c>
      <c r="G1328" s="6" t="s">
        <v>338</v>
      </c>
      <c r="H1328" s="3" t="s">
        <v>1860</v>
      </c>
      <c r="I1328" s="6" t="s">
        <v>111</v>
      </c>
      <c r="J1328" s="3">
        <v>4</v>
      </c>
      <c r="K1328" s="3">
        <v>4</v>
      </c>
      <c r="L1328" s="3">
        <v>23.5</v>
      </c>
      <c r="M1328" s="3">
        <v>8</v>
      </c>
      <c r="N1328" s="3">
        <v>3.5</v>
      </c>
      <c r="O1328" s="3"/>
      <c r="P1328" s="3"/>
      <c r="Q1328" s="3"/>
      <c r="R1328" s="3" t="s">
        <v>65</v>
      </c>
      <c r="S1328" s="3" t="s">
        <v>287</v>
      </c>
      <c r="T1328" s="3">
        <v>1.2</v>
      </c>
      <c r="U1328" s="3">
        <v>15</v>
      </c>
      <c r="V1328" s="3">
        <v>20</v>
      </c>
      <c r="W1328" s="3">
        <v>140</v>
      </c>
      <c r="X1328" s="3" t="s">
        <v>1848</v>
      </c>
      <c r="Y1328" s="6"/>
    </row>
    <row r="1329" spans="1:25" ht="15" customHeight="1" x14ac:dyDescent="0.3">
      <c r="A1329" s="5">
        <v>45939</v>
      </c>
      <c r="B1329" s="25">
        <v>28</v>
      </c>
      <c r="C1329" s="3" t="s">
        <v>1839</v>
      </c>
      <c r="D1329" s="3" t="s">
        <v>545</v>
      </c>
      <c r="E1329" s="3">
        <v>2</v>
      </c>
      <c r="F1329" s="3">
        <v>205</v>
      </c>
      <c r="G1329" s="6" t="s">
        <v>1548</v>
      </c>
      <c r="H1329" s="3" t="s">
        <v>1703</v>
      </c>
      <c r="I1329" s="6" t="s">
        <v>111</v>
      </c>
      <c r="J1329" s="3">
        <v>12</v>
      </c>
      <c r="K1329" s="3">
        <v>9</v>
      </c>
      <c r="L1329" s="3">
        <v>22.9</v>
      </c>
      <c r="M1329" s="3">
        <v>11</v>
      </c>
      <c r="N1329" s="3">
        <v>3</v>
      </c>
      <c r="O1329" s="3"/>
      <c r="P1329" s="3"/>
      <c r="Q1329" s="3"/>
      <c r="R1329" s="3" t="s">
        <v>386</v>
      </c>
      <c r="S1329" s="3" t="s">
        <v>284</v>
      </c>
      <c r="T1329" s="3">
        <v>1</v>
      </c>
      <c r="U1329" s="3">
        <v>20</v>
      </c>
      <c r="V1329" s="3">
        <v>25</v>
      </c>
      <c r="W1329" s="3">
        <v>90</v>
      </c>
      <c r="X1329" s="3" t="s">
        <v>1613</v>
      </c>
      <c r="Y1329" s="6"/>
    </row>
    <row r="1330" spans="1:25" ht="15" customHeight="1" x14ac:dyDescent="0.3">
      <c r="A1330" s="5">
        <v>45939</v>
      </c>
      <c r="B1330" s="25">
        <v>28</v>
      </c>
      <c r="C1330" s="3" t="s">
        <v>1839</v>
      </c>
      <c r="D1330" s="3" t="s">
        <v>545</v>
      </c>
      <c r="E1330" s="3">
        <v>2</v>
      </c>
      <c r="F1330" s="3">
        <v>208</v>
      </c>
      <c r="G1330" s="6" t="s">
        <v>1876</v>
      </c>
      <c r="H1330" s="3" t="s">
        <v>1877</v>
      </c>
      <c r="I1330" s="6" t="s">
        <v>111</v>
      </c>
      <c r="J1330" s="3">
        <v>4</v>
      </c>
      <c r="K1330" s="3">
        <v>4</v>
      </c>
      <c r="L1330" s="3">
        <v>23.47</v>
      </c>
      <c r="M1330" s="3">
        <v>8</v>
      </c>
      <c r="N1330" s="3">
        <v>4.1500000000000004</v>
      </c>
      <c r="O1330" s="3"/>
      <c r="P1330" s="3"/>
      <c r="Q1330" s="3"/>
      <c r="R1330" s="3" t="s">
        <v>1552</v>
      </c>
      <c r="S1330" s="3" t="s">
        <v>725</v>
      </c>
      <c r="T1330" s="3">
        <v>2.5</v>
      </c>
      <c r="U1330" s="3">
        <v>25</v>
      </c>
      <c r="V1330" s="3">
        <v>30</v>
      </c>
      <c r="W1330" s="3">
        <v>140</v>
      </c>
      <c r="X1330" s="3" t="s">
        <v>1849</v>
      </c>
      <c r="Y1330" s="6" t="s">
        <v>1850</v>
      </c>
    </row>
    <row r="1331" spans="1:25" ht="15" customHeight="1" x14ac:dyDescent="0.3">
      <c r="A1331" s="5">
        <v>45939</v>
      </c>
      <c r="B1331" s="25">
        <v>28</v>
      </c>
      <c r="C1331" s="3" t="s">
        <v>1839</v>
      </c>
      <c r="D1331" s="3" t="s">
        <v>545</v>
      </c>
      <c r="E1331" s="3">
        <v>2</v>
      </c>
      <c r="F1331" s="3">
        <v>209</v>
      </c>
      <c r="G1331" s="6" t="s">
        <v>996</v>
      </c>
      <c r="H1331" s="3" t="s">
        <v>1730</v>
      </c>
      <c r="I1331" s="6" t="s">
        <v>111</v>
      </c>
      <c r="J1331" s="3">
        <v>4</v>
      </c>
      <c r="K1331" s="3">
        <v>3</v>
      </c>
      <c r="L1331" s="3">
        <v>28.4</v>
      </c>
      <c r="M1331" s="3">
        <v>12</v>
      </c>
      <c r="N1331" s="3">
        <v>3</v>
      </c>
      <c r="O1331" s="3"/>
      <c r="P1331" s="3"/>
      <c r="Q1331" s="3"/>
      <c r="R1331" s="3" t="s">
        <v>1851</v>
      </c>
      <c r="S1331" s="3" t="s">
        <v>1584</v>
      </c>
      <c r="T1331" s="3">
        <v>2</v>
      </c>
      <c r="U1331" s="3">
        <v>10</v>
      </c>
      <c r="V1331" s="3">
        <v>20</v>
      </c>
      <c r="W1331" s="3">
        <v>170</v>
      </c>
      <c r="X1331" s="3" t="s">
        <v>1747</v>
      </c>
      <c r="Y1331" s="6" t="s">
        <v>1852</v>
      </c>
    </row>
    <row r="1332" spans="1:25" ht="15" customHeight="1" x14ac:dyDescent="0.3">
      <c r="A1332" s="5">
        <v>45939</v>
      </c>
      <c r="B1332" s="25">
        <v>28</v>
      </c>
      <c r="C1332" s="3" t="s">
        <v>1839</v>
      </c>
      <c r="D1332" s="3" t="s">
        <v>545</v>
      </c>
      <c r="E1332" s="3">
        <v>2</v>
      </c>
      <c r="F1332" s="3">
        <v>210</v>
      </c>
      <c r="G1332" s="6" t="s">
        <v>412</v>
      </c>
      <c r="H1332" s="3" t="s">
        <v>1841</v>
      </c>
      <c r="I1332" s="6" t="s">
        <v>111</v>
      </c>
      <c r="J1332" s="3">
        <v>4</v>
      </c>
      <c r="K1332" s="3">
        <v>4</v>
      </c>
      <c r="L1332" s="3">
        <v>21.1</v>
      </c>
      <c r="M1332" s="3">
        <v>7</v>
      </c>
      <c r="N1332" s="3">
        <v>4</v>
      </c>
      <c r="O1332" s="3"/>
      <c r="P1332" s="3"/>
      <c r="Q1332" s="3"/>
      <c r="R1332" s="3" t="s">
        <v>1033</v>
      </c>
      <c r="S1332" s="3" t="s">
        <v>387</v>
      </c>
      <c r="T1332" s="3">
        <v>1</v>
      </c>
      <c r="U1332" s="3">
        <v>25</v>
      </c>
      <c r="V1332" s="3">
        <v>35</v>
      </c>
      <c r="W1332" s="3">
        <v>101</v>
      </c>
      <c r="X1332" s="3" t="s">
        <v>1836</v>
      </c>
      <c r="Y1332" s="6" t="s">
        <v>1853</v>
      </c>
    </row>
    <row r="1333" spans="1:25" ht="15" customHeight="1" x14ac:dyDescent="0.3">
      <c r="A1333" s="5">
        <v>45939</v>
      </c>
      <c r="B1333" s="25">
        <v>28</v>
      </c>
      <c r="C1333" s="3" t="s">
        <v>1839</v>
      </c>
      <c r="D1333" s="3" t="s">
        <v>545</v>
      </c>
      <c r="E1333" s="3">
        <v>2</v>
      </c>
      <c r="F1333" s="3">
        <v>303</v>
      </c>
      <c r="G1333" s="6" t="s">
        <v>32</v>
      </c>
      <c r="H1333" s="3" t="s">
        <v>238</v>
      </c>
      <c r="I1333" s="6" t="s">
        <v>793</v>
      </c>
      <c r="J1333" s="3">
        <v>12</v>
      </c>
      <c r="K1333" s="3">
        <v>7</v>
      </c>
      <c r="L1333" s="3">
        <v>45</v>
      </c>
      <c r="M1333" s="3">
        <v>22</v>
      </c>
      <c r="N1333" s="3">
        <v>8</v>
      </c>
      <c r="O1333" s="3"/>
      <c r="P1333" s="3"/>
      <c r="Q1333" s="3"/>
      <c r="R1333" s="3" t="s">
        <v>1053</v>
      </c>
      <c r="S1333" s="3" t="s">
        <v>1854</v>
      </c>
      <c r="T1333" s="3">
        <v>2.5</v>
      </c>
      <c r="U1333" s="3">
        <v>20</v>
      </c>
      <c r="V1333" s="3">
        <v>45</v>
      </c>
      <c r="W1333" s="3">
        <v>140</v>
      </c>
      <c r="X1333" s="3" t="s">
        <v>1855</v>
      </c>
      <c r="Y1333" s="6" t="s">
        <v>1856</v>
      </c>
    </row>
    <row r="1334" spans="1:25" ht="15" customHeight="1" x14ac:dyDescent="0.3">
      <c r="A1334" s="5">
        <v>45939</v>
      </c>
      <c r="B1334" s="25">
        <v>28</v>
      </c>
      <c r="C1334" s="3" t="s">
        <v>1839</v>
      </c>
      <c r="D1334" s="3" t="s">
        <v>545</v>
      </c>
      <c r="E1334" s="3">
        <v>2</v>
      </c>
      <c r="F1334" s="3">
        <v>501</v>
      </c>
      <c r="G1334" s="6" t="s">
        <v>1878</v>
      </c>
      <c r="H1334" s="3" t="s">
        <v>1879</v>
      </c>
      <c r="I1334" s="6" t="s">
        <v>110</v>
      </c>
      <c r="J1334" s="3">
        <v>6</v>
      </c>
      <c r="K1334" s="3">
        <v>6</v>
      </c>
      <c r="L1334" s="3">
        <v>16.12</v>
      </c>
      <c r="M1334" s="3"/>
      <c r="N1334" s="3"/>
      <c r="O1334" s="3">
        <v>9</v>
      </c>
      <c r="P1334" s="3"/>
      <c r="Q1334" s="3"/>
      <c r="R1334" s="3"/>
      <c r="S1334" s="3"/>
      <c r="T1334" s="3"/>
      <c r="U1334" s="3"/>
      <c r="V1334" s="3"/>
      <c r="W1334" s="3"/>
      <c r="X1334" s="3" t="s">
        <v>1859</v>
      </c>
      <c r="Y1334" s="6"/>
    </row>
    <row r="1335" spans="1:25" ht="15" customHeight="1" x14ac:dyDescent="0.3">
      <c r="A1335" s="5">
        <v>45940</v>
      </c>
      <c r="B1335" s="25">
        <v>28</v>
      </c>
      <c r="C1335" s="3" t="s">
        <v>1839</v>
      </c>
      <c r="D1335" s="3" t="s">
        <v>545</v>
      </c>
      <c r="E1335" s="3">
        <v>2</v>
      </c>
      <c r="F1335" s="3">
        <v>203</v>
      </c>
      <c r="G1335" s="6" t="s">
        <v>23</v>
      </c>
      <c r="H1335" s="3" t="s">
        <v>1256</v>
      </c>
      <c r="I1335" s="6" t="s">
        <v>111</v>
      </c>
      <c r="J1335" s="3">
        <v>8</v>
      </c>
      <c r="K1335" s="3">
        <v>7</v>
      </c>
      <c r="L1335" s="3">
        <v>17</v>
      </c>
      <c r="M1335" s="3">
        <v>5</v>
      </c>
      <c r="N1335" s="3">
        <v>4</v>
      </c>
      <c r="O1335" s="3"/>
      <c r="P1335" s="3"/>
      <c r="Q1335" s="3"/>
      <c r="R1335" s="3" t="s">
        <v>318</v>
      </c>
      <c r="S1335" s="3" t="s">
        <v>606</v>
      </c>
      <c r="T1335" s="3">
        <v>1</v>
      </c>
      <c r="U1335" s="3">
        <v>15</v>
      </c>
      <c r="V1335" s="3">
        <v>20</v>
      </c>
      <c r="W1335" s="3">
        <v>95</v>
      </c>
      <c r="X1335" s="3" t="s">
        <v>1846</v>
      </c>
      <c r="Y1335" s="6" t="s">
        <v>1868</v>
      </c>
    </row>
    <row r="1336" spans="1:25" ht="15" customHeight="1" x14ac:dyDescent="0.3">
      <c r="A1336" s="5">
        <v>45940</v>
      </c>
      <c r="B1336" s="25">
        <v>28</v>
      </c>
      <c r="C1336" s="3" t="s">
        <v>1839</v>
      </c>
      <c r="D1336" s="3" t="s">
        <v>545</v>
      </c>
      <c r="E1336" s="3">
        <v>2</v>
      </c>
      <c r="F1336" s="3">
        <v>204</v>
      </c>
      <c r="G1336" s="6" t="s">
        <v>338</v>
      </c>
      <c r="H1336" s="3" t="s">
        <v>1860</v>
      </c>
      <c r="I1336" s="6" t="s">
        <v>111</v>
      </c>
      <c r="J1336" s="3">
        <v>4</v>
      </c>
      <c r="K1336" s="3">
        <v>3</v>
      </c>
      <c r="L1336" s="3">
        <v>18</v>
      </c>
      <c r="M1336" s="3">
        <v>5</v>
      </c>
      <c r="N1336" s="3">
        <v>3.5</v>
      </c>
      <c r="O1336" s="3"/>
      <c r="P1336" s="3"/>
      <c r="Q1336" s="3"/>
      <c r="R1336" s="3" t="s">
        <v>637</v>
      </c>
      <c r="S1336" s="3" t="s">
        <v>243</v>
      </c>
      <c r="T1336" s="3">
        <v>1</v>
      </c>
      <c r="U1336" s="3">
        <v>15</v>
      </c>
      <c r="V1336" s="3">
        <v>20</v>
      </c>
      <c r="W1336" s="3">
        <v>140</v>
      </c>
      <c r="X1336" s="3" t="s">
        <v>1869</v>
      </c>
      <c r="Y1336" s="6"/>
    </row>
    <row r="1337" spans="1:25" ht="15" customHeight="1" x14ac:dyDescent="0.3">
      <c r="A1337" s="5">
        <v>45940</v>
      </c>
      <c r="B1337" s="25">
        <v>28</v>
      </c>
      <c r="C1337" s="3" t="s">
        <v>1839</v>
      </c>
      <c r="D1337" s="3" t="s">
        <v>545</v>
      </c>
      <c r="E1337" s="3">
        <v>2</v>
      </c>
      <c r="F1337" s="3">
        <v>205</v>
      </c>
      <c r="G1337" s="6" t="s">
        <v>1548</v>
      </c>
      <c r="H1337" s="3" t="s">
        <v>1703</v>
      </c>
      <c r="I1337" s="6" t="s">
        <v>111</v>
      </c>
      <c r="J1337" s="3">
        <v>12</v>
      </c>
      <c r="K1337" s="3">
        <v>9</v>
      </c>
      <c r="L1337" s="3">
        <v>22.4</v>
      </c>
      <c r="M1337" s="3">
        <v>11</v>
      </c>
      <c r="N1337" s="3">
        <v>3</v>
      </c>
      <c r="O1337" s="3"/>
      <c r="P1337" s="3"/>
      <c r="Q1337" s="3"/>
      <c r="R1337" s="3" t="s">
        <v>386</v>
      </c>
      <c r="S1337" s="3" t="s">
        <v>284</v>
      </c>
      <c r="T1337" s="3">
        <v>1</v>
      </c>
      <c r="U1337" s="3">
        <v>20</v>
      </c>
      <c r="V1337" s="3">
        <v>25</v>
      </c>
      <c r="W1337" s="3">
        <v>90</v>
      </c>
      <c r="X1337" s="3" t="s">
        <v>1613</v>
      </c>
      <c r="Y1337" s="6"/>
    </row>
    <row r="1338" spans="1:25" ht="15" customHeight="1" x14ac:dyDescent="0.3">
      <c r="A1338" s="5">
        <v>45940</v>
      </c>
      <c r="B1338" s="25">
        <v>28</v>
      </c>
      <c r="C1338" s="3" t="s">
        <v>1839</v>
      </c>
      <c r="D1338" s="3" t="s">
        <v>545</v>
      </c>
      <c r="E1338" s="3">
        <v>2</v>
      </c>
      <c r="F1338" s="3">
        <v>210</v>
      </c>
      <c r="G1338" s="6" t="s">
        <v>1861</v>
      </c>
      <c r="H1338" s="3" t="s">
        <v>1862</v>
      </c>
      <c r="I1338" s="6" t="s">
        <v>111</v>
      </c>
      <c r="J1338" s="3">
        <v>4</v>
      </c>
      <c r="K1338" s="3">
        <v>4</v>
      </c>
      <c r="L1338" s="3">
        <v>21</v>
      </c>
      <c r="M1338" s="3">
        <v>7</v>
      </c>
      <c r="N1338" s="3">
        <v>4</v>
      </c>
      <c r="O1338" s="3"/>
      <c r="P1338" s="3"/>
      <c r="Q1338" s="3"/>
      <c r="R1338" s="3" t="s">
        <v>1033</v>
      </c>
      <c r="S1338" s="3" t="s">
        <v>387</v>
      </c>
      <c r="T1338" s="3">
        <v>1</v>
      </c>
      <c r="U1338" s="3">
        <v>25</v>
      </c>
      <c r="V1338" s="3">
        <v>35</v>
      </c>
      <c r="W1338" s="3">
        <v>101</v>
      </c>
      <c r="X1338" s="3" t="s">
        <v>1870</v>
      </c>
      <c r="Y1338" s="6" t="s">
        <v>1871</v>
      </c>
    </row>
    <row r="1339" spans="1:25" ht="15" customHeight="1" x14ac:dyDescent="0.3">
      <c r="A1339" s="5">
        <v>45940</v>
      </c>
      <c r="B1339" s="25">
        <v>28</v>
      </c>
      <c r="C1339" s="3" t="s">
        <v>1839</v>
      </c>
      <c r="D1339" s="3" t="s">
        <v>545</v>
      </c>
      <c r="E1339" s="3">
        <v>2</v>
      </c>
      <c r="F1339" s="3">
        <v>303</v>
      </c>
      <c r="G1339" s="6" t="s">
        <v>32</v>
      </c>
      <c r="H1339" s="3" t="s">
        <v>238</v>
      </c>
      <c r="I1339" s="6" t="s">
        <v>793</v>
      </c>
      <c r="J1339" s="3">
        <v>12</v>
      </c>
      <c r="K1339" s="3">
        <v>7</v>
      </c>
      <c r="L1339" s="3">
        <v>43.5</v>
      </c>
      <c r="M1339" s="3">
        <v>22</v>
      </c>
      <c r="N1339" s="3">
        <v>8</v>
      </c>
      <c r="O1339" s="3"/>
      <c r="P1339" s="3"/>
      <c r="Q1339" s="3"/>
      <c r="R1339" s="3" t="s">
        <v>1053</v>
      </c>
      <c r="S1339" s="3" t="s">
        <v>1854</v>
      </c>
      <c r="T1339" s="3">
        <v>2.5</v>
      </c>
      <c r="U1339" s="3">
        <v>20</v>
      </c>
      <c r="V1339" s="3">
        <v>40</v>
      </c>
      <c r="W1339" s="3">
        <v>140</v>
      </c>
      <c r="X1339" s="3" t="s">
        <v>1591</v>
      </c>
      <c r="Y1339" s="6" t="s">
        <v>1872</v>
      </c>
    </row>
    <row r="1340" spans="1:25" ht="15" customHeight="1" x14ac:dyDescent="0.3">
      <c r="A1340" s="5">
        <v>45940</v>
      </c>
      <c r="B1340" s="25">
        <v>28</v>
      </c>
      <c r="C1340" s="3" t="s">
        <v>1839</v>
      </c>
      <c r="D1340" s="3" t="s">
        <v>545</v>
      </c>
      <c r="E1340" s="3">
        <v>2</v>
      </c>
      <c r="F1340" s="3">
        <v>501</v>
      </c>
      <c r="G1340" s="6" t="s">
        <v>1863</v>
      </c>
      <c r="H1340" s="3" t="s">
        <v>1864</v>
      </c>
      <c r="I1340" s="6" t="s">
        <v>110</v>
      </c>
      <c r="J1340" s="3">
        <v>6</v>
      </c>
      <c r="K1340" s="3">
        <v>6</v>
      </c>
      <c r="L1340" s="3">
        <v>16.02</v>
      </c>
      <c r="M1340" s="3"/>
      <c r="N1340" s="3"/>
      <c r="O1340" s="3">
        <v>9</v>
      </c>
      <c r="P1340" s="3"/>
      <c r="Q1340" s="3"/>
      <c r="R1340" s="3"/>
      <c r="S1340" s="3"/>
      <c r="T1340" s="3"/>
      <c r="U1340" s="3"/>
      <c r="V1340" s="3"/>
      <c r="W1340" s="3"/>
      <c r="X1340" s="3" t="s">
        <v>1873</v>
      </c>
      <c r="Y1340" s="6"/>
    </row>
    <row r="1341" spans="1:25" ht="15" customHeight="1" x14ac:dyDescent="0.3">
      <c r="A1341" s="5">
        <v>45940</v>
      </c>
      <c r="B1341" s="25">
        <v>28</v>
      </c>
      <c r="C1341" s="3" t="s">
        <v>1839</v>
      </c>
      <c r="D1341" s="3" t="s">
        <v>545</v>
      </c>
      <c r="E1341" s="3">
        <v>2</v>
      </c>
      <c r="F1341" s="3">
        <v>404</v>
      </c>
      <c r="G1341" s="6" t="s">
        <v>1865</v>
      </c>
      <c r="H1341" s="3" t="s">
        <v>1866</v>
      </c>
      <c r="I1341" s="6" t="s">
        <v>793</v>
      </c>
      <c r="J1341" s="3">
        <v>2</v>
      </c>
      <c r="K1341" s="3">
        <v>2</v>
      </c>
      <c r="L1341" s="3">
        <v>7</v>
      </c>
      <c r="M1341" s="3"/>
      <c r="N1341" s="3"/>
      <c r="O1341" s="3">
        <v>2.5</v>
      </c>
      <c r="P1341" s="3"/>
      <c r="Q1341" s="3"/>
      <c r="R1341" s="3" t="s">
        <v>1874</v>
      </c>
      <c r="S1341" s="3"/>
      <c r="T1341" s="3"/>
      <c r="U1341" s="3"/>
      <c r="V1341" s="3"/>
      <c r="W1341" s="3"/>
      <c r="X1341" s="3"/>
      <c r="Y1341" s="6"/>
    </row>
    <row r="1342" spans="1:25" ht="15" customHeight="1" x14ac:dyDescent="0.3">
      <c r="A1342" s="5">
        <v>45940</v>
      </c>
      <c r="B1342" s="25">
        <v>28</v>
      </c>
      <c r="C1342" s="3" t="s">
        <v>1839</v>
      </c>
      <c r="D1342" s="3" t="s">
        <v>545</v>
      </c>
      <c r="E1342" s="3">
        <v>2</v>
      </c>
      <c r="F1342" s="3">
        <v>405</v>
      </c>
      <c r="G1342" s="6" t="s">
        <v>14</v>
      </c>
      <c r="H1342" s="3" t="s">
        <v>1867</v>
      </c>
      <c r="I1342" s="6" t="s">
        <v>1024</v>
      </c>
      <c r="J1342" s="3">
        <v>2</v>
      </c>
      <c r="K1342" s="3">
        <v>2</v>
      </c>
      <c r="L1342" s="3">
        <v>8.6</v>
      </c>
      <c r="M1342" s="3"/>
      <c r="N1342" s="3"/>
      <c r="O1342" s="3">
        <v>3</v>
      </c>
      <c r="P1342" s="3"/>
      <c r="Q1342" s="3"/>
      <c r="R1342" s="3" t="s">
        <v>1875</v>
      </c>
      <c r="S1342" s="3"/>
      <c r="T1342" s="3"/>
      <c r="U1342" s="3"/>
      <c r="V1342" s="3"/>
      <c r="W1342" s="3"/>
      <c r="X1342" s="3"/>
      <c r="Y1342" s="6"/>
    </row>
    <row r="1343" spans="1:25" ht="15" customHeight="1" x14ac:dyDescent="0.3">
      <c r="A1343" s="5">
        <v>45941</v>
      </c>
      <c r="B1343" s="25">
        <v>28</v>
      </c>
      <c r="C1343" s="3" t="s">
        <v>1839</v>
      </c>
      <c r="D1343" s="3" t="s">
        <v>545</v>
      </c>
      <c r="E1343" s="3">
        <v>2</v>
      </c>
      <c r="F1343" s="3">
        <v>401</v>
      </c>
      <c r="G1343" s="6" t="s">
        <v>1880</v>
      </c>
      <c r="H1343" s="3" t="s">
        <v>1881</v>
      </c>
      <c r="I1343" s="6" t="s">
        <v>793</v>
      </c>
      <c r="J1343" s="3">
        <v>1</v>
      </c>
      <c r="K1343" s="3">
        <v>1</v>
      </c>
      <c r="L1343" s="3">
        <v>8.3000000000000007</v>
      </c>
      <c r="M1343" s="3"/>
      <c r="N1343" s="3"/>
      <c r="O1343" s="3">
        <v>2</v>
      </c>
      <c r="P1343" s="3"/>
      <c r="Q1343" s="3"/>
      <c r="R1343" s="3"/>
      <c r="S1343" s="3"/>
      <c r="T1343" s="3"/>
      <c r="U1343" s="3"/>
      <c r="V1343" s="3"/>
      <c r="W1343" s="3"/>
      <c r="X1343" s="3" t="s">
        <v>1883</v>
      </c>
      <c r="Y1343" s="6"/>
    </row>
    <row r="1344" spans="1:25" ht="15" customHeight="1" x14ac:dyDescent="0.3">
      <c r="A1344" s="5">
        <v>45941</v>
      </c>
      <c r="B1344" s="25">
        <v>28</v>
      </c>
      <c r="C1344" s="3" t="s">
        <v>1839</v>
      </c>
      <c r="D1344" s="3" t="s">
        <v>545</v>
      </c>
      <c r="E1344" s="3">
        <v>2</v>
      </c>
      <c r="F1344" s="3">
        <v>405</v>
      </c>
      <c r="G1344" s="6" t="s">
        <v>14</v>
      </c>
      <c r="H1344" s="3" t="s">
        <v>1867</v>
      </c>
      <c r="I1344" s="6" t="s">
        <v>1024</v>
      </c>
      <c r="J1344" s="3">
        <v>2</v>
      </c>
      <c r="K1344" s="3">
        <v>2</v>
      </c>
      <c r="L1344" s="3">
        <v>9.6</v>
      </c>
      <c r="M1344" s="3"/>
      <c r="N1344" s="3"/>
      <c r="O1344" s="3">
        <v>3</v>
      </c>
      <c r="P1344" s="3"/>
      <c r="Q1344" s="3"/>
      <c r="R1344" s="3"/>
      <c r="S1344" s="3"/>
      <c r="T1344" s="3"/>
      <c r="U1344" s="3"/>
      <c r="V1344" s="3"/>
      <c r="W1344" s="3"/>
      <c r="X1344" s="3" t="s">
        <v>1884</v>
      </c>
      <c r="Y1344" s="6"/>
    </row>
    <row r="1345" spans="1:25" ht="15" customHeight="1" x14ac:dyDescent="0.3">
      <c r="A1345" s="5">
        <v>45941</v>
      </c>
      <c r="B1345" s="25">
        <v>28</v>
      </c>
      <c r="C1345" s="3" t="s">
        <v>1839</v>
      </c>
      <c r="D1345" s="3" t="s">
        <v>545</v>
      </c>
      <c r="E1345" s="3">
        <v>2</v>
      </c>
      <c r="F1345" s="3">
        <v>203</v>
      </c>
      <c r="G1345" s="6" t="s">
        <v>23</v>
      </c>
      <c r="H1345" s="3" t="s">
        <v>1882</v>
      </c>
      <c r="I1345" s="6" t="s">
        <v>111</v>
      </c>
      <c r="J1345" s="3">
        <v>8</v>
      </c>
      <c r="K1345" s="3">
        <v>7</v>
      </c>
      <c r="L1345" s="3">
        <v>16.899999999999999</v>
      </c>
      <c r="M1345" s="3">
        <v>5</v>
      </c>
      <c r="N1345" s="3">
        <v>4</v>
      </c>
      <c r="O1345" s="3"/>
      <c r="P1345" s="3"/>
      <c r="Q1345" s="3"/>
      <c r="R1345" s="3" t="s">
        <v>318</v>
      </c>
      <c r="S1345" s="3" t="s">
        <v>606</v>
      </c>
      <c r="T1345" s="3">
        <v>1</v>
      </c>
      <c r="U1345" s="3">
        <v>15</v>
      </c>
      <c r="V1345" s="3">
        <v>20</v>
      </c>
      <c r="W1345" s="3">
        <v>95</v>
      </c>
      <c r="X1345" s="3" t="s">
        <v>1846</v>
      </c>
      <c r="Y1345" s="6" t="s">
        <v>1885</v>
      </c>
    </row>
    <row r="1346" spans="1:25" ht="15" customHeight="1" x14ac:dyDescent="0.3">
      <c r="A1346" s="5">
        <v>45941</v>
      </c>
      <c r="B1346" s="25">
        <v>28</v>
      </c>
      <c r="C1346" s="3" t="s">
        <v>1839</v>
      </c>
      <c r="D1346" s="3" t="s">
        <v>545</v>
      </c>
      <c r="E1346" s="3">
        <v>2</v>
      </c>
      <c r="F1346" s="3">
        <v>204</v>
      </c>
      <c r="G1346" s="6" t="s">
        <v>338</v>
      </c>
      <c r="H1346" s="3" t="s">
        <v>1860</v>
      </c>
      <c r="I1346" s="6" t="s">
        <v>111</v>
      </c>
      <c r="J1346" s="3">
        <v>4</v>
      </c>
      <c r="K1346" s="3">
        <v>3</v>
      </c>
      <c r="L1346" s="3">
        <v>18</v>
      </c>
      <c r="M1346" s="3">
        <v>5</v>
      </c>
      <c r="N1346" s="3">
        <v>3.5</v>
      </c>
      <c r="O1346" s="3"/>
      <c r="P1346" s="3"/>
      <c r="Q1346" s="3"/>
      <c r="R1346" s="3" t="s">
        <v>65</v>
      </c>
      <c r="S1346" s="3" t="s">
        <v>487</v>
      </c>
      <c r="T1346" s="3">
        <v>1</v>
      </c>
      <c r="U1346" s="3">
        <v>15</v>
      </c>
      <c r="V1346" s="3">
        <v>20</v>
      </c>
      <c r="W1346" s="3">
        <v>140</v>
      </c>
      <c r="X1346" s="3" t="s">
        <v>1848</v>
      </c>
      <c r="Y1346" s="6"/>
    </row>
    <row r="1347" spans="1:25" ht="15" customHeight="1" x14ac:dyDescent="0.3">
      <c r="A1347" s="5">
        <v>45941</v>
      </c>
      <c r="B1347" s="25">
        <v>28</v>
      </c>
      <c r="C1347" s="3" t="s">
        <v>1839</v>
      </c>
      <c r="D1347" s="3" t="s">
        <v>545</v>
      </c>
      <c r="E1347" s="3">
        <v>2</v>
      </c>
      <c r="F1347" s="3">
        <v>205</v>
      </c>
      <c r="G1347" s="6" t="s">
        <v>1548</v>
      </c>
      <c r="H1347" s="3" t="s">
        <v>1703</v>
      </c>
      <c r="I1347" s="6" t="s">
        <v>111</v>
      </c>
      <c r="J1347" s="3">
        <v>12</v>
      </c>
      <c r="K1347" s="3">
        <v>9</v>
      </c>
      <c r="L1347" s="3">
        <v>22.9</v>
      </c>
      <c r="M1347" s="3">
        <v>11</v>
      </c>
      <c r="N1347" s="3">
        <v>3</v>
      </c>
      <c r="O1347" s="3"/>
      <c r="P1347" s="3"/>
      <c r="Q1347" s="3"/>
      <c r="R1347" s="3" t="s">
        <v>386</v>
      </c>
      <c r="S1347" s="3" t="s">
        <v>284</v>
      </c>
      <c r="T1347" s="3">
        <v>1</v>
      </c>
      <c r="U1347" s="3">
        <v>20</v>
      </c>
      <c r="V1347" s="3">
        <v>25</v>
      </c>
      <c r="W1347" s="3">
        <v>90</v>
      </c>
      <c r="X1347" s="3" t="s">
        <v>1613</v>
      </c>
      <c r="Y1347" s="6"/>
    </row>
    <row r="1348" spans="1:25" ht="15" customHeight="1" x14ac:dyDescent="0.3">
      <c r="A1348" s="5">
        <v>45941</v>
      </c>
      <c r="B1348" s="25">
        <v>28</v>
      </c>
      <c r="C1348" s="3" t="s">
        <v>1839</v>
      </c>
      <c r="D1348" s="3" t="s">
        <v>545</v>
      </c>
      <c r="E1348" s="3">
        <v>2</v>
      </c>
      <c r="F1348" s="3">
        <v>206</v>
      </c>
      <c r="G1348" s="6" t="s">
        <v>1876</v>
      </c>
      <c r="H1348" s="3" t="s">
        <v>1877</v>
      </c>
      <c r="I1348" s="6" t="s">
        <v>111</v>
      </c>
      <c r="J1348" s="3">
        <v>4</v>
      </c>
      <c r="K1348" s="3">
        <v>3</v>
      </c>
      <c r="L1348" s="3">
        <v>19.899999999999999</v>
      </c>
      <c r="M1348" s="3">
        <v>7</v>
      </c>
      <c r="N1348" s="3">
        <v>3</v>
      </c>
      <c r="O1348" s="3"/>
      <c r="P1348" s="3"/>
      <c r="Q1348" s="3"/>
      <c r="R1348" s="3" t="s">
        <v>1886</v>
      </c>
      <c r="S1348" s="3" t="s">
        <v>487</v>
      </c>
      <c r="T1348" s="3">
        <v>2.5</v>
      </c>
      <c r="U1348" s="3">
        <v>25</v>
      </c>
      <c r="V1348" s="3">
        <v>30</v>
      </c>
      <c r="W1348" s="3">
        <v>140</v>
      </c>
      <c r="X1348" s="3" t="s">
        <v>1887</v>
      </c>
      <c r="Y1348" s="6" t="s">
        <v>1888</v>
      </c>
    </row>
    <row r="1349" spans="1:25" ht="15" customHeight="1" x14ac:dyDescent="0.3">
      <c r="A1349" s="5">
        <v>45941</v>
      </c>
      <c r="B1349" s="25">
        <v>28</v>
      </c>
      <c r="C1349" s="3" t="s">
        <v>1839</v>
      </c>
      <c r="D1349" s="3" t="s">
        <v>545</v>
      </c>
      <c r="E1349" s="3">
        <v>2</v>
      </c>
      <c r="F1349" s="3">
        <v>207</v>
      </c>
      <c r="G1349" s="6" t="s">
        <v>476</v>
      </c>
      <c r="H1349" s="3" t="s">
        <v>1729</v>
      </c>
      <c r="I1349" s="6" t="s">
        <v>111</v>
      </c>
      <c r="J1349" s="3">
        <v>12</v>
      </c>
      <c r="K1349" s="3">
        <v>9</v>
      </c>
      <c r="L1349" s="3">
        <v>27</v>
      </c>
      <c r="M1349" s="3">
        <v>10</v>
      </c>
      <c r="N1349" s="3">
        <v>2.85</v>
      </c>
      <c r="O1349" s="3"/>
      <c r="P1349" s="3"/>
      <c r="Q1349" s="3"/>
      <c r="R1349" s="3" t="s">
        <v>135</v>
      </c>
      <c r="S1349" s="3" t="s">
        <v>523</v>
      </c>
      <c r="T1349" s="3">
        <v>1.25</v>
      </c>
      <c r="U1349" s="3">
        <v>15</v>
      </c>
      <c r="V1349" s="3">
        <v>20</v>
      </c>
      <c r="W1349" s="3">
        <v>100</v>
      </c>
      <c r="X1349" s="3" t="s">
        <v>1660</v>
      </c>
      <c r="Y1349" s="6" t="s">
        <v>1889</v>
      </c>
    </row>
    <row r="1350" spans="1:25" ht="15" customHeight="1" x14ac:dyDescent="0.3">
      <c r="A1350" s="5">
        <v>45941</v>
      </c>
      <c r="B1350" s="25">
        <v>28</v>
      </c>
      <c r="C1350" s="3" t="s">
        <v>1839</v>
      </c>
      <c r="D1350" s="3" t="s">
        <v>545</v>
      </c>
      <c r="E1350" s="3">
        <v>2</v>
      </c>
      <c r="F1350" s="3">
        <v>209</v>
      </c>
      <c r="G1350" s="6" t="s">
        <v>996</v>
      </c>
      <c r="H1350" s="3" t="s">
        <v>1730</v>
      </c>
      <c r="I1350" s="6" t="s">
        <v>111</v>
      </c>
      <c r="J1350" s="3">
        <v>4</v>
      </c>
      <c r="K1350" s="3">
        <v>3</v>
      </c>
      <c r="L1350" s="3">
        <v>28.3</v>
      </c>
      <c r="M1350" s="3">
        <v>15</v>
      </c>
      <c r="N1350" s="3">
        <v>3</v>
      </c>
      <c r="O1350" s="3"/>
      <c r="P1350" s="3"/>
      <c r="Q1350" s="3"/>
      <c r="R1350" s="3" t="s">
        <v>1851</v>
      </c>
      <c r="S1350" s="3" t="s">
        <v>1584</v>
      </c>
      <c r="T1350" s="3">
        <v>2</v>
      </c>
      <c r="U1350" s="3">
        <v>10</v>
      </c>
      <c r="V1350" s="3">
        <v>20</v>
      </c>
      <c r="W1350" s="3">
        <v>170</v>
      </c>
      <c r="X1350" s="3" t="s">
        <v>1747</v>
      </c>
      <c r="Y1350" s="6" t="s">
        <v>1852</v>
      </c>
    </row>
    <row r="1351" spans="1:25" ht="15" customHeight="1" x14ac:dyDescent="0.3">
      <c r="A1351" s="5">
        <v>45941</v>
      </c>
      <c r="B1351" s="25">
        <v>28</v>
      </c>
      <c r="C1351" s="3" t="s">
        <v>1839</v>
      </c>
      <c r="D1351" s="3" t="s">
        <v>545</v>
      </c>
      <c r="E1351" s="3">
        <v>2</v>
      </c>
      <c r="F1351" s="3">
        <v>210</v>
      </c>
      <c r="G1351" s="6" t="s">
        <v>1861</v>
      </c>
      <c r="H1351" s="3" t="s">
        <v>1862</v>
      </c>
      <c r="I1351" s="6" t="s">
        <v>111</v>
      </c>
      <c r="J1351" s="3">
        <v>4</v>
      </c>
      <c r="K1351" s="3">
        <v>3</v>
      </c>
      <c r="L1351" s="3">
        <v>22.2</v>
      </c>
      <c r="M1351" s="3">
        <v>8</v>
      </c>
      <c r="N1351" s="3">
        <v>4</v>
      </c>
      <c r="O1351" s="3"/>
      <c r="P1351" s="3"/>
      <c r="Q1351" s="3"/>
      <c r="R1351" s="3" t="s">
        <v>1161</v>
      </c>
      <c r="S1351" s="3" t="s">
        <v>917</v>
      </c>
      <c r="T1351" s="3">
        <v>1</v>
      </c>
      <c r="U1351" s="3">
        <v>25</v>
      </c>
      <c r="V1351" s="3">
        <v>35</v>
      </c>
      <c r="W1351" s="3">
        <v>101</v>
      </c>
      <c r="X1351" s="3" t="s">
        <v>1836</v>
      </c>
      <c r="Y1351" s="6" t="s">
        <v>1890</v>
      </c>
    </row>
    <row r="1352" spans="1:25" ht="15" customHeight="1" x14ac:dyDescent="0.3">
      <c r="A1352" s="5">
        <v>45941</v>
      </c>
      <c r="B1352" s="25">
        <v>28</v>
      </c>
      <c r="C1352" s="3" t="s">
        <v>1839</v>
      </c>
      <c r="D1352" s="3" t="s">
        <v>545</v>
      </c>
      <c r="E1352" s="3">
        <v>2</v>
      </c>
      <c r="F1352" s="3">
        <v>303</v>
      </c>
      <c r="G1352" s="6" t="s">
        <v>32</v>
      </c>
      <c r="H1352" s="3" t="s">
        <v>238</v>
      </c>
      <c r="I1352" s="6" t="s">
        <v>793</v>
      </c>
      <c r="J1352" s="3">
        <v>12</v>
      </c>
      <c r="K1352" s="3">
        <v>7</v>
      </c>
      <c r="L1352" s="3">
        <v>43.6</v>
      </c>
      <c r="M1352" s="3">
        <v>22</v>
      </c>
      <c r="N1352" s="3">
        <v>8</v>
      </c>
      <c r="O1352" s="3"/>
      <c r="P1352" s="3"/>
      <c r="Q1352" s="3"/>
      <c r="R1352" s="3" t="s">
        <v>203</v>
      </c>
      <c r="S1352" s="3" t="s">
        <v>67</v>
      </c>
      <c r="T1352" s="3">
        <v>45</v>
      </c>
      <c r="U1352" s="3">
        <v>20</v>
      </c>
      <c r="V1352" s="3">
        <v>45</v>
      </c>
      <c r="W1352" s="3">
        <v>140</v>
      </c>
      <c r="X1352" s="3" t="s">
        <v>1060</v>
      </c>
      <c r="Y1352" s="6" t="s">
        <v>1891</v>
      </c>
    </row>
    <row r="1353" spans="1:25" ht="15" customHeight="1" x14ac:dyDescent="0.3">
      <c r="A1353" s="5">
        <v>45943</v>
      </c>
      <c r="B1353" s="25">
        <v>28</v>
      </c>
      <c r="C1353" s="3" t="s">
        <v>1839</v>
      </c>
      <c r="D1353" s="3" t="s">
        <v>1892</v>
      </c>
      <c r="E1353" s="3">
        <v>2</v>
      </c>
      <c r="F1353" s="3">
        <v>401</v>
      </c>
      <c r="G1353" s="6" t="s">
        <v>844</v>
      </c>
      <c r="H1353" s="3">
        <v>19012</v>
      </c>
      <c r="I1353" s="6" t="s">
        <v>793</v>
      </c>
      <c r="J1353" s="3">
        <v>1</v>
      </c>
      <c r="K1353" s="3">
        <v>1</v>
      </c>
      <c r="L1353" s="3">
        <v>9.99</v>
      </c>
      <c r="M1353" s="3"/>
      <c r="N1353" s="3"/>
      <c r="O1353" s="3">
        <v>3</v>
      </c>
      <c r="P1353" s="3"/>
      <c r="Q1353" s="3"/>
      <c r="R1353" s="3"/>
      <c r="S1353" s="3"/>
      <c r="T1353" s="3"/>
      <c r="U1353" s="3"/>
      <c r="V1353" s="3"/>
      <c r="W1353" s="3"/>
      <c r="X1353" s="3" t="s">
        <v>1893</v>
      </c>
      <c r="Y1353" s="6"/>
    </row>
    <row r="1354" spans="1:25" ht="15" customHeight="1" x14ac:dyDescent="0.3">
      <c r="A1354" s="5">
        <v>45943</v>
      </c>
      <c r="B1354" s="25">
        <v>28</v>
      </c>
      <c r="C1354" s="3" t="s">
        <v>1839</v>
      </c>
      <c r="D1354" s="3" t="s">
        <v>1892</v>
      </c>
      <c r="E1354" s="3">
        <v>2</v>
      </c>
      <c r="F1354" s="3">
        <v>203</v>
      </c>
      <c r="G1354" s="6" t="s">
        <v>23</v>
      </c>
      <c r="H1354" s="3">
        <v>19005</v>
      </c>
      <c r="I1354" s="6" t="s">
        <v>111</v>
      </c>
      <c r="J1354" s="3">
        <v>8</v>
      </c>
      <c r="K1354" s="3">
        <v>7</v>
      </c>
      <c r="L1354" s="3">
        <v>16.899999999999999</v>
      </c>
      <c r="M1354" s="3">
        <v>5</v>
      </c>
      <c r="N1354" s="3">
        <v>4</v>
      </c>
      <c r="O1354" s="3"/>
      <c r="P1354" s="3"/>
      <c r="Q1354" s="3"/>
      <c r="R1354" s="3" t="s">
        <v>318</v>
      </c>
      <c r="S1354" s="3" t="s">
        <v>1132</v>
      </c>
      <c r="T1354" s="3">
        <v>1</v>
      </c>
      <c r="U1354" s="3">
        <v>15</v>
      </c>
      <c r="V1354" s="3">
        <v>20</v>
      </c>
      <c r="W1354" s="3">
        <v>95</v>
      </c>
      <c r="X1354" s="3" t="s">
        <v>1846</v>
      </c>
      <c r="Y1354" s="6" t="s">
        <v>1894</v>
      </c>
    </row>
    <row r="1355" spans="1:25" ht="15" customHeight="1" x14ac:dyDescent="0.3">
      <c r="A1355" s="5">
        <v>45943</v>
      </c>
      <c r="B1355" s="25">
        <v>28</v>
      </c>
      <c r="C1355" s="3" t="s">
        <v>1839</v>
      </c>
      <c r="D1355" s="3" t="s">
        <v>1892</v>
      </c>
      <c r="E1355" s="3">
        <v>2</v>
      </c>
      <c r="F1355" s="3">
        <v>204</v>
      </c>
      <c r="G1355" s="6" t="s">
        <v>338</v>
      </c>
      <c r="H1355" s="3">
        <v>18910</v>
      </c>
      <c r="I1355" s="6" t="s">
        <v>111</v>
      </c>
      <c r="J1355" s="3">
        <v>4</v>
      </c>
      <c r="K1355" s="3">
        <v>2</v>
      </c>
      <c r="L1355" s="3">
        <v>16.899999999999999</v>
      </c>
      <c r="M1355" s="3">
        <v>5</v>
      </c>
      <c r="N1355" s="3">
        <v>3</v>
      </c>
      <c r="O1355" s="3"/>
      <c r="P1355" s="3"/>
      <c r="Q1355" s="3"/>
      <c r="R1355" s="3" t="s">
        <v>573</v>
      </c>
      <c r="S1355" s="3" t="s">
        <v>318</v>
      </c>
      <c r="T1355" s="3">
        <v>1</v>
      </c>
      <c r="U1355" s="3">
        <v>15</v>
      </c>
      <c r="V1355" s="3">
        <v>20</v>
      </c>
      <c r="W1355" s="3">
        <v>140</v>
      </c>
      <c r="X1355" s="3" t="s">
        <v>1848</v>
      </c>
      <c r="Y1355" s="6"/>
    </row>
    <row r="1356" spans="1:25" ht="15" customHeight="1" x14ac:dyDescent="0.3">
      <c r="A1356" s="5">
        <v>45943</v>
      </c>
      <c r="B1356" s="25">
        <v>28</v>
      </c>
      <c r="C1356" s="3" t="s">
        <v>1839</v>
      </c>
      <c r="D1356" s="3" t="s">
        <v>1892</v>
      </c>
      <c r="E1356" s="3">
        <v>2</v>
      </c>
      <c r="F1356" s="3">
        <v>205</v>
      </c>
      <c r="G1356" s="6" t="s">
        <v>1548</v>
      </c>
      <c r="H1356" s="3">
        <v>18857</v>
      </c>
      <c r="I1356" s="6" t="s">
        <v>111</v>
      </c>
      <c r="J1356" s="3">
        <v>12</v>
      </c>
      <c r="K1356" s="3">
        <v>9</v>
      </c>
      <c r="L1356" s="3">
        <v>23.6</v>
      </c>
      <c r="M1356" s="3">
        <v>11</v>
      </c>
      <c r="N1356" s="3">
        <v>3</v>
      </c>
      <c r="O1356" s="3"/>
      <c r="P1356" s="3"/>
      <c r="Q1356" s="3"/>
      <c r="R1356" s="3" t="s">
        <v>135</v>
      </c>
      <c r="S1356" s="3" t="s">
        <v>244</v>
      </c>
      <c r="T1356" s="3">
        <v>1</v>
      </c>
      <c r="U1356" s="3">
        <v>20</v>
      </c>
      <c r="V1356" s="3">
        <v>25</v>
      </c>
      <c r="W1356" s="3">
        <v>90</v>
      </c>
      <c r="X1356" s="3" t="s">
        <v>1613</v>
      </c>
      <c r="Y1356" s="6"/>
    </row>
    <row r="1357" spans="1:25" ht="15" customHeight="1" x14ac:dyDescent="0.3">
      <c r="A1357" s="5">
        <v>45943</v>
      </c>
      <c r="B1357" s="25">
        <v>28</v>
      </c>
      <c r="C1357" s="3" t="s">
        <v>1839</v>
      </c>
      <c r="D1357" s="3" t="s">
        <v>1892</v>
      </c>
      <c r="E1357" s="3">
        <v>2</v>
      </c>
      <c r="F1357" s="3">
        <v>206</v>
      </c>
      <c r="G1357" s="6" t="s">
        <v>1876</v>
      </c>
      <c r="H1357" s="3">
        <v>18991</v>
      </c>
      <c r="I1357" s="6" t="s">
        <v>111</v>
      </c>
      <c r="J1357" s="3">
        <v>4</v>
      </c>
      <c r="K1357" s="3">
        <v>3</v>
      </c>
      <c r="L1357" s="3">
        <v>20.7</v>
      </c>
      <c r="M1357" s="3">
        <v>7</v>
      </c>
      <c r="N1357" s="3">
        <v>3</v>
      </c>
      <c r="O1357" s="3"/>
      <c r="P1357" s="3"/>
      <c r="Q1357" s="3"/>
      <c r="R1357" s="3" t="s">
        <v>800</v>
      </c>
      <c r="S1357" s="3" t="s">
        <v>201</v>
      </c>
      <c r="T1357" s="3">
        <v>2.5</v>
      </c>
      <c r="U1357" s="3">
        <v>25</v>
      </c>
      <c r="V1357" s="3">
        <v>30</v>
      </c>
      <c r="W1357" s="3">
        <v>140</v>
      </c>
      <c r="X1357" s="3" t="s">
        <v>1887</v>
      </c>
      <c r="Y1357" s="6" t="s">
        <v>1888</v>
      </c>
    </row>
    <row r="1358" spans="1:25" ht="15" customHeight="1" x14ac:dyDescent="0.3">
      <c r="A1358" s="5">
        <v>45943</v>
      </c>
      <c r="B1358" s="25">
        <v>28</v>
      </c>
      <c r="C1358" s="3" t="s">
        <v>1839</v>
      </c>
      <c r="D1358" s="3" t="s">
        <v>1892</v>
      </c>
      <c r="E1358" s="3">
        <v>2</v>
      </c>
      <c r="F1358" s="3">
        <v>207</v>
      </c>
      <c r="G1358" s="6" t="s">
        <v>476</v>
      </c>
      <c r="H1358" s="3">
        <v>18935</v>
      </c>
      <c r="I1358" s="6" t="s">
        <v>111</v>
      </c>
      <c r="J1358" s="3">
        <v>12</v>
      </c>
      <c r="K1358" s="3">
        <v>9</v>
      </c>
      <c r="L1358" s="3">
        <v>27.05</v>
      </c>
      <c r="M1358" s="3">
        <v>10</v>
      </c>
      <c r="N1358" s="3">
        <v>2.85</v>
      </c>
      <c r="O1358" s="3"/>
      <c r="P1358" s="3"/>
      <c r="Q1358" s="3"/>
      <c r="R1358" s="3" t="s">
        <v>135</v>
      </c>
      <c r="S1358" s="3" t="s">
        <v>523</v>
      </c>
      <c r="T1358" s="3">
        <v>1.25</v>
      </c>
      <c r="U1358" s="3">
        <v>15</v>
      </c>
      <c r="V1358" s="3">
        <v>20</v>
      </c>
      <c r="W1358" s="3">
        <v>100</v>
      </c>
      <c r="X1358" s="3" t="s">
        <v>1660</v>
      </c>
      <c r="Y1358" s="6" t="s">
        <v>1895</v>
      </c>
    </row>
    <row r="1359" spans="1:25" ht="15" customHeight="1" x14ac:dyDescent="0.3">
      <c r="A1359" s="5">
        <v>45943</v>
      </c>
      <c r="B1359" s="25">
        <v>28</v>
      </c>
      <c r="C1359" s="3" t="s">
        <v>1839</v>
      </c>
      <c r="D1359" s="3" t="s">
        <v>1892</v>
      </c>
      <c r="E1359" s="3">
        <v>2</v>
      </c>
      <c r="F1359" s="3">
        <v>210</v>
      </c>
      <c r="G1359" s="6" t="s">
        <v>28</v>
      </c>
      <c r="H1359" s="3">
        <v>19007</v>
      </c>
      <c r="I1359" s="6" t="s">
        <v>111</v>
      </c>
      <c r="J1359" s="3">
        <v>4</v>
      </c>
      <c r="K1359" s="3">
        <v>4</v>
      </c>
      <c r="L1359" s="3">
        <v>22.3</v>
      </c>
      <c r="M1359" s="3">
        <v>8</v>
      </c>
      <c r="N1359" s="3">
        <v>4</v>
      </c>
      <c r="O1359" s="3"/>
      <c r="P1359" s="3"/>
      <c r="Q1359" s="3"/>
      <c r="R1359" s="3" t="s">
        <v>1033</v>
      </c>
      <c r="S1359" s="3" t="s">
        <v>387</v>
      </c>
      <c r="T1359" s="3">
        <v>1</v>
      </c>
      <c r="U1359" s="3">
        <v>25</v>
      </c>
      <c r="V1359" s="3">
        <v>35</v>
      </c>
      <c r="W1359" s="3">
        <v>101</v>
      </c>
      <c r="X1359" s="3" t="s">
        <v>1836</v>
      </c>
      <c r="Y1359" s="6" t="s">
        <v>1896</v>
      </c>
    </row>
    <row r="1360" spans="1:25" ht="15" customHeight="1" x14ac:dyDescent="0.3">
      <c r="A1360" s="5">
        <v>45943</v>
      </c>
      <c r="B1360" s="25">
        <v>28</v>
      </c>
      <c r="C1360" s="3" t="s">
        <v>1839</v>
      </c>
      <c r="D1360" s="3" t="s">
        <v>1892</v>
      </c>
      <c r="E1360" s="3">
        <v>2</v>
      </c>
      <c r="F1360" s="3">
        <v>303</v>
      </c>
      <c r="G1360" s="6" t="s">
        <v>32</v>
      </c>
      <c r="H1360" s="3">
        <v>17685</v>
      </c>
      <c r="I1360" s="6" t="s">
        <v>793</v>
      </c>
      <c r="J1360" s="3">
        <v>12</v>
      </c>
      <c r="K1360" s="3">
        <v>7</v>
      </c>
      <c r="L1360" s="3">
        <v>43.4</v>
      </c>
      <c r="M1360" s="3">
        <v>22</v>
      </c>
      <c r="N1360" s="3">
        <v>8</v>
      </c>
      <c r="O1360" s="3"/>
      <c r="P1360" s="3"/>
      <c r="Q1360" s="3"/>
      <c r="R1360" s="3" t="s">
        <v>135</v>
      </c>
      <c r="S1360" s="3" t="s">
        <v>1898</v>
      </c>
      <c r="T1360" s="3">
        <v>2.5</v>
      </c>
      <c r="U1360" s="3">
        <v>20</v>
      </c>
      <c r="V1360" s="3">
        <v>45</v>
      </c>
      <c r="W1360" s="3">
        <v>140</v>
      </c>
      <c r="X1360" s="3" t="s">
        <v>1060</v>
      </c>
      <c r="Y1360" s="6" t="s">
        <v>1897</v>
      </c>
    </row>
    <row r="1361" spans="1:25" ht="15" customHeight="1" x14ac:dyDescent="0.3">
      <c r="A1361" s="5">
        <v>45944</v>
      </c>
      <c r="B1361" s="25">
        <v>28</v>
      </c>
      <c r="C1361" s="3" t="s">
        <v>1839</v>
      </c>
      <c r="D1361" s="3" t="s">
        <v>1892</v>
      </c>
      <c r="E1361" s="3">
        <v>2</v>
      </c>
      <c r="F1361" s="3">
        <v>401</v>
      </c>
      <c r="G1361" s="6" t="s">
        <v>844</v>
      </c>
      <c r="H1361" s="3" t="s">
        <v>1907</v>
      </c>
      <c r="I1361" s="6" t="s">
        <v>793</v>
      </c>
      <c r="J1361" s="3">
        <v>1</v>
      </c>
      <c r="K1361" s="3">
        <v>1</v>
      </c>
      <c r="L1361" s="3">
        <v>10.87</v>
      </c>
      <c r="M1361" s="3"/>
      <c r="N1361" s="3"/>
      <c r="O1361" s="3">
        <v>4</v>
      </c>
      <c r="P1361" s="3"/>
      <c r="Q1361" s="3"/>
      <c r="R1361" s="3"/>
      <c r="S1361" s="3"/>
      <c r="T1361" s="3"/>
      <c r="U1361" s="3"/>
      <c r="V1361" s="3"/>
      <c r="W1361" s="3"/>
      <c r="X1361" s="3" t="s">
        <v>1899</v>
      </c>
      <c r="Y1361" s="6"/>
    </row>
    <row r="1362" spans="1:25" ht="15" customHeight="1" x14ac:dyDescent="0.3">
      <c r="A1362" s="5">
        <v>45944</v>
      </c>
      <c r="B1362" s="25">
        <v>28</v>
      </c>
      <c r="C1362" s="3" t="s">
        <v>1839</v>
      </c>
      <c r="D1362" s="3" t="s">
        <v>1892</v>
      </c>
      <c r="E1362" s="3">
        <v>2</v>
      </c>
      <c r="F1362" s="3">
        <v>203</v>
      </c>
      <c r="G1362" s="6" t="s">
        <v>23</v>
      </c>
      <c r="H1362" s="3" t="s">
        <v>1882</v>
      </c>
      <c r="I1362" s="6" t="s">
        <v>111</v>
      </c>
      <c r="J1362" s="3">
        <v>8</v>
      </c>
      <c r="K1362" s="3">
        <v>7</v>
      </c>
      <c r="L1362" s="3">
        <v>17.100000000000001</v>
      </c>
      <c r="M1362" s="3">
        <v>5</v>
      </c>
      <c r="N1362" s="3">
        <v>3</v>
      </c>
      <c r="O1362" s="3"/>
      <c r="P1362" s="3"/>
      <c r="Q1362" s="3"/>
      <c r="R1362" s="3" t="s">
        <v>318</v>
      </c>
      <c r="S1362" s="3" t="s">
        <v>1900</v>
      </c>
      <c r="T1362" s="3">
        <v>1</v>
      </c>
      <c r="U1362" s="3">
        <v>15</v>
      </c>
      <c r="V1362" s="3">
        <v>20</v>
      </c>
      <c r="W1362" s="3">
        <v>95</v>
      </c>
      <c r="X1362" s="3" t="s">
        <v>1846</v>
      </c>
      <c r="Y1362" s="6" t="s">
        <v>1901</v>
      </c>
    </row>
    <row r="1363" spans="1:25" ht="15" customHeight="1" x14ac:dyDescent="0.3">
      <c r="A1363" s="5">
        <v>45944</v>
      </c>
      <c r="B1363" s="25">
        <v>28</v>
      </c>
      <c r="C1363" s="3" t="s">
        <v>1839</v>
      </c>
      <c r="D1363" s="3" t="s">
        <v>1892</v>
      </c>
      <c r="E1363" s="3">
        <v>2</v>
      </c>
      <c r="F1363" s="3">
        <v>204</v>
      </c>
      <c r="G1363" s="6" t="s">
        <v>1908</v>
      </c>
      <c r="H1363" s="3" t="s">
        <v>1909</v>
      </c>
      <c r="I1363" s="6" t="s">
        <v>111</v>
      </c>
      <c r="J1363" s="3">
        <v>4</v>
      </c>
      <c r="K1363" s="3">
        <v>2</v>
      </c>
      <c r="L1363" s="3">
        <v>16.899999999999999</v>
      </c>
      <c r="M1363" s="3">
        <v>5</v>
      </c>
      <c r="N1363" s="3">
        <v>3</v>
      </c>
      <c r="O1363" s="3"/>
      <c r="P1363" s="3"/>
      <c r="Q1363" s="3"/>
      <c r="R1363" s="3" t="s">
        <v>573</v>
      </c>
      <c r="S1363" s="3" t="s">
        <v>318</v>
      </c>
      <c r="T1363" s="3">
        <v>1</v>
      </c>
      <c r="U1363" s="3">
        <v>15</v>
      </c>
      <c r="V1363" s="3">
        <v>20</v>
      </c>
      <c r="W1363" s="3">
        <v>140</v>
      </c>
      <c r="X1363" s="3" t="s">
        <v>1848</v>
      </c>
      <c r="Y1363" s="6"/>
    </row>
    <row r="1364" spans="1:25" ht="15" customHeight="1" x14ac:dyDescent="0.3">
      <c r="A1364" s="5">
        <v>45944</v>
      </c>
      <c r="B1364" s="25">
        <v>28</v>
      </c>
      <c r="C1364" s="3" t="s">
        <v>1839</v>
      </c>
      <c r="D1364" s="3" t="s">
        <v>1892</v>
      </c>
      <c r="E1364" s="3">
        <v>2</v>
      </c>
      <c r="F1364" s="3">
        <v>205</v>
      </c>
      <c r="G1364" s="6" t="s">
        <v>1548</v>
      </c>
      <c r="H1364" s="3" t="s">
        <v>1703</v>
      </c>
      <c r="I1364" s="6" t="s">
        <v>111</v>
      </c>
      <c r="J1364" s="3">
        <v>12</v>
      </c>
      <c r="K1364" s="3">
        <v>9</v>
      </c>
      <c r="L1364" s="3">
        <v>23</v>
      </c>
      <c r="M1364" s="3">
        <v>11</v>
      </c>
      <c r="N1364" s="3">
        <v>3</v>
      </c>
      <c r="O1364" s="3"/>
      <c r="P1364" s="3"/>
      <c r="Q1364" s="3"/>
      <c r="R1364" s="3" t="s">
        <v>135</v>
      </c>
      <c r="S1364" s="3" t="s">
        <v>244</v>
      </c>
      <c r="T1364" s="3">
        <v>1</v>
      </c>
      <c r="U1364" s="3">
        <v>20</v>
      </c>
      <c r="V1364" s="3">
        <v>25</v>
      </c>
      <c r="W1364" s="3">
        <v>90</v>
      </c>
      <c r="X1364" s="3" t="s">
        <v>1613</v>
      </c>
      <c r="Y1364" s="6"/>
    </row>
    <row r="1365" spans="1:25" ht="15" customHeight="1" x14ac:dyDescent="0.3">
      <c r="A1365" s="5">
        <v>45944</v>
      </c>
      <c r="B1365" s="25">
        <v>28</v>
      </c>
      <c r="C1365" s="3" t="s">
        <v>1839</v>
      </c>
      <c r="D1365" s="3" t="s">
        <v>1892</v>
      </c>
      <c r="E1365" s="3">
        <v>2</v>
      </c>
      <c r="F1365" s="3">
        <v>206</v>
      </c>
      <c r="G1365" s="6" t="s">
        <v>1876</v>
      </c>
      <c r="H1365" s="3" t="s">
        <v>1877</v>
      </c>
      <c r="I1365" s="6" t="s">
        <v>111</v>
      </c>
      <c r="J1365" s="3">
        <v>4</v>
      </c>
      <c r="K1365" s="3">
        <v>3</v>
      </c>
      <c r="L1365" s="3">
        <v>22.8</v>
      </c>
      <c r="M1365" s="3">
        <v>9</v>
      </c>
      <c r="N1365" s="3">
        <v>3</v>
      </c>
      <c r="O1365" s="3"/>
      <c r="P1365" s="3"/>
      <c r="Q1365" s="3"/>
      <c r="R1365" s="3" t="s">
        <v>800</v>
      </c>
      <c r="S1365" s="3" t="s">
        <v>201</v>
      </c>
      <c r="T1365" s="3">
        <v>2.5</v>
      </c>
      <c r="U1365" s="3">
        <v>25</v>
      </c>
      <c r="V1365" s="3">
        <v>30</v>
      </c>
      <c r="W1365" s="3">
        <v>140</v>
      </c>
      <c r="X1365" s="3" t="s">
        <v>1887</v>
      </c>
      <c r="Y1365" s="6" t="s">
        <v>1888</v>
      </c>
    </row>
    <row r="1366" spans="1:25" ht="15" customHeight="1" x14ac:dyDescent="0.3">
      <c r="A1366" s="5">
        <v>45944</v>
      </c>
      <c r="B1366" s="25">
        <v>28</v>
      </c>
      <c r="C1366" s="3" t="s">
        <v>1839</v>
      </c>
      <c r="D1366" s="3" t="s">
        <v>1892</v>
      </c>
      <c r="E1366" s="3">
        <v>2</v>
      </c>
      <c r="F1366" s="3">
        <v>207</v>
      </c>
      <c r="G1366" s="6" t="s">
        <v>476</v>
      </c>
      <c r="H1366" s="3">
        <v>18935</v>
      </c>
      <c r="I1366" s="6" t="s">
        <v>111</v>
      </c>
      <c r="J1366" s="3">
        <v>12</v>
      </c>
      <c r="K1366" s="3">
        <v>9</v>
      </c>
      <c r="L1366" s="3">
        <v>26.87</v>
      </c>
      <c r="M1366" s="3">
        <v>10</v>
      </c>
      <c r="N1366" s="3">
        <v>2.85</v>
      </c>
      <c r="O1366" s="3"/>
      <c r="P1366" s="3"/>
      <c r="Q1366" s="3"/>
      <c r="R1366" s="3" t="s">
        <v>135</v>
      </c>
      <c r="S1366" s="3" t="s">
        <v>523</v>
      </c>
      <c r="T1366" s="3">
        <v>1.25</v>
      </c>
      <c r="U1366" s="3">
        <v>15</v>
      </c>
      <c r="V1366" s="3">
        <v>20</v>
      </c>
      <c r="W1366" s="3">
        <v>100</v>
      </c>
      <c r="X1366" s="3" t="s">
        <v>1660</v>
      </c>
      <c r="Y1366" s="6" t="s">
        <v>1902</v>
      </c>
    </row>
    <row r="1367" spans="1:25" ht="15" customHeight="1" x14ac:dyDescent="0.3">
      <c r="A1367" s="5">
        <v>45944</v>
      </c>
      <c r="B1367" s="25">
        <v>28</v>
      </c>
      <c r="C1367" s="3" t="s">
        <v>1839</v>
      </c>
      <c r="D1367" s="3" t="s">
        <v>1892</v>
      </c>
      <c r="E1367" s="3">
        <v>2</v>
      </c>
      <c r="F1367" s="3">
        <v>209</v>
      </c>
      <c r="G1367" s="6" t="s">
        <v>439</v>
      </c>
      <c r="H1367" s="3" t="s">
        <v>1910</v>
      </c>
      <c r="I1367" s="6" t="s">
        <v>111</v>
      </c>
      <c r="J1367" s="3">
        <v>4</v>
      </c>
      <c r="K1367" s="3">
        <v>3</v>
      </c>
      <c r="L1367" s="3">
        <v>24.1</v>
      </c>
      <c r="M1367" s="3">
        <v>11</v>
      </c>
      <c r="N1367" s="3">
        <v>3</v>
      </c>
      <c r="O1367" s="3"/>
      <c r="P1367" s="3"/>
      <c r="Q1367" s="3"/>
      <c r="R1367" s="3" t="s">
        <v>1851</v>
      </c>
      <c r="S1367" s="3" t="s">
        <v>1903</v>
      </c>
      <c r="T1367" s="3">
        <v>2</v>
      </c>
      <c r="U1367" s="3">
        <v>10</v>
      </c>
      <c r="V1367" s="3">
        <v>20</v>
      </c>
      <c r="W1367" s="3">
        <v>170</v>
      </c>
      <c r="X1367" s="3" t="s">
        <v>1904</v>
      </c>
      <c r="Y1367" s="6" t="s">
        <v>1905</v>
      </c>
    </row>
    <row r="1368" spans="1:25" ht="15" customHeight="1" x14ac:dyDescent="0.3">
      <c r="A1368" s="5">
        <v>45944</v>
      </c>
      <c r="B1368" s="25">
        <v>28</v>
      </c>
      <c r="C1368" s="3" t="s">
        <v>1839</v>
      </c>
      <c r="D1368" s="3" t="s">
        <v>1892</v>
      </c>
      <c r="E1368" s="3">
        <v>2</v>
      </c>
      <c r="F1368" s="3">
        <v>210</v>
      </c>
      <c r="G1368" s="6" t="s">
        <v>862</v>
      </c>
      <c r="H1368" s="3" t="s">
        <v>1911</v>
      </c>
      <c r="I1368" s="6" t="s">
        <v>111</v>
      </c>
      <c r="J1368" s="3">
        <v>4</v>
      </c>
      <c r="K1368" s="3">
        <v>4</v>
      </c>
      <c r="L1368" s="3">
        <v>21.2</v>
      </c>
      <c r="M1368" s="3">
        <v>7</v>
      </c>
      <c r="N1368" s="3">
        <v>4</v>
      </c>
      <c r="O1368" s="3"/>
      <c r="P1368" s="3"/>
      <c r="Q1368" s="3"/>
      <c r="R1368" s="3" t="s">
        <v>1033</v>
      </c>
      <c r="S1368" s="3" t="s">
        <v>387</v>
      </c>
      <c r="T1368" s="3">
        <v>1</v>
      </c>
      <c r="U1368" s="3">
        <v>25</v>
      </c>
      <c r="V1368" s="3">
        <v>35</v>
      </c>
      <c r="W1368" s="3">
        <v>101</v>
      </c>
      <c r="X1368" s="3" t="s">
        <v>1836</v>
      </c>
      <c r="Y1368" s="6" t="s">
        <v>1906</v>
      </c>
    </row>
    <row r="1369" spans="1:25" ht="15" customHeight="1" x14ac:dyDescent="0.3">
      <c r="A1369" s="5">
        <v>45944</v>
      </c>
      <c r="B1369" s="25">
        <v>28</v>
      </c>
      <c r="C1369" s="3" t="s">
        <v>1839</v>
      </c>
      <c r="D1369" s="3" t="s">
        <v>1892</v>
      </c>
      <c r="E1369" s="3">
        <v>2</v>
      </c>
      <c r="F1369" s="3">
        <v>303</v>
      </c>
      <c r="G1369" s="6" t="s">
        <v>32</v>
      </c>
      <c r="H1369" s="3" t="s">
        <v>238</v>
      </c>
      <c r="I1369" s="6" t="s">
        <v>793</v>
      </c>
      <c r="J1369" s="3">
        <v>12</v>
      </c>
      <c r="K1369" s="3">
        <v>7</v>
      </c>
      <c r="L1369" s="3">
        <v>43.4</v>
      </c>
      <c r="M1369" s="3">
        <v>22</v>
      </c>
      <c r="N1369" s="3">
        <v>8</v>
      </c>
      <c r="O1369" s="3"/>
      <c r="P1369" s="3"/>
      <c r="Q1369" s="3"/>
      <c r="R1369" s="3" t="s">
        <v>1585</v>
      </c>
      <c r="S1369" s="3" t="s">
        <v>63</v>
      </c>
      <c r="T1369" s="3">
        <v>2.5</v>
      </c>
      <c r="U1369" s="3">
        <v>20</v>
      </c>
      <c r="V1369" s="3">
        <v>45</v>
      </c>
      <c r="W1369" s="3">
        <v>140</v>
      </c>
      <c r="X1369" s="3" t="s">
        <v>1060</v>
      </c>
      <c r="Y1369" s="6" t="s">
        <v>1897</v>
      </c>
    </row>
    <row r="1370" spans="1:25" ht="15" customHeight="1" x14ac:dyDescent="0.3">
      <c r="A1370" s="5">
        <v>45944</v>
      </c>
      <c r="B1370" s="25">
        <v>28</v>
      </c>
      <c r="C1370" s="3" t="s">
        <v>1839</v>
      </c>
      <c r="D1370" s="3" t="s">
        <v>1892</v>
      </c>
      <c r="E1370" s="3">
        <v>2</v>
      </c>
      <c r="F1370" s="3">
        <v>501</v>
      </c>
      <c r="G1370" s="6" t="s">
        <v>1913</v>
      </c>
      <c r="H1370" s="3" t="s">
        <v>1912</v>
      </c>
      <c r="I1370" s="6" t="s">
        <v>110</v>
      </c>
      <c r="J1370" s="3">
        <v>6</v>
      </c>
      <c r="K1370" s="3">
        <v>6</v>
      </c>
      <c r="L1370" s="3">
        <v>14</v>
      </c>
      <c r="M1370" s="3"/>
      <c r="N1370" s="3"/>
      <c r="O1370" s="3">
        <v>8.5</v>
      </c>
      <c r="P1370" s="3"/>
      <c r="Q1370" s="3"/>
      <c r="R1370" s="3"/>
      <c r="S1370" s="3"/>
      <c r="T1370" s="3"/>
      <c r="U1370" s="3"/>
      <c r="V1370" s="3"/>
      <c r="W1370" s="3"/>
      <c r="X1370" s="3" t="s">
        <v>617</v>
      </c>
      <c r="Y1370" s="6"/>
    </row>
    <row r="1371" spans="1:25" ht="15" customHeight="1" x14ac:dyDescent="0.3">
      <c r="A1371" s="5">
        <v>45945</v>
      </c>
      <c r="B1371" s="25">
        <v>28</v>
      </c>
      <c r="C1371" s="3" t="s">
        <v>1839</v>
      </c>
      <c r="D1371" s="3" t="s">
        <v>1892</v>
      </c>
      <c r="E1371" s="3">
        <v>2</v>
      </c>
      <c r="F1371" s="3">
        <v>401</v>
      </c>
      <c r="G1371" s="6" t="s">
        <v>844</v>
      </c>
      <c r="H1371" s="3" t="s">
        <v>1907</v>
      </c>
      <c r="I1371" s="6" t="s">
        <v>793</v>
      </c>
      <c r="J1371" s="3">
        <v>1</v>
      </c>
      <c r="K1371" s="3">
        <v>1</v>
      </c>
      <c r="L1371" s="3">
        <v>10.97</v>
      </c>
      <c r="M1371" s="3"/>
      <c r="N1371" s="3"/>
      <c r="O1371" s="3">
        <v>4</v>
      </c>
      <c r="P1371" s="3"/>
      <c r="Q1371" s="3"/>
      <c r="R1371" s="3"/>
      <c r="S1371" s="3"/>
      <c r="T1371" s="3"/>
      <c r="U1371" s="3"/>
      <c r="V1371" s="3"/>
      <c r="W1371" s="3"/>
      <c r="X1371" s="3" t="s">
        <v>1919</v>
      </c>
      <c r="Y1371" s="6"/>
    </row>
    <row r="1372" spans="1:25" ht="15" customHeight="1" x14ac:dyDescent="0.3">
      <c r="A1372" s="5">
        <v>45945</v>
      </c>
      <c r="B1372" s="25">
        <v>28</v>
      </c>
      <c r="C1372" s="3" t="s">
        <v>1839</v>
      </c>
      <c r="D1372" s="3" t="s">
        <v>1892</v>
      </c>
      <c r="E1372" s="3">
        <v>2</v>
      </c>
      <c r="F1372" s="3">
        <v>405</v>
      </c>
      <c r="G1372" s="6" t="s">
        <v>1936</v>
      </c>
      <c r="H1372" s="3" t="s">
        <v>1937</v>
      </c>
      <c r="I1372" s="6" t="s">
        <v>793</v>
      </c>
      <c r="J1372" s="3">
        <v>2</v>
      </c>
      <c r="K1372" s="3">
        <v>2</v>
      </c>
      <c r="L1372" s="3">
        <v>8.6999999999999993</v>
      </c>
      <c r="M1372" s="3"/>
      <c r="N1372" s="3"/>
      <c r="O1372" s="3">
        <v>3</v>
      </c>
      <c r="P1372" s="3"/>
      <c r="Q1372" s="3"/>
      <c r="R1372" s="3"/>
      <c r="S1372" s="3"/>
      <c r="T1372" s="3"/>
      <c r="U1372" s="3"/>
      <c r="V1372" s="3"/>
      <c r="W1372" s="3"/>
      <c r="X1372" s="3" t="s">
        <v>1920</v>
      </c>
      <c r="Y1372" s="6"/>
    </row>
    <row r="1373" spans="1:25" ht="15" customHeight="1" x14ac:dyDescent="0.3">
      <c r="A1373" s="5">
        <v>45945</v>
      </c>
      <c r="B1373" s="25">
        <v>28</v>
      </c>
      <c r="C1373" s="3" t="s">
        <v>1839</v>
      </c>
      <c r="D1373" s="3" t="s">
        <v>1892</v>
      </c>
      <c r="E1373" s="3">
        <v>2</v>
      </c>
      <c r="F1373" s="3">
        <v>303</v>
      </c>
      <c r="G1373" s="6" t="s">
        <v>1938</v>
      </c>
      <c r="H1373" s="3"/>
      <c r="I1373" s="6" t="s">
        <v>793</v>
      </c>
      <c r="J1373" s="3">
        <v>12</v>
      </c>
      <c r="K1373" s="3">
        <v>7</v>
      </c>
      <c r="L1373" s="3">
        <v>39.4</v>
      </c>
      <c r="M1373" s="3">
        <v>20</v>
      </c>
      <c r="N1373" s="3">
        <v>7.5</v>
      </c>
      <c r="O1373" s="3"/>
      <c r="P1373" s="3"/>
      <c r="Q1373" s="3"/>
      <c r="R1373" s="3" t="s">
        <v>1053</v>
      </c>
      <c r="S1373" s="3" t="s">
        <v>1921</v>
      </c>
      <c r="T1373" s="3">
        <v>2</v>
      </c>
      <c r="U1373" s="3">
        <v>20</v>
      </c>
      <c r="V1373" s="3">
        <v>30</v>
      </c>
      <c r="W1373" s="3">
        <v>140</v>
      </c>
      <c r="X1373" s="3" t="s">
        <v>1060</v>
      </c>
      <c r="Y1373" s="6" t="s">
        <v>1897</v>
      </c>
    </row>
    <row r="1374" spans="1:25" ht="15" customHeight="1" x14ac:dyDescent="0.3">
      <c r="A1374" s="5">
        <v>45945</v>
      </c>
      <c r="B1374" s="25">
        <v>28</v>
      </c>
      <c r="C1374" s="3" t="s">
        <v>1839</v>
      </c>
      <c r="D1374" s="3" t="s">
        <v>1892</v>
      </c>
      <c r="E1374" s="3">
        <v>2</v>
      </c>
      <c r="F1374" s="3">
        <v>203</v>
      </c>
      <c r="G1374" s="6" t="s">
        <v>23</v>
      </c>
      <c r="H1374" s="3" t="s">
        <v>1882</v>
      </c>
      <c r="I1374" s="6" t="s">
        <v>111</v>
      </c>
      <c r="J1374" s="3">
        <v>8</v>
      </c>
      <c r="K1374" s="3">
        <v>7</v>
      </c>
      <c r="L1374" s="3">
        <v>17.2</v>
      </c>
      <c r="M1374" s="3">
        <v>5</v>
      </c>
      <c r="N1374" s="3">
        <v>4</v>
      </c>
      <c r="O1374" s="3"/>
      <c r="P1374" s="3"/>
      <c r="Q1374" s="3"/>
      <c r="R1374" s="3" t="s">
        <v>318</v>
      </c>
      <c r="S1374" s="3" t="s">
        <v>1900</v>
      </c>
      <c r="T1374" s="3">
        <v>1</v>
      </c>
      <c r="U1374" s="3">
        <v>15</v>
      </c>
      <c r="V1374" s="3">
        <v>20</v>
      </c>
      <c r="W1374" s="3">
        <v>95</v>
      </c>
      <c r="X1374" s="3" t="s">
        <v>1846</v>
      </c>
      <c r="Y1374" s="6" t="s">
        <v>1901</v>
      </c>
    </row>
    <row r="1375" spans="1:25" ht="15" customHeight="1" x14ac:dyDescent="0.3">
      <c r="A1375" s="5">
        <v>45945</v>
      </c>
      <c r="B1375" s="25">
        <v>28</v>
      </c>
      <c r="C1375" s="3" t="s">
        <v>1839</v>
      </c>
      <c r="D1375" s="3" t="s">
        <v>1892</v>
      </c>
      <c r="E1375" s="3">
        <v>2</v>
      </c>
      <c r="F1375" s="3">
        <v>204</v>
      </c>
      <c r="G1375" s="6" t="s">
        <v>1908</v>
      </c>
      <c r="H1375" s="3" t="s">
        <v>1909</v>
      </c>
      <c r="I1375" s="6" t="s">
        <v>111</v>
      </c>
      <c r="J1375" s="3">
        <v>4</v>
      </c>
      <c r="K1375" s="3">
        <v>2</v>
      </c>
      <c r="L1375" s="3">
        <v>17</v>
      </c>
      <c r="M1375" s="3">
        <v>5</v>
      </c>
      <c r="N1375" s="3">
        <v>3</v>
      </c>
      <c r="O1375" s="3"/>
      <c r="P1375" s="3"/>
      <c r="Q1375" s="3"/>
      <c r="R1375" s="3" t="s">
        <v>1939</v>
      </c>
      <c r="S1375" s="3" t="s">
        <v>1922</v>
      </c>
      <c r="T1375" s="3">
        <v>1</v>
      </c>
      <c r="U1375" s="3">
        <v>15</v>
      </c>
      <c r="V1375" s="3">
        <v>20</v>
      </c>
      <c r="W1375" s="3">
        <v>140</v>
      </c>
      <c r="X1375" s="3" t="s">
        <v>1848</v>
      </c>
      <c r="Y1375" s="6"/>
    </row>
    <row r="1376" spans="1:25" ht="15" customHeight="1" x14ac:dyDescent="0.3">
      <c r="A1376" s="5">
        <v>45945</v>
      </c>
      <c r="B1376" s="25">
        <v>28</v>
      </c>
      <c r="C1376" s="3" t="s">
        <v>1839</v>
      </c>
      <c r="D1376" s="3" t="s">
        <v>1892</v>
      </c>
      <c r="E1376" s="3">
        <v>2</v>
      </c>
      <c r="F1376" s="3">
        <v>205</v>
      </c>
      <c r="G1376" s="6" t="s">
        <v>1548</v>
      </c>
      <c r="H1376" s="3" t="s">
        <v>1703</v>
      </c>
      <c r="I1376" s="6" t="s">
        <v>111</v>
      </c>
      <c r="J1376" s="3">
        <v>12</v>
      </c>
      <c r="K1376" s="3">
        <v>9</v>
      </c>
      <c r="L1376" s="3">
        <v>23</v>
      </c>
      <c r="M1376" s="3">
        <v>11</v>
      </c>
      <c r="N1376" s="3">
        <v>3</v>
      </c>
      <c r="O1376" s="3"/>
      <c r="P1376" s="3"/>
      <c r="Q1376" s="3"/>
      <c r="R1376" s="3" t="s">
        <v>135</v>
      </c>
      <c r="S1376" s="3" t="s">
        <v>244</v>
      </c>
      <c r="T1376" s="3">
        <v>1</v>
      </c>
      <c r="U1376" s="3">
        <v>20</v>
      </c>
      <c r="V1376" s="3">
        <v>25</v>
      </c>
      <c r="W1376" s="3">
        <v>90</v>
      </c>
      <c r="X1376" s="3" t="s">
        <v>1613</v>
      </c>
      <c r="Y1376" s="6"/>
    </row>
    <row r="1377" spans="1:25" ht="15" customHeight="1" x14ac:dyDescent="0.3">
      <c r="A1377" s="5">
        <v>45945</v>
      </c>
      <c r="B1377" s="25">
        <v>28</v>
      </c>
      <c r="C1377" s="3" t="s">
        <v>1839</v>
      </c>
      <c r="D1377" s="3" t="s">
        <v>1892</v>
      </c>
      <c r="E1377" s="3">
        <v>2</v>
      </c>
      <c r="F1377" s="3">
        <v>206</v>
      </c>
      <c r="G1377" s="6" t="s">
        <v>1876</v>
      </c>
      <c r="H1377" s="3" t="s">
        <v>1877</v>
      </c>
      <c r="I1377" s="6" t="s">
        <v>111</v>
      </c>
      <c r="J1377" s="3">
        <v>4</v>
      </c>
      <c r="K1377" s="3">
        <v>3</v>
      </c>
      <c r="L1377" s="3">
        <v>20</v>
      </c>
      <c r="M1377" s="3">
        <v>7</v>
      </c>
      <c r="N1377" s="3">
        <v>3</v>
      </c>
      <c r="O1377" s="3"/>
      <c r="P1377" s="3"/>
      <c r="Q1377" s="3"/>
      <c r="R1377" s="3" t="s">
        <v>1923</v>
      </c>
      <c r="S1377" s="3" t="s">
        <v>1924</v>
      </c>
      <c r="T1377" s="3">
        <v>2.5</v>
      </c>
      <c r="U1377" s="3">
        <v>25</v>
      </c>
      <c r="V1377" s="3">
        <v>30</v>
      </c>
      <c r="W1377" s="3">
        <v>140</v>
      </c>
      <c r="X1377" s="3" t="s">
        <v>1887</v>
      </c>
      <c r="Y1377" s="6" t="s">
        <v>1925</v>
      </c>
    </row>
    <row r="1378" spans="1:25" ht="15" customHeight="1" x14ac:dyDescent="0.3">
      <c r="A1378" s="5">
        <v>45945</v>
      </c>
      <c r="B1378" s="25">
        <v>28</v>
      </c>
      <c r="C1378" s="3" t="s">
        <v>1839</v>
      </c>
      <c r="D1378" s="3" t="s">
        <v>1892</v>
      </c>
      <c r="E1378" s="3">
        <v>2</v>
      </c>
      <c r="F1378" s="3">
        <v>207</v>
      </c>
      <c r="G1378" s="6" t="s">
        <v>476</v>
      </c>
      <c r="H1378" s="3" t="s">
        <v>1729</v>
      </c>
      <c r="I1378" s="6" t="s">
        <v>111</v>
      </c>
      <c r="J1378" s="3">
        <v>12</v>
      </c>
      <c r="K1378" s="3">
        <v>9</v>
      </c>
      <c r="L1378" s="3">
        <v>26.99</v>
      </c>
      <c r="M1378" s="3">
        <v>10</v>
      </c>
      <c r="N1378" s="3">
        <v>2.85</v>
      </c>
      <c r="O1378" s="3"/>
      <c r="P1378" s="3"/>
      <c r="Q1378" s="3"/>
      <c r="R1378" s="3" t="s">
        <v>135</v>
      </c>
      <c r="S1378" s="3" t="s">
        <v>523</v>
      </c>
      <c r="T1378" s="3">
        <v>1.25</v>
      </c>
      <c r="U1378" s="3">
        <v>15</v>
      </c>
      <c r="V1378" s="3">
        <v>20</v>
      </c>
      <c r="W1378" s="3">
        <v>100</v>
      </c>
      <c r="X1378" s="3" t="s">
        <v>1660</v>
      </c>
      <c r="Y1378" s="6" t="s">
        <v>1902</v>
      </c>
    </row>
    <row r="1379" spans="1:25" ht="15" customHeight="1" x14ac:dyDescent="0.3">
      <c r="A1379" s="5">
        <v>45945</v>
      </c>
      <c r="B1379" s="25">
        <v>28</v>
      </c>
      <c r="C1379" s="3" t="s">
        <v>1839</v>
      </c>
      <c r="D1379" s="3" t="s">
        <v>1892</v>
      </c>
      <c r="E1379" s="3">
        <v>2</v>
      </c>
      <c r="F1379" s="3">
        <v>209</v>
      </c>
      <c r="G1379" s="6" t="s">
        <v>439</v>
      </c>
      <c r="H1379" s="3" t="s">
        <v>1910</v>
      </c>
      <c r="I1379" s="6" t="s">
        <v>111</v>
      </c>
      <c r="J1379" s="3">
        <v>4</v>
      </c>
      <c r="K1379" s="3">
        <v>3</v>
      </c>
      <c r="L1379" s="3">
        <v>23.2</v>
      </c>
      <c r="M1379" s="3">
        <v>11</v>
      </c>
      <c r="N1379" s="3">
        <v>3.2</v>
      </c>
      <c r="O1379" s="3"/>
      <c r="P1379" s="3"/>
      <c r="Q1379" s="3"/>
      <c r="R1379" s="3" t="s">
        <v>421</v>
      </c>
      <c r="S1379" s="3" t="s">
        <v>1583</v>
      </c>
      <c r="T1379" s="3">
        <v>2</v>
      </c>
      <c r="U1379" s="3">
        <v>10</v>
      </c>
      <c r="V1379" s="3">
        <v>20</v>
      </c>
      <c r="W1379" s="3">
        <v>170</v>
      </c>
      <c r="X1379" s="3" t="s">
        <v>1904</v>
      </c>
      <c r="Y1379" s="6" t="s">
        <v>1926</v>
      </c>
    </row>
    <row r="1380" spans="1:25" ht="15" customHeight="1" x14ac:dyDescent="0.3">
      <c r="A1380" s="5">
        <v>45945</v>
      </c>
      <c r="B1380" s="25">
        <v>28</v>
      </c>
      <c r="C1380" s="3" t="s">
        <v>1839</v>
      </c>
      <c r="D1380" s="3" t="s">
        <v>1892</v>
      </c>
      <c r="E1380" s="3">
        <v>2</v>
      </c>
      <c r="F1380" s="3">
        <v>210</v>
      </c>
      <c r="G1380" s="6" t="s">
        <v>862</v>
      </c>
      <c r="H1380" s="3" t="s">
        <v>1911</v>
      </c>
      <c r="I1380" s="6" t="s">
        <v>111</v>
      </c>
      <c r="J1380" s="3">
        <v>4</v>
      </c>
      <c r="K1380" s="3">
        <v>4</v>
      </c>
      <c r="L1380" s="3">
        <v>18.899999999999999</v>
      </c>
      <c r="M1380" s="3">
        <v>5</v>
      </c>
      <c r="N1380" s="3">
        <v>4</v>
      </c>
      <c r="O1380" s="3"/>
      <c r="P1380" s="3"/>
      <c r="Q1380" s="3"/>
      <c r="R1380" s="3" t="s">
        <v>1927</v>
      </c>
      <c r="S1380" s="3" t="s">
        <v>1006</v>
      </c>
      <c r="T1380" s="3">
        <v>1</v>
      </c>
      <c r="U1380" s="3">
        <v>25</v>
      </c>
      <c r="V1380" s="3">
        <v>35</v>
      </c>
      <c r="W1380" s="3">
        <v>101</v>
      </c>
      <c r="X1380" s="3" t="s">
        <v>1928</v>
      </c>
      <c r="Y1380" s="6" t="s">
        <v>1929</v>
      </c>
    </row>
    <row r="1381" spans="1:25" ht="15" customHeight="1" x14ac:dyDescent="0.3">
      <c r="A1381" s="5">
        <v>45945</v>
      </c>
      <c r="B1381" s="25">
        <v>28</v>
      </c>
      <c r="C1381" s="3" t="s">
        <v>1839</v>
      </c>
      <c r="D1381" s="3" t="s">
        <v>1892</v>
      </c>
      <c r="E1381" s="3">
        <v>2</v>
      </c>
      <c r="F1381" s="3">
        <v>212</v>
      </c>
      <c r="G1381" s="6" t="s">
        <v>1934</v>
      </c>
      <c r="H1381" s="3" t="s">
        <v>1935</v>
      </c>
      <c r="I1381" s="6" t="s">
        <v>111</v>
      </c>
      <c r="J1381" s="3">
        <v>12</v>
      </c>
      <c r="K1381" s="3">
        <v>12</v>
      </c>
      <c r="L1381" s="3">
        <v>22.23</v>
      </c>
      <c r="M1381" s="3">
        <v>10</v>
      </c>
      <c r="N1381" s="3">
        <v>2</v>
      </c>
      <c r="O1381" s="3"/>
      <c r="P1381" s="3"/>
      <c r="Q1381" s="3"/>
      <c r="R1381" s="3" t="s">
        <v>1930</v>
      </c>
      <c r="S1381" s="3" t="s">
        <v>1931</v>
      </c>
      <c r="T1381" s="3">
        <v>0.1</v>
      </c>
      <c r="U1381" s="3">
        <v>10</v>
      </c>
      <c r="V1381" s="3">
        <v>15</v>
      </c>
      <c r="W1381" s="3">
        <v>170</v>
      </c>
      <c r="X1381" s="3" t="s">
        <v>1932</v>
      </c>
      <c r="Y1381" s="6" t="s">
        <v>1933</v>
      </c>
    </row>
    <row r="1382" spans="1:25" ht="15" customHeight="1" x14ac:dyDescent="0.3">
      <c r="A1382" s="5">
        <v>45945</v>
      </c>
      <c r="B1382" s="25">
        <v>28</v>
      </c>
      <c r="C1382" s="3" t="s">
        <v>1839</v>
      </c>
      <c r="D1382" s="3" t="s">
        <v>1892</v>
      </c>
      <c r="E1382" s="3">
        <v>2</v>
      </c>
      <c r="F1382" s="3">
        <v>501</v>
      </c>
      <c r="G1382" s="6" t="s">
        <v>1913</v>
      </c>
      <c r="H1382" s="3" t="s">
        <v>1912</v>
      </c>
      <c r="I1382" s="6" t="s">
        <v>110</v>
      </c>
      <c r="J1382" s="3">
        <v>6</v>
      </c>
      <c r="K1382" s="3">
        <v>6</v>
      </c>
      <c r="L1382" s="3">
        <v>16.02</v>
      </c>
      <c r="M1382" s="3"/>
      <c r="N1382" s="3"/>
      <c r="O1382" s="3">
        <v>8.5</v>
      </c>
      <c r="P1382" s="3"/>
      <c r="Q1382" s="3"/>
      <c r="R1382" s="3"/>
      <c r="S1382" s="3"/>
      <c r="T1382" s="3"/>
      <c r="U1382" s="3"/>
      <c r="V1382" s="3"/>
      <c r="W1382" s="3"/>
      <c r="X1382" s="3" t="s">
        <v>151</v>
      </c>
      <c r="Y1382" s="6"/>
    </row>
    <row r="1383" spans="1:25" ht="15" customHeight="1" x14ac:dyDescent="0.3">
      <c r="A1383" s="5">
        <v>45947</v>
      </c>
      <c r="B1383" s="25">
        <v>28</v>
      </c>
      <c r="C1383" s="3" t="s">
        <v>1839</v>
      </c>
      <c r="D1383" s="3" t="s">
        <v>1892</v>
      </c>
      <c r="E1383" s="3">
        <v>2</v>
      </c>
      <c r="F1383" s="3">
        <v>405</v>
      </c>
      <c r="G1383" s="6" t="s">
        <v>14</v>
      </c>
      <c r="H1383" s="3" t="s">
        <v>1867</v>
      </c>
      <c r="I1383" s="6" t="s">
        <v>793</v>
      </c>
      <c r="J1383" s="3">
        <v>2</v>
      </c>
      <c r="K1383" s="3">
        <v>2</v>
      </c>
      <c r="L1383" s="3">
        <v>8.6999999999999993</v>
      </c>
      <c r="M1383" s="3"/>
      <c r="N1383" s="3"/>
      <c r="O1383" s="3">
        <v>3</v>
      </c>
      <c r="P1383" s="3"/>
      <c r="Q1383" s="3"/>
      <c r="R1383" s="3"/>
      <c r="S1383" s="3"/>
      <c r="T1383" s="3"/>
      <c r="U1383" s="3"/>
      <c r="V1383" s="3"/>
      <c r="W1383" s="3"/>
      <c r="X1383" s="3" t="s">
        <v>1940</v>
      </c>
      <c r="Y1383" s="6"/>
    </row>
    <row r="1384" spans="1:25" ht="15" customHeight="1" x14ac:dyDescent="0.3">
      <c r="A1384" s="5">
        <v>45947</v>
      </c>
      <c r="B1384" s="25">
        <v>28</v>
      </c>
      <c r="C1384" s="3" t="s">
        <v>1839</v>
      </c>
      <c r="D1384" s="3" t="s">
        <v>1892</v>
      </c>
      <c r="E1384" s="3">
        <v>2</v>
      </c>
      <c r="F1384" s="3">
        <v>501</v>
      </c>
      <c r="G1384" s="6" t="s">
        <v>1913</v>
      </c>
      <c r="H1384" s="3" t="s">
        <v>1912</v>
      </c>
      <c r="I1384" s="6" t="s">
        <v>110</v>
      </c>
      <c r="J1384" s="3">
        <v>6</v>
      </c>
      <c r="K1384" s="3">
        <v>6</v>
      </c>
      <c r="L1384" s="3">
        <v>15.02</v>
      </c>
      <c r="M1384" s="3"/>
      <c r="N1384" s="3"/>
      <c r="O1384" s="3">
        <v>9</v>
      </c>
      <c r="P1384" s="3"/>
      <c r="Q1384" s="3"/>
      <c r="R1384" s="3"/>
      <c r="S1384" s="3"/>
      <c r="T1384" s="3"/>
      <c r="U1384" s="3"/>
      <c r="V1384" s="3"/>
      <c r="W1384" s="3"/>
      <c r="X1384" s="3" t="s">
        <v>1941</v>
      </c>
      <c r="Y1384" s="6"/>
    </row>
    <row r="1385" spans="1:25" ht="15" customHeight="1" x14ac:dyDescent="0.3">
      <c r="A1385" s="5">
        <v>45947</v>
      </c>
      <c r="B1385" s="25">
        <v>28</v>
      </c>
      <c r="C1385" s="3" t="s">
        <v>1839</v>
      </c>
      <c r="D1385" s="3" t="s">
        <v>1892</v>
      </c>
      <c r="E1385" s="3">
        <v>2</v>
      </c>
      <c r="F1385" s="3">
        <v>203</v>
      </c>
      <c r="G1385" s="6" t="s">
        <v>23</v>
      </c>
      <c r="H1385" s="3" t="s">
        <v>1882</v>
      </c>
      <c r="I1385" s="6" t="s">
        <v>111</v>
      </c>
      <c r="J1385" s="3">
        <v>8</v>
      </c>
      <c r="K1385" s="3">
        <v>7</v>
      </c>
      <c r="L1385" s="3">
        <v>16.899999999999999</v>
      </c>
      <c r="M1385" s="3">
        <v>5</v>
      </c>
      <c r="N1385" s="3">
        <v>4</v>
      </c>
      <c r="O1385" s="3"/>
      <c r="P1385" s="3"/>
      <c r="Q1385" s="3"/>
      <c r="R1385" s="3" t="s">
        <v>1397</v>
      </c>
      <c r="S1385" s="3" t="s">
        <v>1942</v>
      </c>
      <c r="T1385" s="3">
        <v>1</v>
      </c>
      <c r="U1385" s="3">
        <v>15</v>
      </c>
      <c r="V1385" s="3">
        <v>20</v>
      </c>
      <c r="W1385" s="3">
        <v>90</v>
      </c>
      <c r="X1385" s="3" t="s">
        <v>1943</v>
      </c>
      <c r="Y1385" s="6" t="s">
        <v>1944</v>
      </c>
    </row>
    <row r="1386" spans="1:25" ht="15" customHeight="1" x14ac:dyDescent="0.3">
      <c r="A1386" s="5">
        <v>45947</v>
      </c>
      <c r="B1386" s="25">
        <v>28</v>
      </c>
      <c r="C1386" s="3" t="s">
        <v>1839</v>
      </c>
      <c r="D1386" s="3" t="s">
        <v>1892</v>
      </c>
      <c r="E1386" s="3">
        <v>2</v>
      </c>
      <c r="F1386" s="3">
        <v>204</v>
      </c>
      <c r="G1386" s="6" t="s">
        <v>1908</v>
      </c>
      <c r="H1386" s="3" t="s">
        <v>1909</v>
      </c>
      <c r="I1386" s="6" t="s">
        <v>111</v>
      </c>
      <c r="J1386" s="3">
        <v>4</v>
      </c>
      <c r="K1386" s="3">
        <v>2</v>
      </c>
      <c r="L1386" s="3">
        <v>17.8</v>
      </c>
      <c r="M1386" s="3">
        <v>5</v>
      </c>
      <c r="N1386" s="3">
        <v>4</v>
      </c>
      <c r="O1386" s="3"/>
      <c r="P1386" s="3"/>
      <c r="Q1386" s="3"/>
      <c r="R1386" s="3" t="s">
        <v>573</v>
      </c>
      <c r="S1386" s="3" t="s">
        <v>68</v>
      </c>
      <c r="T1386" s="3">
        <v>1</v>
      </c>
      <c r="U1386" s="3">
        <v>15</v>
      </c>
      <c r="V1386" s="3">
        <v>20</v>
      </c>
      <c r="W1386" s="3">
        <v>140</v>
      </c>
      <c r="X1386" s="3" t="s">
        <v>1945</v>
      </c>
      <c r="Y1386" s="6"/>
    </row>
    <row r="1387" spans="1:25" ht="15" customHeight="1" x14ac:dyDescent="0.3">
      <c r="A1387" s="5">
        <v>45947</v>
      </c>
      <c r="B1387" s="25">
        <v>28</v>
      </c>
      <c r="C1387" s="3" t="s">
        <v>1839</v>
      </c>
      <c r="D1387" s="3" t="s">
        <v>1892</v>
      </c>
      <c r="E1387" s="3">
        <v>2</v>
      </c>
      <c r="F1387" s="3">
        <v>205</v>
      </c>
      <c r="G1387" s="6" t="s">
        <v>1548</v>
      </c>
      <c r="H1387" s="3" t="s">
        <v>1703</v>
      </c>
      <c r="I1387" s="6" t="s">
        <v>111</v>
      </c>
      <c r="J1387" s="3">
        <v>12</v>
      </c>
      <c r="K1387" s="3">
        <v>9</v>
      </c>
      <c r="L1387" s="3">
        <v>23</v>
      </c>
      <c r="M1387" s="3">
        <v>11</v>
      </c>
      <c r="N1387" s="3">
        <v>3</v>
      </c>
      <c r="O1387" s="3"/>
      <c r="P1387" s="3"/>
      <c r="Q1387" s="3"/>
      <c r="R1387" s="3" t="s">
        <v>1921</v>
      </c>
      <c r="S1387" s="3" t="s">
        <v>637</v>
      </c>
      <c r="T1387" s="3">
        <v>1</v>
      </c>
      <c r="U1387" s="3">
        <v>10</v>
      </c>
      <c r="V1387" s="3">
        <v>25</v>
      </c>
      <c r="W1387" s="3">
        <v>90</v>
      </c>
      <c r="X1387" s="3" t="s">
        <v>1613</v>
      </c>
      <c r="Y1387" s="6"/>
    </row>
    <row r="1388" spans="1:25" ht="15" customHeight="1" x14ac:dyDescent="0.3">
      <c r="A1388" s="5">
        <v>45947</v>
      </c>
      <c r="B1388" s="25">
        <v>28</v>
      </c>
      <c r="C1388" s="3" t="s">
        <v>1839</v>
      </c>
      <c r="D1388" s="3" t="s">
        <v>1892</v>
      </c>
      <c r="E1388" s="3">
        <v>2</v>
      </c>
      <c r="F1388" s="3">
        <v>206</v>
      </c>
      <c r="G1388" s="6" t="s">
        <v>1876</v>
      </c>
      <c r="H1388" s="3" t="s">
        <v>1877</v>
      </c>
      <c r="I1388" s="6" t="s">
        <v>111</v>
      </c>
      <c r="J1388" s="3">
        <v>4</v>
      </c>
      <c r="K1388" s="3">
        <v>3</v>
      </c>
      <c r="L1388" s="3">
        <v>20.100000000000001</v>
      </c>
      <c r="M1388" s="3">
        <v>7</v>
      </c>
      <c r="N1388" s="3">
        <v>3</v>
      </c>
      <c r="O1388" s="3"/>
      <c r="P1388" s="3"/>
      <c r="Q1388" s="3"/>
      <c r="R1388" s="3" t="s">
        <v>1946</v>
      </c>
      <c r="S1388" s="3" t="s">
        <v>1947</v>
      </c>
      <c r="T1388" s="3">
        <v>2.5</v>
      </c>
      <c r="U1388" s="3">
        <v>25</v>
      </c>
      <c r="V1388" s="3">
        <v>30</v>
      </c>
      <c r="W1388" s="3">
        <v>140</v>
      </c>
      <c r="X1388" s="3" t="s">
        <v>1887</v>
      </c>
      <c r="Y1388" s="6" t="s">
        <v>1948</v>
      </c>
    </row>
    <row r="1389" spans="1:25" ht="15" customHeight="1" x14ac:dyDescent="0.3">
      <c r="A1389" s="5">
        <v>45947</v>
      </c>
      <c r="B1389" s="25">
        <v>28</v>
      </c>
      <c r="C1389" s="3" t="s">
        <v>1839</v>
      </c>
      <c r="D1389" s="3" t="s">
        <v>1892</v>
      </c>
      <c r="E1389" s="3">
        <v>2</v>
      </c>
      <c r="F1389" s="3">
        <v>207</v>
      </c>
      <c r="G1389" s="6" t="s">
        <v>476</v>
      </c>
      <c r="H1389" s="3" t="s">
        <v>1959</v>
      </c>
      <c r="I1389" s="6" t="s">
        <v>111</v>
      </c>
      <c r="J1389" s="3">
        <v>12</v>
      </c>
      <c r="K1389" s="3">
        <v>9</v>
      </c>
      <c r="L1389" s="3">
        <v>26.91</v>
      </c>
      <c r="M1389" s="3">
        <v>10</v>
      </c>
      <c r="N1389" s="3">
        <v>2.85</v>
      </c>
      <c r="O1389" s="3"/>
      <c r="P1389" s="3"/>
      <c r="Q1389" s="3"/>
      <c r="R1389" s="3" t="s">
        <v>135</v>
      </c>
      <c r="S1389" s="3" t="s">
        <v>523</v>
      </c>
      <c r="T1389" s="3">
        <v>1.25</v>
      </c>
      <c r="U1389" s="3">
        <v>15</v>
      </c>
      <c r="V1389" s="3">
        <v>20</v>
      </c>
      <c r="W1389" s="3">
        <v>100</v>
      </c>
      <c r="X1389" s="3" t="s">
        <v>1660</v>
      </c>
      <c r="Y1389" s="6" t="s">
        <v>1949</v>
      </c>
    </row>
    <row r="1390" spans="1:25" ht="15" customHeight="1" x14ac:dyDescent="0.3">
      <c r="A1390" s="5">
        <v>45947</v>
      </c>
      <c r="B1390" s="25">
        <v>28</v>
      </c>
      <c r="C1390" s="3" t="s">
        <v>1839</v>
      </c>
      <c r="D1390" s="3" t="s">
        <v>1892</v>
      </c>
      <c r="E1390" s="3">
        <v>2</v>
      </c>
      <c r="F1390" s="3">
        <v>209</v>
      </c>
      <c r="G1390" s="6" t="s">
        <v>996</v>
      </c>
      <c r="H1390" s="3" t="s">
        <v>1960</v>
      </c>
      <c r="I1390" s="6" t="s">
        <v>111</v>
      </c>
      <c r="J1390" s="3">
        <v>4</v>
      </c>
      <c r="K1390" s="3">
        <v>3</v>
      </c>
      <c r="L1390" s="3">
        <v>24</v>
      </c>
      <c r="M1390" s="3">
        <v>11</v>
      </c>
      <c r="N1390" s="3">
        <v>3.2</v>
      </c>
      <c r="O1390" s="3"/>
      <c r="P1390" s="3"/>
      <c r="Q1390" s="3"/>
      <c r="R1390" s="3" t="s">
        <v>451</v>
      </c>
      <c r="S1390" s="3" t="s">
        <v>1851</v>
      </c>
      <c r="T1390" s="3">
        <v>2</v>
      </c>
      <c r="U1390" s="3">
        <v>10</v>
      </c>
      <c r="V1390" s="3">
        <v>20</v>
      </c>
      <c r="W1390" s="3">
        <v>170</v>
      </c>
      <c r="X1390" s="3" t="s">
        <v>1950</v>
      </c>
      <c r="Y1390" s="6" t="s">
        <v>1951</v>
      </c>
    </row>
    <row r="1391" spans="1:25" ht="15" customHeight="1" x14ac:dyDescent="0.3">
      <c r="A1391" s="5">
        <v>45947</v>
      </c>
      <c r="B1391" s="25">
        <v>28</v>
      </c>
      <c r="C1391" s="3" t="s">
        <v>1839</v>
      </c>
      <c r="D1391" s="3" t="s">
        <v>1892</v>
      </c>
      <c r="E1391" s="3">
        <v>2</v>
      </c>
      <c r="F1391" s="3">
        <v>210</v>
      </c>
      <c r="G1391" s="6" t="s">
        <v>862</v>
      </c>
      <c r="H1391" s="3" t="s">
        <v>1911</v>
      </c>
      <c r="I1391" s="6" t="s">
        <v>111</v>
      </c>
      <c r="J1391" s="3">
        <v>4</v>
      </c>
      <c r="K1391" s="3">
        <v>4</v>
      </c>
      <c r="L1391" s="3">
        <v>18.399999999999999</v>
      </c>
      <c r="M1391" s="3">
        <v>5</v>
      </c>
      <c r="N1391" s="3">
        <v>4</v>
      </c>
      <c r="O1391" s="3"/>
      <c r="P1391" s="3"/>
      <c r="Q1391" s="3"/>
      <c r="R1391" s="3" t="s">
        <v>1927</v>
      </c>
      <c r="S1391" s="3" t="s">
        <v>1952</v>
      </c>
      <c r="T1391" s="3">
        <v>1</v>
      </c>
      <c r="U1391" s="3">
        <v>25</v>
      </c>
      <c r="V1391" s="3">
        <v>35</v>
      </c>
      <c r="W1391" s="3">
        <v>101</v>
      </c>
      <c r="X1391" s="3" t="s">
        <v>1953</v>
      </c>
      <c r="Y1391" s="6" t="s">
        <v>1954</v>
      </c>
    </row>
    <row r="1392" spans="1:25" ht="15" customHeight="1" x14ac:dyDescent="0.3">
      <c r="A1392" s="5">
        <v>45947</v>
      </c>
      <c r="B1392" s="25">
        <v>28</v>
      </c>
      <c r="C1392" s="3" t="s">
        <v>1839</v>
      </c>
      <c r="D1392" s="3" t="s">
        <v>1892</v>
      </c>
      <c r="E1392" s="3">
        <v>2</v>
      </c>
      <c r="F1392" s="3">
        <v>212</v>
      </c>
      <c r="G1392" s="6" t="s">
        <v>1934</v>
      </c>
      <c r="H1392" s="3" t="s">
        <v>1935</v>
      </c>
      <c r="I1392" s="6" t="s">
        <v>111</v>
      </c>
      <c r="J1392" s="3">
        <v>12</v>
      </c>
      <c r="K1392" s="3">
        <v>12</v>
      </c>
      <c r="L1392" s="3">
        <v>23.84</v>
      </c>
      <c r="M1392" s="3">
        <v>13</v>
      </c>
      <c r="N1392" s="3">
        <v>2</v>
      </c>
      <c r="O1392" s="3"/>
      <c r="P1392" s="3"/>
      <c r="Q1392" s="3"/>
      <c r="R1392" s="3" t="s">
        <v>1955</v>
      </c>
      <c r="S1392" s="3" t="s">
        <v>1956</v>
      </c>
      <c r="T1392" s="3">
        <v>0.1</v>
      </c>
      <c r="U1392" s="3">
        <v>10</v>
      </c>
      <c r="V1392" s="3">
        <v>20</v>
      </c>
      <c r="W1392" s="3">
        <v>150</v>
      </c>
      <c r="X1392" s="3" t="s">
        <v>1957</v>
      </c>
      <c r="Y1392" s="6" t="s">
        <v>1958</v>
      </c>
    </row>
    <row r="1393" spans="1:25" ht="15" customHeight="1" x14ac:dyDescent="0.3">
      <c r="A1393" s="5">
        <v>45950</v>
      </c>
      <c r="B1393" s="25">
        <v>28</v>
      </c>
      <c r="C1393" s="3" t="s">
        <v>1839</v>
      </c>
      <c r="D1393" s="3" t="s">
        <v>1962</v>
      </c>
      <c r="E1393" s="3">
        <v>2</v>
      </c>
      <c r="F1393" s="3">
        <v>401</v>
      </c>
      <c r="G1393" s="6" t="s">
        <v>775</v>
      </c>
      <c r="H1393" s="3">
        <v>19032</v>
      </c>
      <c r="I1393" s="6" t="s">
        <v>793</v>
      </c>
      <c r="J1393" s="3">
        <v>1</v>
      </c>
      <c r="K1393" s="3">
        <v>1</v>
      </c>
      <c r="L1393" s="3">
        <v>9.3699999999999992</v>
      </c>
      <c r="M1393" s="3"/>
      <c r="N1393" s="3"/>
      <c r="O1393" s="3">
        <v>3</v>
      </c>
      <c r="P1393" s="3"/>
      <c r="Q1393" s="3"/>
      <c r="R1393" s="3"/>
      <c r="S1393" s="3"/>
      <c r="T1393" s="3"/>
      <c r="U1393" s="3"/>
      <c r="V1393" s="3"/>
      <c r="W1393" s="3"/>
      <c r="X1393" s="3" t="s">
        <v>1963</v>
      </c>
      <c r="Y1393" s="6"/>
    </row>
    <row r="1394" spans="1:25" ht="15" customHeight="1" x14ac:dyDescent="0.3">
      <c r="A1394" s="5">
        <v>45950</v>
      </c>
      <c r="B1394" s="25">
        <v>28</v>
      </c>
      <c r="C1394" s="3" t="s">
        <v>1839</v>
      </c>
      <c r="D1394" s="3" t="s">
        <v>1962</v>
      </c>
      <c r="E1394" s="3">
        <v>2</v>
      </c>
      <c r="F1394" s="3">
        <v>405</v>
      </c>
      <c r="G1394" s="6" t="s">
        <v>14</v>
      </c>
      <c r="H1394" s="3">
        <v>18989</v>
      </c>
      <c r="I1394" s="6" t="s">
        <v>793</v>
      </c>
      <c r="J1394" s="3">
        <v>2</v>
      </c>
      <c r="K1394" s="3">
        <v>2</v>
      </c>
      <c r="L1394" s="3">
        <v>8.6</v>
      </c>
      <c r="M1394" s="3"/>
      <c r="N1394" s="3"/>
      <c r="O1394" s="3">
        <v>3</v>
      </c>
      <c r="P1394" s="3"/>
      <c r="Q1394" s="3"/>
      <c r="R1394" s="3"/>
      <c r="S1394" s="3"/>
      <c r="T1394" s="3"/>
      <c r="U1394" s="3"/>
      <c r="V1394" s="3"/>
      <c r="W1394" s="3"/>
      <c r="X1394" s="3" t="s">
        <v>1964</v>
      </c>
      <c r="Y1394" s="6"/>
    </row>
    <row r="1395" spans="1:25" ht="15" customHeight="1" x14ac:dyDescent="0.3">
      <c r="A1395" s="5">
        <v>45950</v>
      </c>
      <c r="B1395" s="25">
        <v>28</v>
      </c>
      <c r="C1395" s="3" t="s">
        <v>1839</v>
      </c>
      <c r="D1395" s="3" t="s">
        <v>1962</v>
      </c>
      <c r="E1395" s="3">
        <v>2</v>
      </c>
      <c r="F1395" s="3">
        <v>501</v>
      </c>
      <c r="G1395" s="6" t="s">
        <v>1913</v>
      </c>
      <c r="H1395" s="3">
        <v>18997</v>
      </c>
      <c r="I1395" s="6" t="s">
        <v>110</v>
      </c>
      <c r="J1395" s="3">
        <v>6</v>
      </c>
      <c r="K1395" s="3">
        <v>6</v>
      </c>
      <c r="L1395" s="3">
        <v>16.02</v>
      </c>
      <c r="M1395" s="3"/>
      <c r="N1395" s="3"/>
      <c r="O1395" s="3">
        <v>10</v>
      </c>
      <c r="P1395" s="3"/>
      <c r="Q1395" s="3"/>
      <c r="R1395" s="3"/>
      <c r="S1395" s="3"/>
      <c r="T1395" s="3"/>
      <c r="U1395" s="3"/>
      <c r="V1395" s="3"/>
      <c r="W1395" s="3"/>
      <c r="X1395" s="3" t="s">
        <v>1965</v>
      </c>
      <c r="Y1395" s="6"/>
    </row>
    <row r="1396" spans="1:25" ht="15" customHeight="1" x14ac:dyDescent="0.3">
      <c r="A1396" s="5">
        <v>45950</v>
      </c>
      <c r="B1396" s="25">
        <v>28</v>
      </c>
      <c r="C1396" s="3" t="s">
        <v>1839</v>
      </c>
      <c r="D1396" s="3" t="s">
        <v>1962</v>
      </c>
      <c r="E1396" s="3">
        <v>2</v>
      </c>
      <c r="F1396" s="3">
        <v>203</v>
      </c>
      <c r="G1396" s="6" t="s">
        <v>23</v>
      </c>
      <c r="H1396" s="3">
        <v>19005</v>
      </c>
      <c r="I1396" s="6" t="s">
        <v>111</v>
      </c>
      <c r="J1396" s="3">
        <v>8</v>
      </c>
      <c r="K1396" s="3">
        <v>7</v>
      </c>
      <c r="L1396" s="3">
        <v>19.7</v>
      </c>
      <c r="M1396" s="3">
        <v>5</v>
      </c>
      <c r="N1396" s="3">
        <v>4.8</v>
      </c>
      <c r="O1396" s="3"/>
      <c r="P1396" s="3"/>
      <c r="Q1396" s="3"/>
      <c r="R1396" s="3" t="s">
        <v>487</v>
      </c>
      <c r="S1396" s="3" t="s">
        <v>1132</v>
      </c>
      <c r="T1396" s="3">
        <v>1</v>
      </c>
      <c r="U1396" s="3">
        <v>15</v>
      </c>
      <c r="V1396" s="3">
        <v>20</v>
      </c>
      <c r="W1396" s="3">
        <v>90</v>
      </c>
      <c r="X1396" s="3" t="s">
        <v>1966</v>
      </c>
      <c r="Y1396" s="6" t="s">
        <v>1967</v>
      </c>
    </row>
    <row r="1397" spans="1:25" ht="15" customHeight="1" x14ac:dyDescent="0.3">
      <c r="A1397" s="5">
        <v>45950</v>
      </c>
      <c r="B1397" s="25">
        <v>28</v>
      </c>
      <c r="C1397" s="3" t="s">
        <v>1839</v>
      </c>
      <c r="D1397" s="3" t="s">
        <v>1962</v>
      </c>
      <c r="E1397" s="3">
        <v>2</v>
      </c>
      <c r="F1397" s="3">
        <v>204</v>
      </c>
      <c r="G1397" s="6" t="s">
        <v>1908</v>
      </c>
      <c r="H1397" s="3">
        <v>19016</v>
      </c>
      <c r="I1397" s="6" t="s">
        <v>111</v>
      </c>
      <c r="J1397" s="3">
        <v>4</v>
      </c>
      <c r="K1397" s="3">
        <v>2</v>
      </c>
      <c r="L1397" s="3">
        <v>16.899999999999999</v>
      </c>
      <c r="M1397" s="3">
        <v>5</v>
      </c>
      <c r="N1397" s="3">
        <v>3</v>
      </c>
      <c r="O1397" s="3"/>
      <c r="P1397" s="3"/>
      <c r="Q1397" s="3"/>
      <c r="R1397" s="3" t="s">
        <v>1968</v>
      </c>
      <c r="S1397" s="3" t="s">
        <v>1053</v>
      </c>
      <c r="T1397" s="3">
        <v>1</v>
      </c>
      <c r="U1397" s="3">
        <v>15</v>
      </c>
      <c r="V1397" s="3">
        <v>20</v>
      </c>
      <c r="W1397" s="3">
        <v>140</v>
      </c>
      <c r="X1397" s="3" t="s">
        <v>1969</v>
      </c>
      <c r="Y1397" s="6"/>
    </row>
    <row r="1398" spans="1:25" ht="15" customHeight="1" x14ac:dyDescent="0.3">
      <c r="A1398" s="5">
        <v>45950</v>
      </c>
      <c r="B1398" s="25">
        <v>28</v>
      </c>
      <c r="C1398" s="3" t="s">
        <v>1839</v>
      </c>
      <c r="D1398" s="3" t="s">
        <v>1962</v>
      </c>
      <c r="E1398" s="3">
        <v>2</v>
      </c>
      <c r="F1398" s="3">
        <v>205</v>
      </c>
      <c r="G1398" s="6" t="s">
        <v>1548</v>
      </c>
      <c r="H1398" s="3">
        <v>18857</v>
      </c>
      <c r="I1398" s="6" t="s">
        <v>111</v>
      </c>
      <c r="J1398" s="3">
        <v>12</v>
      </c>
      <c r="K1398" s="3">
        <v>9</v>
      </c>
      <c r="L1398" s="3">
        <v>23.2</v>
      </c>
      <c r="M1398" s="3">
        <v>11</v>
      </c>
      <c r="N1398" s="3">
        <v>3</v>
      </c>
      <c r="O1398" s="3"/>
      <c r="P1398" s="3"/>
      <c r="Q1398" s="3"/>
      <c r="R1398" s="3" t="s">
        <v>1921</v>
      </c>
      <c r="S1398" s="3" t="s">
        <v>637</v>
      </c>
      <c r="T1398" s="3">
        <v>1</v>
      </c>
      <c r="U1398" s="3">
        <v>20</v>
      </c>
      <c r="V1398" s="3">
        <v>25</v>
      </c>
      <c r="W1398" s="3">
        <v>90</v>
      </c>
      <c r="X1398" s="3" t="s">
        <v>1613</v>
      </c>
      <c r="Y1398" s="6"/>
    </row>
    <row r="1399" spans="1:25" ht="15" customHeight="1" x14ac:dyDescent="0.3">
      <c r="A1399" s="5">
        <v>45950</v>
      </c>
      <c r="B1399" s="25">
        <v>28</v>
      </c>
      <c r="C1399" s="3" t="s">
        <v>1839</v>
      </c>
      <c r="D1399" s="3" t="s">
        <v>1962</v>
      </c>
      <c r="E1399" s="3">
        <v>2</v>
      </c>
      <c r="F1399" s="3">
        <v>206</v>
      </c>
      <c r="G1399" s="6" t="s">
        <v>1876</v>
      </c>
      <c r="H1399" s="3">
        <v>18991</v>
      </c>
      <c r="I1399" s="6" t="s">
        <v>111</v>
      </c>
      <c r="J1399" s="3">
        <v>4</v>
      </c>
      <c r="K1399" s="3">
        <v>4</v>
      </c>
      <c r="L1399" s="3">
        <v>26.1</v>
      </c>
      <c r="M1399" s="3">
        <v>5</v>
      </c>
      <c r="N1399" s="3">
        <v>6.8</v>
      </c>
      <c r="O1399" s="3"/>
      <c r="P1399" s="3"/>
      <c r="Q1399" s="3"/>
      <c r="R1399" s="3" t="s">
        <v>1970</v>
      </c>
      <c r="S1399" s="3" t="s">
        <v>1971</v>
      </c>
      <c r="T1399" s="3">
        <v>2.5</v>
      </c>
      <c r="U1399" s="3">
        <v>25</v>
      </c>
      <c r="V1399" s="3">
        <v>30</v>
      </c>
      <c r="W1399" s="3">
        <v>140</v>
      </c>
      <c r="X1399" s="3" t="s">
        <v>1972</v>
      </c>
      <c r="Y1399" s="6" t="s">
        <v>218</v>
      </c>
    </row>
    <row r="1400" spans="1:25" ht="15" customHeight="1" x14ac:dyDescent="0.3">
      <c r="A1400" s="5">
        <v>45950</v>
      </c>
      <c r="B1400" s="25">
        <v>28</v>
      </c>
      <c r="C1400" s="3" t="s">
        <v>1839</v>
      </c>
      <c r="D1400" s="3" t="s">
        <v>1962</v>
      </c>
      <c r="E1400" s="3">
        <v>2</v>
      </c>
      <c r="F1400" s="3">
        <v>207</v>
      </c>
      <c r="G1400" s="6" t="s">
        <v>476</v>
      </c>
      <c r="H1400" s="3">
        <v>19031</v>
      </c>
      <c r="I1400" s="6" t="s">
        <v>111</v>
      </c>
      <c r="J1400" s="3">
        <v>12</v>
      </c>
      <c r="K1400" s="3">
        <v>9</v>
      </c>
      <c r="L1400" s="3">
        <v>26.86</v>
      </c>
      <c r="M1400" s="3">
        <v>11</v>
      </c>
      <c r="N1400" s="3">
        <v>2.85</v>
      </c>
      <c r="O1400" s="3"/>
      <c r="P1400" s="3"/>
      <c r="Q1400" s="3"/>
      <c r="R1400" s="3" t="s">
        <v>135</v>
      </c>
      <c r="S1400" s="3" t="s">
        <v>523</v>
      </c>
      <c r="T1400" s="3">
        <v>1.25</v>
      </c>
      <c r="U1400" s="3">
        <v>15</v>
      </c>
      <c r="V1400" s="3">
        <v>20</v>
      </c>
      <c r="W1400" s="3">
        <v>100</v>
      </c>
      <c r="X1400" s="3" t="s">
        <v>1660</v>
      </c>
      <c r="Y1400" s="6" t="s">
        <v>1973</v>
      </c>
    </row>
    <row r="1401" spans="1:25" ht="15" customHeight="1" x14ac:dyDescent="0.3">
      <c r="A1401" s="5">
        <v>45950</v>
      </c>
      <c r="B1401" s="25">
        <v>28</v>
      </c>
      <c r="C1401" s="3" t="s">
        <v>1839</v>
      </c>
      <c r="D1401" s="3" t="s">
        <v>1962</v>
      </c>
      <c r="E1401" s="3">
        <v>2</v>
      </c>
      <c r="F1401" s="3">
        <v>209</v>
      </c>
      <c r="G1401" s="6" t="s">
        <v>439</v>
      </c>
      <c r="H1401" s="3">
        <v>19013</v>
      </c>
      <c r="I1401" s="6" t="s">
        <v>111</v>
      </c>
      <c r="J1401" s="3">
        <v>4</v>
      </c>
      <c r="K1401" s="3">
        <v>4</v>
      </c>
      <c r="L1401" s="3">
        <v>23.5</v>
      </c>
      <c r="M1401" s="3">
        <v>11</v>
      </c>
      <c r="N1401" s="3">
        <v>3.2</v>
      </c>
      <c r="O1401" s="3"/>
      <c r="P1401" s="3"/>
      <c r="Q1401" s="3"/>
      <c r="R1401" s="3" t="s">
        <v>451</v>
      </c>
      <c r="S1401" s="3" t="s">
        <v>1851</v>
      </c>
      <c r="T1401" s="3">
        <v>2</v>
      </c>
      <c r="U1401" s="3">
        <v>10</v>
      </c>
      <c r="V1401" s="3">
        <v>20</v>
      </c>
      <c r="W1401" s="3">
        <v>170</v>
      </c>
      <c r="X1401" s="3" t="s">
        <v>1975</v>
      </c>
      <c r="Y1401" s="6" t="s">
        <v>1976</v>
      </c>
    </row>
    <row r="1402" spans="1:25" ht="15" customHeight="1" x14ac:dyDescent="0.3">
      <c r="A1402" s="5">
        <v>45950</v>
      </c>
      <c r="B1402" s="25">
        <v>28</v>
      </c>
      <c r="C1402" s="3" t="s">
        <v>1839</v>
      </c>
      <c r="D1402" s="3" t="s">
        <v>1962</v>
      </c>
      <c r="E1402" s="3">
        <v>2</v>
      </c>
      <c r="F1402" s="3">
        <v>210</v>
      </c>
      <c r="G1402" s="6" t="s">
        <v>862</v>
      </c>
      <c r="H1402" s="3">
        <v>19015</v>
      </c>
      <c r="I1402" s="6" t="s">
        <v>111</v>
      </c>
      <c r="J1402" s="3">
        <v>4</v>
      </c>
      <c r="K1402" s="3">
        <v>4</v>
      </c>
      <c r="L1402" s="3">
        <v>18.5</v>
      </c>
      <c r="M1402" s="3">
        <v>5</v>
      </c>
      <c r="N1402" s="3">
        <v>4</v>
      </c>
      <c r="O1402" s="3"/>
      <c r="P1402" s="3"/>
      <c r="Q1402" s="3"/>
      <c r="R1402" s="3" t="s">
        <v>1974</v>
      </c>
      <c r="S1402" s="3" t="s">
        <v>1006</v>
      </c>
      <c r="T1402" s="3">
        <v>1</v>
      </c>
      <c r="U1402" s="3">
        <v>25</v>
      </c>
      <c r="V1402" s="3">
        <v>35</v>
      </c>
      <c r="W1402" s="3">
        <v>101</v>
      </c>
      <c r="X1402" s="3" t="s">
        <v>1928</v>
      </c>
      <c r="Y1402" s="6" t="s">
        <v>1977</v>
      </c>
    </row>
    <row r="1403" spans="1:25" ht="15" customHeight="1" x14ac:dyDescent="0.3">
      <c r="A1403" s="5">
        <v>45951</v>
      </c>
      <c r="B1403" s="25">
        <v>28</v>
      </c>
      <c r="C1403" s="3" t="s">
        <v>1839</v>
      </c>
      <c r="D1403" s="3" t="s">
        <v>1962</v>
      </c>
      <c r="E1403" s="3">
        <v>2</v>
      </c>
      <c r="F1403" s="3">
        <v>401</v>
      </c>
      <c r="G1403" s="6" t="s">
        <v>844</v>
      </c>
      <c r="H1403" s="3" t="s">
        <v>1990</v>
      </c>
      <c r="I1403" s="6" t="s">
        <v>5</v>
      </c>
      <c r="J1403" s="3">
        <v>1</v>
      </c>
      <c r="K1403" s="3">
        <v>1</v>
      </c>
      <c r="L1403" s="3">
        <v>11.78</v>
      </c>
      <c r="M1403" s="3"/>
      <c r="N1403" s="3"/>
      <c r="O1403" s="3">
        <v>4</v>
      </c>
      <c r="P1403" s="3"/>
      <c r="Q1403" s="3"/>
      <c r="R1403" s="3"/>
      <c r="S1403" s="3"/>
      <c r="T1403" s="3"/>
      <c r="U1403" s="3"/>
      <c r="V1403" s="3"/>
      <c r="W1403" s="3"/>
      <c r="X1403" s="3" t="s">
        <v>1978</v>
      </c>
      <c r="Y1403" s="6"/>
    </row>
    <row r="1404" spans="1:25" ht="15" customHeight="1" x14ac:dyDescent="0.3">
      <c r="A1404" s="5">
        <v>45951</v>
      </c>
      <c r="B1404" s="25">
        <v>28</v>
      </c>
      <c r="C1404" s="3" t="s">
        <v>1839</v>
      </c>
      <c r="D1404" s="3" t="s">
        <v>1962</v>
      </c>
      <c r="E1404" s="3">
        <v>2</v>
      </c>
      <c r="F1404" s="3">
        <v>405</v>
      </c>
      <c r="G1404" s="6" t="s">
        <v>1991</v>
      </c>
      <c r="H1404" s="3" t="s">
        <v>1992</v>
      </c>
      <c r="I1404" s="6" t="s">
        <v>5</v>
      </c>
      <c r="J1404" s="3">
        <v>2</v>
      </c>
      <c r="K1404" s="3">
        <v>2</v>
      </c>
      <c r="L1404" s="3">
        <v>8.6999999999999993</v>
      </c>
      <c r="M1404" s="3"/>
      <c r="N1404" s="3"/>
      <c r="O1404" s="3">
        <v>3</v>
      </c>
      <c r="P1404" s="3"/>
      <c r="Q1404" s="3"/>
      <c r="R1404" s="3"/>
      <c r="S1404" s="3"/>
      <c r="T1404" s="3"/>
      <c r="U1404" s="3"/>
      <c r="V1404" s="3"/>
      <c r="W1404" s="3"/>
      <c r="X1404" s="3" t="s">
        <v>1964</v>
      </c>
      <c r="Y1404" s="6"/>
    </row>
    <row r="1405" spans="1:25" ht="15" customHeight="1" x14ac:dyDescent="0.3">
      <c r="A1405" s="5">
        <v>45951</v>
      </c>
      <c r="B1405" s="25">
        <v>28</v>
      </c>
      <c r="C1405" s="3" t="s">
        <v>1839</v>
      </c>
      <c r="D1405" s="3" t="s">
        <v>1962</v>
      </c>
      <c r="E1405" s="3">
        <v>2</v>
      </c>
      <c r="F1405" s="3">
        <v>303</v>
      </c>
      <c r="G1405" s="6" t="s">
        <v>32</v>
      </c>
      <c r="H1405" s="3" t="s">
        <v>238</v>
      </c>
      <c r="I1405" s="6" t="s">
        <v>5</v>
      </c>
      <c r="J1405" s="3">
        <v>12</v>
      </c>
      <c r="K1405" s="3">
        <v>7</v>
      </c>
      <c r="L1405" s="3">
        <v>44.8</v>
      </c>
      <c r="M1405" s="3">
        <v>26</v>
      </c>
      <c r="N1405" s="3">
        <v>5</v>
      </c>
      <c r="O1405" s="3"/>
      <c r="P1405" s="3"/>
      <c r="Q1405" s="3"/>
      <c r="R1405" s="3" t="s">
        <v>63</v>
      </c>
      <c r="S1405" s="3" t="s">
        <v>72</v>
      </c>
      <c r="T1405" s="3">
        <v>2</v>
      </c>
      <c r="U1405" s="3">
        <v>20</v>
      </c>
      <c r="V1405" s="3">
        <v>30</v>
      </c>
      <c r="W1405" s="3">
        <v>140</v>
      </c>
      <c r="X1405" s="3" t="s">
        <v>1060</v>
      </c>
      <c r="Y1405" s="6" t="s">
        <v>1979</v>
      </c>
    </row>
    <row r="1406" spans="1:25" ht="15" customHeight="1" x14ac:dyDescent="0.3">
      <c r="A1406" s="5">
        <v>45951</v>
      </c>
      <c r="B1406" s="25">
        <v>28</v>
      </c>
      <c r="C1406" s="3" t="s">
        <v>1839</v>
      </c>
      <c r="D1406" s="3" t="s">
        <v>1962</v>
      </c>
      <c r="E1406" s="3">
        <v>2</v>
      </c>
      <c r="F1406" s="3">
        <v>501</v>
      </c>
      <c r="G1406" s="6" t="s">
        <v>1913</v>
      </c>
      <c r="H1406" s="3" t="s">
        <v>1912</v>
      </c>
      <c r="I1406" s="6" t="s">
        <v>110</v>
      </c>
      <c r="J1406" s="3">
        <v>6</v>
      </c>
      <c r="K1406" s="3">
        <v>6</v>
      </c>
      <c r="L1406" s="3">
        <v>16.02</v>
      </c>
      <c r="M1406" s="3"/>
      <c r="N1406" s="3"/>
      <c r="O1406" s="3">
        <v>10</v>
      </c>
      <c r="P1406" s="3"/>
      <c r="Q1406" s="3"/>
      <c r="R1406" s="3"/>
      <c r="S1406" s="3"/>
      <c r="T1406" s="3"/>
      <c r="U1406" s="3"/>
      <c r="V1406" s="3"/>
      <c r="W1406" s="3"/>
      <c r="X1406" s="3" t="s">
        <v>1980</v>
      </c>
      <c r="Y1406" s="6"/>
    </row>
    <row r="1407" spans="1:25" ht="15" customHeight="1" x14ac:dyDescent="0.3">
      <c r="A1407" s="5">
        <v>45951</v>
      </c>
      <c r="B1407" s="25">
        <v>28</v>
      </c>
      <c r="C1407" s="3" t="s">
        <v>1839</v>
      </c>
      <c r="D1407" s="3" t="s">
        <v>1962</v>
      </c>
      <c r="E1407" s="3">
        <v>2</v>
      </c>
      <c r="F1407" s="3">
        <v>203</v>
      </c>
      <c r="G1407" s="6" t="s">
        <v>23</v>
      </c>
      <c r="H1407" s="3" t="s">
        <v>1882</v>
      </c>
      <c r="I1407" s="6" t="s">
        <v>111</v>
      </c>
      <c r="J1407" s="3">
        <v>8</v>
      </c>
      <c r="K1407" s="3">
        <v>7</v>
      </c>
      <c r="L1407" s="3">
        <v>18.600000000000001</v>
      </c>
      <c r="M1407" s="3">
        <v>5</v>
      </c>
      <c r="N1407" s="3">
        <v>4.8</v>
      </c>
      <c r="O1407" s="3"/>
      <c r="P1407" s="3"/>
      <c r="Q1407" s="3"/>
      <c r="R1407" s="3" t="s">
        <v>487</v>
      </c>
      <c r="S1407" s="3" t="s">
        <v>1900</v>
      </c>
      <c r="T1407" s="3">
        <v>1</v>
      </c>
      <c r="U1407" s="3">
        <v>15</v>
      </c>
      <c r="V1407" s="3">
        <v>20</v>
      </c>
      <c r="W1407" s="3">
        <v>90</v>
      </c>
      <c r="X1407" s="3" t="s">
        <v>1966</v>
      </c>
      <c r="Y1407" s="6" t="s">
        <v>1981</v>
      </c>
    </row>
    <row r="1408" spans="1:25" ht="15" customHeight="1" x14ac:dyDescent="0.3">
      <c r="A1408" s="5">
        <v>45951</v>
      </c>
      <c r="B1408" s="25">
        <v>28</v>
      </c>
      <c r="C1408" s="3" t="s">
        <v>1839</v>
      </c>
      <c r="D1408" s="3" t="s">
        <v>1962</v>
      </c>
      <c r="E1408" s="3">
        <v>2</v>
      </c>
      <c r="F1408" s="3">
        <v>204</v>
      </c>
      <c r="G1408" s="6" t="s">
        <v>1908</v>
      </c>
      <c r="H1408" s="3" t="s">
        <v>1909</v>
      </c>
      <c r="I1408" s="6" t="s">
        <v>111</v>
      </c>
      <c r="J1408" s="3">
        <v>4</v>
      </c>
      <c r="K1408" s="3">
        <v>2</v>
      </c>
      <c r="L1408" s="3">
        <v>16.899999999999999</v>
      </c>
      <c r="M1408" s="3">
        <v>5</v>
      </c>
      <c r="N1408" s="3">
        <v>3</v>
      </c>
      <c r="O1408" s="3"/>
      <c r="P1408" s="3"/>
      <c r="Q1408" s="3"/>
      <c r="R1408" s="3" t="s">
        <v>676</v>
      </c>
      <c r="S1408" s="3" t="s">
        <v>63</v>
      </c>
      <c r="T1408" s="3">
        <v>1</v>
      </c>
      <c r="U1408" s="3">
        <v>15</v>
      </c>
      <c r="V1408" s="3">
        <v>20</v>
      </c>
      <c r="W1408" s="3">
        <v>140</v>
      </c>
      <c r="X1408" s="3" t="s">
        <v>1969</v>
      </c>
      <c r="Y1408" s="6"/>
    </row>
    <row r="1409" spans="1:25" ht="15" customHeight="1" x14ac:dyDescent="0.3">
      <c r="A1409" s="5">
        <v>45951</v>
      </c>
      <c r="B1409" s="25">
        <v>28</v>
      </c>
      <c r="C1409" s="3" t="s">
        <v>1839</v>
      </c>
      <c r="D1409" s="3" t="s">
        <v>1962</v>
      </c>
      <c r="E1409" s="3">
        <v>2</v>
      </c>
      <c r="F1409" s="3">
        <v>205</v>
      </c>
      <c r="G1409" s="6" t="s">
        <v>1548</v>
      </c>
      <c r="H1409" s="3" t="s">
        <v>1703</v>
      </c>
      <c r="I1409" s="6" t="s">
        <v>111</v>
      </c>
      <c r="J1409" s="3">
        <v>12</v>
      </c>
      <c r="K1409" s="3">
        <v>9</v>
      </c>
      <c r="L1409" s="3">
        <v>23.3</v>
      </c>
      <c r="M1409" s="3">
        <v>11</v>
      </c>
      <c r="N1409" s="3">
        <v>3.2</v>
      </c>
      <c r="O1409" s="3"/>
      <c r="P1409" s="3"/>
      <c r="Q1409" s="3"/>
      <c r="R1409" s="3" t="s">
        <v>203</v>
      </c>
      <c r="S1409" s="3" t="s">
        <v>63</v>
      </c>
      <c r="T1409" s="3">
        <v>1</v>
      </c>
      <c r="U1409" s="3">
        <v>20</v>
      </c>
      <c r="V1409" s="3">
        <v>25</v>
      </c>
      <c r="W1409" s="3">
        <v>90</v>
      </c>
      <c r="X1409" s="3" t="s">
        <v>1613</v>
      </c>
      <c r="Y1409" s="6"/>
    </row>
    <row r="1410" spans="1:25" ht="15" customHeight="1" x14ac:dyDescent="0.3">
      <c r="A1410" s="5">
        <v>45951</v>
      </c>
      <c r="B1410" s="25">
        <v>28</v>
      </c>
      <c r="C1410" s="3" t="s">
        <v>1839</v>
      </c>
      <c r="D1410" s="3" t="s">
        <v>1962</v>
      </c>
      <c r="E1410" s="3">
        <v>2</v>
      </c>
      <c r="F1410" s="3">
        <v>206</v>
      </c>
      <c r="G1410" s="6" t="s">
        <v>1876</v>
      </c>
      <c r="H1410" s="3" t="s">
        <v>1877</v>
      </c>
      <c r="I1410" s="6" t="s">
        <v>111</v>
      </c>
      <c r="J1410" s="3">
        <v>4</v>
      </c>
      <c r="K1410" s="3">
        <v>3</v>
      </c>
      <c r="L1410" s="3">
        <v>18.899999999999999</v>
      </c>
      <c r="M1410" s="3">
        <v>5</v>
      </c>
      <c r="N1410" s="3">
        <v>3.7</v>
      </c>
      <c r="O1410" s="3"/>
      <c r="P1410" s="3"/>
      <c r="Q1410" s="3"/>
      <c r="R1410" s="3" t="s">
        <v>1982</v>
      </c>
      <c r="S1410" s="3" t="s">
        <v>1983</v>
      </c>
      <c r="T1410" s="3">
        <v>2.5</v>
      </c>
      <c r="U1410" s="3">
        <v>25</v>
      </c>
      <c r="V1410" s="3">
        <v>30</v>
      </c>
      <c r="W1410" s="3">
        <v>140</v>
      </c>
      <c r="X1410" s="3" t="s">
        <v>1984</v>
      </c>
      <c r="Y1410" s="6" t="s">
        <v>1985</v>
      </c>
    </row>
    <row r="1411" spans="1:25" ht="15" customHeight="1" x14ac:dyDescent="0.3">
      <c r="A1411" s="5">
        <v>45951</v>
      </c>
      <c r="B1411" s="25">
        <v>28</v>
      </c>
      <c r="C1411" s="3" t="s">
        <v>1839</v>
      </c>
      <c r="D1411" s="3" t="s">
        <v>1962</v>
      </c>
      <c r="E1411" s="3">
        <v>2</v>
      </c>
      <c r="F1411" s="3">
        <v>207</v>
      </c>
      <c r="G1411" s="6" t="s">
        <v>476</v>
      </c>
      <c r="H1411" s="3" t="s">
        <v>1959</v>
      </c>
      <c r="I1411" s="6" t="s">
        <v>111</v>
      </c>
      <c r="J1411" s="3">
        <v>12</v>
      </c>
      <c r="K1411" s="3">
        <v>9</v>
      </c>
      <c r="L1411" s="3">
        <v>26.95</v>
      </c>
      <c r="M1411" s="3">
        <v>11</v>
      </c>
      <c r="N1411" s="3">
        <v>2.85</v>
      </c>
      <c r="O1411" s="3"/>
      <c r="P1411" s="3"/>
      <c r="Q1411" s="3"/>
      <c r="R1411" s="3" t="s">
        <v>135</v>
      </c>
      <c r="S1411" s="3" t="s">
        <v>523</v>
      </c>
      <c r="T1411" s="3">
        <v>1.25</v>
      </c>
      <c r="U1411" s="3">
        <v>15</v>
      </c>
      <c r="V1411" s="3">
        <v>20</v>
      </c>
      <c r="W1411" s="3">
        <v>100</v>
      </c>
      <c r="X1411" s="3" t="s">
        <v>1660</v>
      </c>
      <c r="Y1411" s="6" t="s">
        <v>1986</v>
      </c>
    </row>
    <row r="1412" spans="1:25" ht="15" customHeight="1" x14ac:dyDescent="0.3">
      <c r="A1412" s="5">
        <v>45951</v>
      </c>
      <c r="B1412" s="25">
        <v>28</v>
      </c>
      <c r="C1412" s="3" t="s">
        <v>1839</v>
      </c>
      <c r="D1412" s="3" t="s">
        <v>1962</v>
      </c>
      <c r="E1412" s="3">
        <v>2</v>
      </c>
      <c r="F1412" s="3">
        <v>209</v>
      </c>
      <c r="G1412" s="6" t="s">
        <v>439</v>
      </c>
      <c r="H1412" s="3" t="s">
        <v>1910</v>
      </c>
      <c r="I1412" s="6" t="s">
        <v>111</v>
      </c>
      <c r="J1412" s="3">
        <v>4</v>
      </c>
      <c r="K1412" s="3">
        <v>3</v>
      </c>
      <c r="L1412" s="3">
        <v>24</v>
      </c>
      <c r="M1412" s="3">
        <v>11</v>
      </c>
      <c r="N1412" s="3">
        <v>3.2</v>
      </c>
      <c r="O1412" s="3"/>
      <c r="P1412" s="3"/>
      <c r="Q1412" s="3"/>
      <c r="R1412" s="3" t="s">
        <v>451</v>
      </c>
      <c r="S1412" s="3" t="s">
        <v>1851</v>
      </c>
      <c r="T1412" s="3">
        <v>2</v>
      </c>
      <c r="U1412" s="3">
        <v>10</v>
      </c>
      <c r="V1412" s="3">
        <v>20</v>
      </c>
      <c r="W1412" s="3">
        <v>170</v>
      </c>
      <c r="X1412" s="3" t="s">
        <v>1987</v>
      </c>
      <c r="Y1412" s="6" t="s">
        <v>1988</v>
      </c>
    </row>
    <row r="1413" spans="1:25" ht="15" customHeight="1" x14ac:dyDescent="0.3">
      <c r="A1413" s="5">
        <v>45951</v>
      </c>
      <c r="B1413" s="25">
        <v>28</v>
      </c>
      <c r="C1413" s="3" t="s">
        <v>1839</v>
      </c>
      <c r="D1413" s="3" t="s">
        <v>1962</v>
      </c>
      <c r="E1413" s="3">
        <v>2</v>
      </c>
      <c r="F1413" s="3">
        <v>210</v>
      </c>
      <c r="G1413" s="6" t="s">
        <v>967</v>
      </c>
      <c r="H1413" s="3" t="s">
        <v>1993</v>
      </c>
      <c r="I1413" s="6" t="s">
        <v>111</v>
      </c>
      <c r="J1413" s="3">
        <v>4</v>
      </c>
      <c r="K1413" s="3">
        <v>4</v>
      </c>
      <c r="L1413" s="3">
        <v>17.600000000000001</v>
      </c>
      <c r="M1413" s="3"/>
      <c r="N1413" s="3">
        <v>4</v>
      </c>
      <c r="O1413" s="3"/>
      <c r="P1413" s="3"/>
      <c r="Q1413" s="3"/>
      <c r="R1413" s="3" t="s">
        <v>1989</v>
      </c>
      <c r="S1413" s="3" t="s">
        <v>1006</v>
      </c>
      <c r="T1413" s="3">
        <v>2</v>
      </c>
      <c r="U1413" s="3">
        <v>20</v>
      </c>
      <c r="V1413" s="3">
        <v>30</v>
      </c>
      <c r="W1413" s="3">
        <v>140</v>
      </c>
      <c r="X1413" s="3" t="s">
        <v>1060</v>
      </c>
      <c r="Y1413" s="6" t="s">
        <v>1979</v>
      </c>
    </row>
    <row r="1414" spans="1:25" ht="15" customHeight="1" x14ac:dyDescent="0.3">
      <c r="A1414" s="5">
        <v>45952</v>
      </c>
      <c r="B1414" s="25">
        <v>28</v>
      </c>
      <c r="C1414" s="3" t="s">
        <v>1839</v>
      </c>
      <c r="D1414" s="3" t="s">
        <v>1962</v>
      </c>
      <c r="E1414" s="3">
        <v>2</v>
      </c>
      <c r="F1414" s="3">
        <v>401</v>
      </c>
      <c r="G1414" s="6" t="s">
        <v>844</v>
      </c>
      <c r="H1414" s="3" t="s">
        <v>1990</v>
      </c>
      <c r="I1414" s="6" t="s">
        <v>5</v>
      </c>
      <c r="J1414" s="3">
        <v>1</v>
      </c>
      <c r="K1414" s="3">
        <v>1</v>
      </c>
      <c r="L1414" s="3">
        <v>11.81</v>
      </c>
      <c r="M1414" s="3"/>
      <c r="N1414" s="3"/>
      <c r="O1414" s="3">
        <v>4</v>
      </c>
      <c r="P1414" s="3"/>
      <c r="Q1414" s="3"/>
      <c r="R1414" s="3"/>
      <c r="S1414" s="3"/>
      <c r="T1414" s="3"/>
      <c r="U1414" s="3"/>
      <c r="V1414" s="3"/>
      <c r="W1414" s="3"/>
      <c r="X1414" s="3" t="s">
        <v>1994</v>
      </c>
      <c r="Y1414" s="6"/>
    </row>
    <row r="1415" spans="1:25" ht="15" customHeight="1" x14ac:dyDescent="0.3">
      <c r="A1415" s="5">
        <v>45952</v>
      </c>
      <c r="B1415" s="25">
        <v>28</v>
      </c>
      <c r="C1415" s="3" t="s">
        <v>1839</v>
      </c>
      <c r="D1415" s="3" t="s">
        <v>1962</v>
      </c>
      <c r="E1415" s="3">
        <v>2</v>
      </c>
      <c r="F1415" s="3">
        <v>405</v>
      </c>
      <c r="G1415" s="6" t="s">
        <v>1991</v>
      </c>
      <c r="H1415" s="3" t="s">
        <v>1992</v>
      </c>
      <c r="I1415" s="6" t="s">
        <v>5</v>
      </c>
      <c r="J1415" s="3">
        <v>2</v>
      </c>
      <c r="K1415" s="3">
        <v>2</v>
      </c>
      <c r="L1415" s="3">
        <v>8.9</v>
      </c>
      <c r="M1415" s="3"/>
      <c r="N1415" s="3"/>
      <c r="O1415" s="3">
        <v>3</v>
      </c>
      <c r="P1415" s="3"/>
      <c r="Q1415" s="3"/>
      <c r="R1415" s="3"/>
      <c r="S1415" s="3"/>
      <c r="T1415" s="3"/>
      <c r="U1415" s="3"/>
      <c r="V1415" s="3"/>
      <c r="W1415" s="3"/>
      <c r="X1415" s="3" t="s">
        <v>1995</v>
      </c>
      <c r="Y1415" s="6"/>
    </row>
    <row r="1416" spans="1:25" ht="15" customHeight="1" x14ac:dyDescent="0.3">
      <c r="A1416" s="5">
        <v>45952</v>
      </c>
      <c r="B1416" s="25">
        <v>28</v>
      </c>
      <c r="C1416" s="3" t="s">
        <v>1839</v>
      </c>
      <c r="D1416" s="3" t="s">
        <v>1962</v>
      </c>
      <c r="E1416" s="3">
        <v>2</v>
      </c>
      <c r="F1416" s="3">
        <v>303</v>
      </c>
      <c r="G1416" s="6" t="s">
        <v>1031</v>
      </c>
      <c r="H1416" s="3" t="s">
        <v>2005</v>
      </c>
      <c r="I1416" s="6" t="s">
        <v>5</v>
      </c>
      <c r="J1416" s="3">
        <v>12</v>
      </c>
      <c r="K1416" s="3">
        <v>7</v>
      </c>
      <c r="L1416" s="3">
        <v>42.8</v>
      </c>
      <c r="M1416" s="3">
        <v>24</v>
      </c>
      <c r="N1416" s="3">
        <v>5</v>
      </c>
      <c r="O1416" s="3"/>
      <c r="P1416" s="3"/>
      <c r="Q1416" s="3"/>
      <c r="R1416" s="3" t="s">
        <v>1585</v>
      </c>
      <c r="S1416" s="3" t="s">
        <v>63</v>
      </c>
      <c r="T1416" s="3">
        <v>2</v>
      </c>
      <c r="U1416" s="3">
        <v>20</v>
      </c>
      <c r="V1416" s="3">
        <v>30</v>
      </c>
      <c r="W1416" s="3">
        <v>140</v>
      </c>
      <c r="X1416" s="3" t="s">
        <v>1060</v>
      </c>
      <c r="Y1416" s="6" t="s">
        <v>1996</v>
      </c>
    </row>
    <row r="1417" spans="1:25" ht="15" customHeight="1" x14ac:dyDescent="0.3">
      <c r="A1417" s="5">
        <v>45952</v>
      </c>
      <c r="B1417" s="25">
        <v>28</v>
      </c>
      <c r="C1417" s="3" t="s">
        <v>1839</v>
      </c>
      <c r="D1417" s="3" t="s">
        <v>1962</v>
      </c>
      <c r="E1417" s="3">
        <v>2</v>
      </c>
      <c r="F1417" s="3">
        <v>203</v>
      </c>
      <c r="G1417" s="6" t="s">
        <v>23</v>
      </c>
      <c r="H1417" s="3" t="s">
        <v>1882</v>
      </c>
      <c r="I1417" s="6" t="s">
        <v>111</v>
      </c>
      <c r="J1417" s="3">
        <v>8</v>
      </c>
      <c r="K1417" s="3">
        <v>8</v>
      </c>
      <c r="L1417" s="3">
        <v>20.7</v>
      </c>
      <c r="M1417" s="3">
        <v>5</v>
      </c>
      <c r="N1417" s="3">
        <v>4.8</v>
      </c>
      <c r="O1417" s="3"/>
      <c r="P1417" s="3"/>
      <c r="Q1417" s="3"/>
      <c r="R1417" s="3" t="s">
        <v>487</v>
      </c>
      <c r="S1417" s="3" t="s">
        <v>1900</v>
      </c>
      <c r="T1417" s="3">
        <v>1</v>
      </c>
      <c r="U1417" s="3">
        <v>15</v>
      </c>
      <c r="V1417" s="3">
        <v>20</v>
      </c>
      <c r="W1417" s="3">
        <v>90</v>
      </c>
      <c r="X1417" s="3" t="s">
        <v>1997</v>
      </c>
      <c r="Y1417" s="6" t="s">
        <v>1998</v>
      </c>
    </row>
    <row r="1418" spans="1:25" ht="15" customHeight="1" x14ac:dyDescent="0.3">
      <c r="A1418" s="5">
        <v>45952</v>
      </c>
      <c r="B1418" s="25">
        <v>28</v>
      </c>
      <c r="C1418" s="3" t="s">
        <v>1839</v>
      </c>
      <c r="D1418" s="3" t="s">
        <v>1962</v>
      </c>
      <c r="E1418" s="3">
        <v>2</v>
      </c>
      <c r="F1418" s="3">
        <v>204</v>
      </c>
      <c r="G1418" s="6" t="s">
        <v>1908</v>
      </c>
      <c r="H1418" s="3" t="s">
        <v>1909</v>
      </c>
      <c r="I1418" s="6" t="s">
        <v>111</v>
      </c>
      <c r="J1418" s="3">
        <v>4</v>
      </c>
      <c r="K1418" s="3">
        <v>2</v>
      </c>
      <c r="L1418" s="3">
        <v>15.9</v>
      </c>
      <c r="M1418" s="3">
        <v>4</v>
      </c>
      <c r="N1418" s="3">
        <v>3</v>
      </c>
      <c r="O1418" s="3"/>
      <c r="P1418" s="3"/>
      <c r="Q1418" s="3"/>
      <c r="R1418" s="3" t="s">
        <v>725</v>
      </c>
      <c r="S1418" s="3" t="s">
        <v>72</v>
      </c>
      <c r="T1418" s="3">
        <v>1</v>
      </c>
      <c r="U1418" s="3">
        <v>15</v>
      </c>
      <c r="V1418" s="3">
        <v>20</v>
      </c>
      <c r="W1418" s="3">
        <v>140</v>
      </c>
      <c r="X1418" s="3" t="s">
        <v>1969</v>
      </c>
      <c r="Y1418" s="6"/>
    </row>
    <row r="1419" spans="1:25" ht="15" customHeight="1" x14ac:dyDescent="0.3">
      <c r="A1419" s="5">
        <v>45952</v>
      </c>
      <c r="B1419" s="25">
        <v>28</v>
      </c>
      <c r="C1419" s="3" t="s">
        <v>1839</v>
      </c>
      <c r="D1419" s="3" t="s">
        <v>1962</v>
      </c>
      <c r="E1419" s="3">
        <v>2</v>
      </c>
      <c r="F1419" s="3">
        <v>205</v>
      </c>
      <c r="G1419" s="6" t="s">
        <v>1548</v>
      </c>
      <c r="H1419" s="3" t="s">
        <v>1703</v>
      </c>
      <c r="I1419" s="6" t="s">
        <v>111</v>
      </c>
      <c r="J1419" s="3">
        <v>12</v>
      </c>
      <c r="K1419" s="3">
        <v>9</v>
      </c>
      <c r="L1419" s="3">
        <v>24.1</v>
      </c>
      <c r="M1419" s="3">
        <v>11</v>
      </c>
      <c r="N1419" s="3">
        <v>4</v>
      </c>
      <c r="O1419" s="3"/>
      <c r="P1419" s="3"/>
      <c r="Q1419" s="3"/>
      <c r="R1419" s="3" t="s">
        <v>1265</v>
      </c>
      <c r="S1419" s="3" t="s">
        <v>386</v>
      </c>
      <c r="T1419" s="3">
        <v>1</v>
      </c>
      <c r="U1419" s="3">
        <v>20</v>
      </c>
      <c r="V1419" s="3">
        <v>25</v>
      </c>
      <c r="W1419" s="3">
        <v>90</v>
      </c>
      <c r="X1419" s="3" t="s">
        <v>1613</v>
      </c>
      <c r="Y1419" s="6"/>
    </row>
    <row r="1420" spans="1:25" ht="15" customHeight="1" x14ac:dyDescent="0.3">
      <c r="A1420" s="5">
        <v>45952</v>
      </c>
      <c r="B1420" s="25">
        <v>28</v>
      </c>
      <c r="C1420" s="3" t="s">
        <v>1839</v>
      </c>
      <c r="D1420" s="3" t="s">
        <v>1962</v>
      </c>
      <c r="E1420" s="3">
        <v>2</v>
      </c>
      <c r="F1420" s="3">
        <v>207</v>
      </c>
      <c r="G1420" s="6" t="s">
        <v>476</v>
      </c>
      <c r="H1420" s="3" t="s">
        <v>1959</v>
      </c>
      <c r="I1420" s="6" t="s">
        <v>111</v>
      </c>
      <c r="J1420" s="3">
        <v>12</v>
      </c>
      <c r="K1420" s="3">
        <v>7</v>
      </c>
      <c r="L1420" s="3">
        <v>26.97</v>
      </c>
      <c r="M1420" s="3">
        <v>11</v>
      </c>
      <c r="N1420" s="3">
        <v>2.85</v>
      </c>
      <c r="O1420" s="3"/>
      <c r="P1420" s="3"/>
      <c r="Q1420" s="3"/>
      <c r="R1420" s="3" t="s">
        <v>135</v>
      </c>
      <c r="S1420" s="3" t="s">
        <v>523</v>
      </c>
      <c r="T1420" s="3">
        <v>1.25</v>
      </c>
      <c r="U1420" s="3">
        <v>15</v>
      </c>
      <c r="V1420" s="3">
        <v>20</v>
      </c>
      <c r="W1420" s="3">
        <v>100</v>
      </c>
      <c r="X1420" s="3" t="s">
        <v>1660</v>
      </c>
      <c r="Y1420" s="6" t="s">
        <v>1999</v>
      </c>
    </row>
    <row r="1421" spans="1:25" ht="15" customHeight="1" x14ac:dyDescent="0.3">
      <c r="A1421" s="5">
        <v>45952</v>
      </c>
      <c r="B1421" s="25">
        <v>28</v>
      </c>
      <c r="C1421" s="3" t="s">
        <v>1839</v>
      </c>
      <c r="D1421" s="3" t="s">
        <v>1962</v>
      </c>
      <c r="E1421" s="3">
        <v>2</v>
      </c>
      <c r="F1421" s="3">
        <v>209</v>
      </c>
      <c r="G1421" s="6" t="s">
        <v>439</v>
      </c>
      <c r="H1421" s="3" t="s">
        <v>1910</v>
      </c>
      <c r="I1421" s="6" t="s">
        <v>111</v>
      </c>
      <c r="J1421" s="3">
        <v>4</v>
      </c>
      <c r="K1421" s="3">
        <v>3</v>
      </c>
      <c r="L1421" s="3">
        <v>24.1</v>
      </c>
      <c r="M1421" s="3">
        <v>11</v>
      </c>
      <c r="N1421" s="3">
        <v>3.2</v>
      </c>
      <c r="O1421" s="3"/>
      <c r="P1421" s="3"/>
      <c r="Q1421" s="3"/>
      <c r="R1421" s="3" t="s">
        <v>451</v>
      </c>
      <c r="S1421" s="3" t="s">
        <v>1851</v>
      </c>
      <c r="T1421" s="3">
        <v>2</v>
      </c>
      <c r="U1421" s="3">
        <v>10</v>
      </c>
      <c r="V1421" s="3">
        <v>20</v>
      </c>
      <c r="W1421" s="3">
        <v>170</v>
      </c>
      <c r="X1421" s="3" t="s">
        <v>1904</v>
      </c>
      <c r="Y1421" s="6" t="s">
        <v>1988</v>
      </c>
    </row>
    <row r="1422" spans="1:25" ht="15" customHeight="1" x14ac:dyDescent="0.3">
      <c r="A1422" s="5">
        <v>45952</v>
      </c>
      <c r="B1422" s="25">
        <v>28</v>
      </c>
      <c r="C1422" s="3" t="s">
        <v>1839</v>
      </c>
      <c r="D1422" s="3" t="s">
        <v>1962</v>
      </c>
      <c r="E1422" s="3">
        <v>2</v>
      </c>
      <c r="F1422" s="3">
        <v>210</v>
      </c>
      <c r="G1422" s="6" t="s">
        <v>967</v>
      </c>
      <c r="H1422" s="3" t="s">
        <v>1993</v>
      </c>
      <c r="I1422" s="6" t="s">
        <v>111</v>
      </c>
      <c r="J1422" s="3">
        <v>4</v>
      </c>
      <c r="K1422" s="3">
        <v>4</v>
      </c>
      <c r="L1422" s="3">
        <v>18.8</v>
      </c>
      <c r="M1422" s="3">
        <v>5</v>
      </c>
      <c r="N1422" s="3">
        <v>4</v>
      </c>
      <c r="O1422" s="3"/>
      <c r="P1422" s="3"/>
      <c r="Q1422" s="3"/>
      <c r="R1422" s="3" t="s">
        <v>1974</v>
      </c>
      <c r="S1422" s="3" t="s">
        <v>1006</v>
      </c>
      <c r="T1422" s="3">
        <v>1</v>
      </c>
      <c r="U1422" s="3">
        <v>25</v>
      </c>
      <c r="V1422" s="3">
        <v>35</v>
      </c>
      <c r="W1422" s="3">
        <v>101</v>
      </c>
      <c r="X1422" s="3" t="s">
        <v>1928</v>
      </c>
      <c r="Y1422" s="6" t="s">
        <v>2000</v>
      </c>
    </row>
    <row r="1423" spans="1:25" ht="15" customHeight="1" x14ac:dyDescent="0.3">
      <c r="A1423" s="5">
        <v>45952</v>
      </c>
      <c r="B1423" s="25">
        <v>28</v>
      </c>
      <c r="C1423" s="3" t="s">
        <v>1839</v>
      </c>
      <c r="D1423" s="3" t="s">
        <v>1962</v>
      </c>
      <c r="E1423" s="3">
        <v>2</v>
      </c>
      <c r="F1423" s="3">
        <v>212</v>
      </c>
      <c r="G1423" s="6" t="s">
        <v>24</v>
      </c>
      <c r="H1423" s="3" t="s">
        <v>2006</v>
      </c>
      <c r="I1423" s="6" t="s">
        <v>111</v>
      </c>
      <c r="J1423" s="3">
        <v>12</v>
      </c>
      <c r="K1423" s="3">
        <v>12</v>
      </c>
      <c r="L1423" s="3">
        <v>22.53</v>
      </c>
      <c r="M1423" s="3">
        <v>13</v>
      </c>
      <c r="N1423" s="3">
        <v>2</v>
      </c>
      <c r="O1423" s="3"/>
      <c r="P1423" s="3"/>
      <c r="Q1423" s="3"/>
      <c r="R1423" s="3" t="s">
        <v>2001</v>
      </c>
      <c r="S1423" s="3" t="s">
        <v>2002</v>
      </c>
      <c r="T1423" s="3">
        <v>0.1</v>
      </c>
      <c r="U1423" s="3">
        <v>10</v>
      </c>
      <c r="V1423" s="3">
        <v>20</v>
      </c>
      <c r="W1423" s="3">
        <v>100</v>
      </c>
      <c r="X1423" s="3" t="s">
        <v>2003</v>
      </c>
      <c r="Y1423" s="6" t="s">
        <v>2004</v>
      </c>
    </row>
    <row r="1424" spans="1:25" ht="15" customHeight="1" x14ac:dyDescent="0.3">
      <c r="A1424" s="5">
        <v>45953</v>
      </c>
      <c r="B1424" s="25">
        <v>28</v>
      </c>
      <c r="C1424" s="3" t="s">
        <v>1839</v>
      </c>
      <c r="D1424" s="3" t="s">
        <v>1962</v>
      </c>
      <c r="E1424" s="3">
        <v>2</v>
      </c>
      <c r="F1424" s="3">
        <v>203</v>
      </c>
      <c r="G1424" s="6" t="s">
        <v>23</v>
      </c>
      <c r="H1424" s="3">
        <v>19005</v>
      </c>
      <c r="I1424" s="6" t="s">
        <v>111</v>
      </c>
      <c r="J1424" s="3">
        <v>8</v>
      </c>
      <c r="K1424" s="3">
        <v>8</v>
      </c>
      <c r="L1424" s="3">
        <v>20.5</v>
      </c>
      <c r="M1424" s="3">
        <v>5</v>
      </c>
      <c r="N1424" s="3">
        <v>4.8</v>
      </c>
      <c r="O1424" s="3"/>
      <c r="P1424" s="3"/>
      <c r="Q1424" s="3"/>
      <c r="R1424" s="3" t="s">
        <v>487</v>
      </c>
      <c r="S1424" s="3" t="s">
        <v>1900</v>
      </c>
      <c r="T1424" s="3">
        <v>1</v>
      </c>
      <c r="U1424" s="3">
        <v>15</v>
      </c>
      <c r="V1424" s="3">
        <v>20</v>
      </c>
      <c r="W1424" s="3">
        <v>90</v>
      </c>
      <c r="X1424" s="3" t="s">
        <v>1966</v>
      </c>
      <c r="Y1424" s="6" t="s">
        <v>2007</v>
      </c>
    </row>
    <row r="1425" spans="1:25" ht="15" customHeight="1" x14ac:dyDescent="0.3">
      <c r="A1425" s="5">
        <v>45953</v>
      </c>
      <c r="B1425" s="25">
        <v>28</v>
      </c>
      <c r="C1425" s="3" t="s">
        <v>1839</v>
      </c>
      <c r="D1425" s="3" t="s">
        <v>1962</v>
      </c>
      <c r="E1425" s="3">
        <v>2</v>
      </c>
      <c r="F1425" s="3">
        <v>204</v>
      </c>
      <c r="G1425" s="6" t="s">
        <v>1908</v>
      </c>
      <c r="H1425" s="3">
        <v>19016</v>
      </c>
      <c r="I1425" s="6" t="s">
        <v>111</v>
      </c>
      <c r="J1425" s="3">
        <v>4</v>
      </c>
      <c r="K1425" s="3">
        <v>2</v>
      </c>
      <c r="L1425" s="3">
        <v>15.4</v>
      </c>
      <c r="M1425" s="3">
        <v>4</v>
      </c>
      <c r="N1425" s="3">
        <v>3</v>
      </c>
      <c r="O1425" s="3"/>
      <c r="P1425" s="3"/>
      <c r="Q1425" s="3"/>
      <c r="R1425" s="3" t="s">
        <v>725</v>
      </c>
      <c r="S1425" s="3" t="s">
        <v>72</v>
      </c>
      <c r="T1425" s="3">
        <v>1</v>
      </c>
      <c r="U1425" s="3">
        <v>15</v>
      </c>
      <c r="V1425" s="3">
        <v>20</v>
      </c>
      <c r="W1425" s="3">
        <v>140</v>
      </c>
      <c r="X1425" s="3" t="s">
        <v>1969</v>
      </c>
      <c r="Y1425" s="6"/>
    </row>
    <row r="1426" spans="1:25" ht="15" customHeight="1" x14ac:dyDescent="0.3">
      <c r="A1426" s="5">
        <v>45953</v>
      </c>
      <c r="B1426" s="25">
        <v>28</v>
      </c>
      <c r="C1426" s="3" t="s">
        <v>1839</v>
      </c>
      <c r="D1426" s="3" t="s">
        <v>1962</v>
      </c>
      <c r="E1426" s="3">
        <v>2</v>
      </c>
      <c r="F1426" s="3">
        <v>205</v>
      </c>
      <c r="G1426" s="6" t="s">
        <v>1548</v>
      </c>
      <c r="H1426" s="3">
        <v>18857</v>
      </c>
      <c r="I1426" s="6" t="s">
        <v>111</v>
      </c>
      <c r="J1426" s="3">
        <v>12</v>
      </c>
      <c r="K1426" s="3">
        <v>9</v>
      </c>
      <c r="L1426" s="3">
        <v>23.5</v>
      </c>
      <c r="M1426" s="3">
        <v>11</v>
      </c>
      <c r="N1426" s="3">
        <v>3</v>
      </c>
      <c r="O1426" s="3"/>
      <c r="P1426" s="3"/>
      <c r="Q1426" s="3"/>
      <c r="R1426" s="3" t="s">
        <v>64</v>
      </c>
      <c r="S1426" s="3" t="s">
        <v>2008</v>
      </c>
      <c r="T1426" s="3">
        <v>1</v>
      </c>
      <c r="U1426" s="3">
        <v>20</v>
      </c>
      <c r="V1426" s="3">
        <v>25</v>
      </c>
      <c r="W1426" s="3">
        <v>90</v>
      </c>
      <c r="X1426" s="3" t="s">
        <v>2009</v>
      </c>
      <c r="Y1426" s="6"/>
    </row>
    <row r="1427" spans="1:25" ht="15" customHeight="1" x14ac:dyDescent="0.3">
      <c r="A1427" s="5">
        <v>45953</v>
      </c>
      <c r="B1427" s="25">
        <v>28</v>
      </c>
      <c r="C1427" s="3" t="s">
        <v>1839</v>
      </c>
      <c r="D1427" s="3" t="s">
        <v>1962</v>
      </c>
      <c r="E1427" s="3">
        <v>2</v>
      </c>
      <c r="F1427" s="3">
        <v>207</v>
      </c>
      <c r="G1427" s="6" t="s">
        <v>476</v>
      </c>
      <c r="H1427" s="3">
        <v>19031</v>
      </c>
      <c r="I1427" s="6" t="s">
        <v>111</v>
      </c>
      <c r="J1427" s="3">
        <v>12</v>
      </c>
      <c r="K1427" s="3">
        <v>9</v>
      </c>
      <c r="L1427" s="3">
        <v>26.96</v>
      </c>
      <c r="M1427" s="3">
        <v>11</v>
      </c>
      <c r="N1427" s="3">
        <v>2.85</v>
      </c>
      <c r="O1427" s="3"/>
      <c r="P1427" s="3"/>
      <c r="Q1427" s="3"/>
      <c r="R1427" s="3" t="s">
        <v>135</v>
      </c>
      <c r="S1427" s="3" t="s">
        <v>523</v>
      </c>
      <c r="T1427" s="3">
        <v>1.25</v>
      </c>
      <c r="U1427" s="3">
        <v>15</v>
      </c>
      <c r="V1427" s="3">
        <v>20</v>
      </c>
      <c r="W1427" s="3">
        <v>100</v>
      </c>
      <c r="X1427" s="3" t="s">
        <v>1660</v>
      </c>
      <c r="Y1427" s="6" t="s">
        <v>1999</v>
      </c>
    </row>
    <row r="1428" spans="1:25" ht="15" customHeight="1" x14ac:dyDescent="0.3">
      <c r="A1428" s="5">
        <v>45953</v>
      </c>
      <c r="B1428" s="25">
        <v>28</v>
      </c>
      <c r="C1428" s="3" t="s">
        <v>1839</v>
      </c>
      <c r="D1428" s="3" t="s">
        <v>1962</v>
      </c>
      <c r="E1428" s="3">
        <v>2</v>
      </c>
      <c r="F1428" s="3">
        <v>209</v>
      </c>
      <c r="G1428" s="6" t="s">
        <v>439</v>
      </c>
      <c r="H1428" s="3">
        <v>19013</v>
      </c>
      <c r="I1428" s="6" t="s">
        <v>111</v>
      </c>
      <c r="J1428" s="3">
        <v>4</v>
      </c>
      <c r="K1428" s="3">
        <v>3</v>
      </c>
      <c r="L1428" s="3">
        <v>24</v>
      </c>
      <c r="M1428" s="3">
        <v>11</v>
      </c>
      <c r="N1428" s="3">
        <v>3.2</v>
      </c>
      <c r="O1428" s="3"/>
      <c r="P1428" s="3"/>
      <c r="Q1428" s="3"/>
      <c r="R1428" s="3" t="s">
        <v>451</v>
      </c>
      <c r="S1428" s="3" t="s">
        <v>1851</v>
      </c>
      <c r="T1428" s="3">
        <v>2</v>
      </c>
      <c r="U1428" s="3">
        <v>10</v>
      </c>
      <c r="V1428" s="3">
        <v>20</v>
      </c>
      <c r="W1428" s="3">
        <v>175</v>
      </c>
      <c r="X1428" s="3" t="s">
        <v>1904</v>
      </c>
      <c r="Y1428" s="6" t="s">
        <v>2010</v>
      </c>
    </row>
    <row r="1429" spans="1:25" ht="15" customHeight="1" x14ac:dyDescent="0.3">
      <c r="A1429" s="5">
        <v>45953</v>
      </c>
      <c r="B1429" s="25">
        <v>28</v>
      </c>
      <c r="C1429" s="3" t="s">
        <v>1839</v>
      </c>
      <c r="D1429" s="3" t="s">
        <v>1962</v>
      </c>
      <c r="E1429" s="3">
        <v>2</v>
      </c>
      <c r="F1429" s="3">
        <v>210</v>
      </c>
      <c r="G1429" s="6" t="s">
        <v>967</v>
      </c>
      <c r="H1429" s="3">
        <v>19049</v>
      </c>
      <c r="I1429" s="6" t="s">
        <v>111</v>
      </c>
      <c r="J1429" s="3">
        <v>4</v>
      </c>
      <c r="K1429" s="3">
        <v>4</v>
      </c>
      <c r="L1429" s="3">
        <v>18.399999999999999</v>
      </c>
      <c r="M1429" s="3">
        <v>5</v>
      </c>
      <c r="N1429" s="3">
        <v>4</v>
      </c>
      <c r="O1429" s="3"/>
      <c r="P1429" s="3"/>
      <c r="Q1429" s="3"/>
      <c r="R1429" s="3" t="s">
        <v>1974</v>
      </c>
      <c r="S1429" s="3" t="s">
        <v>1006</v>
      </c>
      <c r="T1429" s="3">
        <v>1</v>
      </c>
      <c r="U1429" s="3">
        <v>25</v>
      </c>
      <c r="V1429" s="3">
        <v>35</v>
      </c>
      <c r="W1429" s="3">
        <v>101</v>
      </c>
      <c r="X1429" s="3" t="s">
        <v>1928</v>
      </c>
      <c r="Y1429" s="6" t="s">
        <v>2011</v>
      </c>
    </row>
    <row r="1430" spans="1:25" ht="15" customHeight="1" x14ac:dyDescent="0.3">
      <c r="A1430" s="5">
        <v>45953</v>
      </c>
      <c r="B1430" s="25">
        <v>28</v>
      </c>
      <c r="C1430" s="3" t="s">
        <v>1839</v>
      </c>
      <c r="D1430" s="3" t="s">
        <v>1962</v>
      </c>
      <c r="E1430" s="3">
        <v>2</v>
      </c>
      <c r="F1430" s="3">
        <v>212</v>
      </c>
      <c r="G1430" s="6" t="s">
        <v>24</v>
      </c>
      <c r="H1430" s="3">
        <v>19041</v>
      </c>
      <c r="I1430" s="6" t="s">
        <v>111</v>
      </c>
      <c r="J1430" s="3">
        <v>12</v>
      </c>
      <c r="K1430" s="3">
        <v>12</v>
      </c>
      <c r="L1430" s="3">
        <v>22.57</v>
      </c>
      <c r="M1430" s="3">
        <v>13</v>
      </c>
      <c r="N1430" s="3">
        <v>2</v>
      </c>
      <c r="O1430" s="3"/>
      <c r="P1430" s="3"/>
      <c r="Q1430" s="3"/>
      <c r="R1430" s="3" t="s">
        <v>2001</v>
      </c>
      <c r="S1430" s="3" t="s">
        <v>2002</v>
      </c>
      <c r="T1430" s="3">
        <v>0.1</v>
      </c>
      <c r="U1430" s="3">
        <v>10</v>
      </c>
      <c r="V1430" s="3">
        <v>20</v>
      </c>
      <c r="W1430" s="3">
        <v>165</v>
      </c>
      <c r="X1430" s="3" t="s">
        <v>2003</v>
      </c>
      <c r="Y1430" s="6" t="s">
        <v>2012</v>
      </c>
    </row>
    <row r="1431" spans="1:25" ht="15" customHeight="1" x14ac:dyDescent="0.3">
      <c r="A1431" s="5">
        <v>45953</v>
      </c>
      <c r="B1431" s="25">
        <v>28</v>
      </c>
      <c r="C1431" s="3" t="s">
        <v>1839</v>
      </c>
      <c r="D1431" s="3" t="s">
        <v>1962</v>
      </c>
      <c r="E1431" s="3">
        <v>2</v>
      </c>
      <c r="F1431" s="3">
        <v>301</v>
      </c>
      <c r="G1431" s="6" t="s">
        <v>2019</v>
      </c>
      <c r="H1431" s="3">
        <v>19071</v>
      </c>
      <c r="I1431" s="6" t="s">
        <v>5</v>
      </c>
      <c r="J1431" s="3">
        <v>4</v>
      </c>
      <c r="K1431" s="3">
        <v>4</v>
      </c>
      <c r="L1431" s="3">
        <v>28.5</v>
      </c>
      <c r="M1431" s="3">
        <v>14</v>
      </c>
      <c r="N1431" s="3">
        <v>6</v>
      </c>
      <c r="O1431" s="3"/>
      <c r="P1431" s="3"/>
      <c r="Q1431" s="3"/>
      <c r="R1431" s="3" t="s">
        <v>2013</v>
      </c>
      <c r="S1431" s="3" t="s">
        <v>2014</v>
      </c>
      <c r="T1431" s="3">
        <v>1.5</v>
      </c>
      <c r="U1431" s="3">
        <v>25</v>
      </c>
      <c r="V1431" s="3">
        <v>35</v>
      </c>
      <c r="W1431" s="3">
        <v>130</v>
      </c>
      <c r="X1431" s="3" t="s">
        <v>1566</v>
      </c>
      <c r="Y1431" s="6" t="s">
        <v>2015</v>
      </c>
    </row>
    <row r="1432" spans="1:25" ht="15" customHeight="1" x14ac:dyDescent="0.3">
      <c r="A1432" s="5">
        <v>45953</v>
      </c>
      <c r="B1432" s="25">
        <v>28</v>
      </c>
      <c r="C1432" s="3" t="s">
        <v>1839</v>
      </c>
      <c r="D1432" s="3" t="s">
        <v>1962</v>
      </c>
      <c r="E1432" s="3">
        <v>2</v>
      </c>
      <c r="F1432" s="3">
        <v>303</v>
      </c>
      <c r="G1432" s="6" t="s">
        <v>1031</v>
      </c>
      <c r="H1432" s="3">
        <v>19068</v>
      </c>
      <c r="I1432" s="6" t="s">
        <v>5</v>
      </c>
      <c r="J1432" s="3">
        <v>12</v>
      </c>
      <c r="K1432" s="3">
        <v>7</v>
      </c>
      <c r="L1432" s="3">
        <v>42.9</v>
      </c>
      <c r="M1432" s="3">
        <v>24</v>
      </c>
      <c r="N1432" s="3">
        <v>5</v>
      </c>
      <c r="O1432" s="3"/>
      <c r="P1432" s="3"/>
      <c r="Q1432" s="3"/>
      <c r="R1432" s="3" t="s">
        <v>853</v>
      </c>
      <c r="S1432" s="3" t="s">
        <v>1049</v>
      </c>
      <c r="T1432" s="3">
        <v>2</v>
      </c>
      <c r="U1432" s="3">
        <v>20</v>
      </c>
      <c r="V1432" s="3">
        <v>30</v>
      </c>
      <c r="W1432" s="3">
        <v>140</v>
      </c>
      <c r="X1432" s="3" t="s">
        <v>1060</v>
      </c>
      <c r="Y1432" s="6" t="s">
        <v>2016</v>
      </c>
    </row>
    <row r="1433" spans="1:25" ht="15" customHeight="1" x14ac:dyDescent="0.3">
      <c r="A1433" s="5">
        <v>45953</v>
      </c>
      <c r="B1433" s="25">
        <v>28</v>
      </c>
      <c r="C1433" s="3" t="s">
        <v>1839</v>
      </c>
      <c r="D1433" s="3" t="s">
        <v>1962</v>
      </c>
      <c r="E1433" s="3">
        <v>2</v>
      </c>
      <c r="F1433" s="3">
        <v>401</v>
      </c>
      <c r="G1433" s="6" t="s">
        <v>844</v>
      </c>
      <c r="H1433" s="3">
        <v>19059</v>
      </c>
      <c r="I1433" s="6" t="s">
        <v>5</v>
      </c>
      <c r="J1433" s="3">
        <v>1</v>
      </c>
      <c r="K1433" s="3">
        <v>1</v>
      </c>
      <c r="L1433" s="3">
        <v>11.88</v>
      </c>
      <c r="M1433" s="3"/>
      <c r="N1433" s="3"/>
      <c r="O1433" s="3">
        <v>4</v>
      </c>
      <c r="P1433" s="3"/>
      <c r="Q1433" s="3"/>
      <c r="R1433" s="3"/>
      <c r="S1433" s="3"/>
      <c r="T1433" s="3"/>
      <c r="U1433" s="3"/>
      <c r="V1433" s="3"/>
      <c r="W1433" s="3"/>
      <c r="X1433" s="3" t="s">
        <v>2017</v>
      </c>
      <c r="Y1433" s="6"/>
    </row>
    <row r="1434" spans="1:25" ht="15" customHeight="1" x14ac:dyDescent="0.3">
      <c r="A1434" s="5">
        <v>45953</v>
      </c>
      <c r="B1434" s="25">
        <v>28</v>
      </c>
      <c r="C1434" s="3" t="s">
        <v>1839</v>
      </c>
      <c r="D1434" s="3" t="s">
        <v>1962</v>
      </c>
      <c r="E1434" s="3">
        <v>2</v>
      </c>
      <c r="F1434" s="3">
        <v>405</v>
      </c>
      <c r="G1434" s="6" t="s">
        <v>1991</v>
      </c>
      <c r="H1434" s="3">
        <v>19066</v>
      </c>
      <c r="I1434" s="6" t="s">
        <v>5</v>
      </c>
      <c r="J1434" s="3">
        <v>2</v>
      </c>
      <c r="K1434" s="3">
        <v>2</v>
      </c>
      <c r="L1434" s="3">
        <v>8.8000000000000007</v>
      </c>
      <c r="M1434" s="3"/>
      <c r="N1434" s="3"/>
      <c r="O1434" s="3">
        <v>3</v>
      </c>
      <c r="P1434" s="3"/>
      <c r="Q1434" s="3"/>
      <c r="R1434" s="3"/>
      <c r="S1434" s="3"/>
      <c r="T1434" s="3"/>
      <c r="U1434" s="3"/>
      <c r="V1434" s="3"/>
      <c r="W1434" s="3"/>
      <c r="X1434" s="3" t="s">
        <v>2018</v>
      </c>
      <c r="Y1434" s="6"/>
    </row>
    <row r="1435" spans="1:25" ht="15" customHeight="1" x14ac:dyDescent="0.3">
      <c r="A1435" s="5">
        <v>45954</v>
      </c>
      <c r="B1435" s="25">
        <v>28</v>
      </c>
      <c r="C1435" s="3" t="s">
        <v>1839</v>
      </c>
      <c r="D1435" s="3" t="s">
        <v>1962</v>
      </c>
      <c r="E1435" s="3">
        <v>2</v>
      </c>
      <c r="F1435" s="3">
        <v>204</v>
      </c>
      <c r="G1435" s="6" t="s">
        <v>1908</v>
      </c>
      <c r="H1435" s="3" t="s">
        <v>1909</v>
      </c>
      <c r="I1435" s="6" t="s">
        <v>111</v>
      </c>
      <c r="J1435" s="3">
        <v>4</v>
      </c>
      <c r="K1435" s="3">
        <v>2</v>
      </c>
      <c r="L1435" s="3">
        <v>15.7</v>
      </c>
      <c r="M1435" s="3">
        <v>4</v>
      </c>
      <c r="N1435" s="3">
        <v>3</v>
      </c>
      <c r="O1435" s="3"/>
      <c r="P1435" s="3"/>
      <c r="Q1435" s="3"/>
      <c r="R1435" s="3" t="s">
        <v>742</v>
      </c>
      <c r="S1435" s="3" t="s">
        <v>1898</v>
      </c>
      <c r="T1435" s="3">
        <v>1</v>
      </c>
      <c r="U1435" s="3">
        <v>15</v>
      </c>
      <c r="V1435" s="3">
        <v>20</v>
      </c>
      <c r="W1435" s="3">
        <v>140</v>
      </c>
      <c r="X1435" s="3" t="s">
        <v>1969</v>
      </c>
      <c r="Y1435" s="6"/>
    </row>
    <row r="1436" spans="1:25" ht="15" customHeight="1" x14ac:dyDescent="0.3">
      <c r="A1436" s="5">
        <v>45954</v>
      </c>
      <c r="B1436" s="25">
        <v>28</v>
      </c>
      <c r="C1436" s="3" t="s">
        <v>1839</v>
      </c>
      <c r="D1436" s="3" t="s">
        <v>1962</v>
      </c>
      <c r="E1436" s="3">
        <v>2</v>
      </c>
      <c r="F1436" s="3">
        <v>205</v>
      </c>
      <c r="G1436" s="6" t="s">
        <v>1548</v>
      </c>
      <c r="H1436" s="3" t="s">
        <v>1703</v>
      </c>
      <c r="I1436" s="6" t="s">
        <v>111</v>
      </c>
      <c r="J1436" s="3">
        <v>12</v>
      </c>
      <c r="K1436" s="3">
        <v>9</v>
      </c>
      <c r="L1436" s="3">
        <v>22.3</v>
      </c>
      <c r="M1436" s="3">
        <v>11</v>
      </c>
      <c r="N1436" s="3">
        <v>3</v>
      </c>
      <c r="O1436" s="3"/>
      <c r="P1436" s="3"/>
      <c r="Q1436" s="3"/>
      <c r="R1436" s="3" t="s">
        <v>135</v>
      </c>
      <c r="S1436" s="3" t="s">
        <v>2020</v>
      </c>
      <c r="T1436" s="3">
        <v>1</v>
      </c>
      <c r="U1436" s="3">
        <v>15</v>
      </c>
      <c r="V1436" s="3">
        <v>20</v>
      </c>
      <c r="W1436" s="3">
        <v>90</v>
      </c>
      <c r="X1436" s="3" t="s">
        <v>2021</v>
      </c>
      <c r="Y1436" s="6"/>
    </row>
    <row r="1437" spans="1:25" ht="15" customHeight="1" x14ac:dyDescent="0.3">
      <c r="A1437" s="5">
        <v>45954</v>
      </c>
      <c r="B1437" s="25">
        <v>28</v>
      </c>
      <c r="C1437" s="3" t="s">
        <v>1839</v>
      </c>
      <c r="D1437" s="3" t="s">
        <v>1962</v>
      </c>
      <c r="E1437" s="3">
        <v>2</v>
      </c>
      <c r="F1437" s="3">
        <v>207</v>
      </c>
      <c r="G1437" s="6" t="s">
        <v>476</v>
      </c>
      <c r="H1437" s="3" t="s">
        <v>1959</v>
      </c>
      <c r="I1437" s="6" t="s">
        <v>111</v>
      </c>
      <c r="J1437" s="3">
        <v>12</v>
      </c>
      <c r="K1437" s="3">
        <v>9</v>
      </c>
      <c r="L1437" s="3">
        <v>27.1</v>
      </c>
      <c r="M1437" s="3">
        <v>11</v>
      </c>
      <c r="N1437" s="3">
        <v>2.85</v>
      </c>
      <c r="O1437" s="3"/>
      <c r="P1437" s="3"/>
      <c r="Q1437" s="3"/>
      <c r="R1437" s="3" t="s">
        <v>135</v>
      </c>
      <c r="S1437" s="3" t="s">
        <v>523</v>
      </c>
      <c r="T1437" s="3">
        <v>1.25</v>
      </c>
      <c r="U1437" s="3">
        <v>15</v>
      </c>
      <c r="V1437" s="3">
        <v>20</v>
      </c>
      <c r="W1437" s="3">
        <v>100</v>
      </c>
      <c r="X1437" s="3" t="s">
        <v>1660</v>
      </c>
      <c r="Y1437" s="6" t="s">
        <v>2022</v>
      </c>
    </row>
    <row r="1438" spans="1:25" ht="15" customHeight="1" x14ac:dyDescent="0.3">
      <c r="A1438" s="5">
        <v>45954</v>
      </c>
      <c r="B1438" s="25">
        <v>28</v>
      </c>
      <c r="C1438" s="3" t="s">
        <v>1839</v>
      </c>
      <c r="D1438" s="3" t="s">
        <v>1962</v>
      </c>
      <c r="E1438" s="3">
        <v>2</v>
      </c>
      <c r="F1438" s="3">
        <v>209</v>
      </c>
      <c r="G1438" s="6" t="s">
        <v>439</v>
      </c>
      <c r="H1438" s="3" t="s">
        <v>1910</v>
      </c>
      <c r="I1438" s="6" t="s">
        <v>111</v>
      </c>
      <c r="J1438" s="3">
        <v>4</v>
      </c>
      <c r="K1438" s="3">
        <v>3</v>
      </c>
      <c r="L1438" s="3">
        <v>24</v>
      </c>
      <c r="M1438" s="3">
        <v>11</v>
      </c>
      <c r="N1438" s="3">
        <v>3.2</v>
      </c>
      <c r="O1438" s="3"/>
      <c r="P1438" s="3"/>
      <c r="Q1438" s="3"/>
      <c r="R1438" s="3" t="s">
        <v>451</v>
      </c>
      <c r="S1438" s="3" t="s">
        <v>1851</v>
      </c>
      <c r="T1438" s="3">
        <v>2</v>
      </c>
      <c r="U1438" s="3">
        <v>10</v>
      </c>
      <c r="V1438" s="3">
        <v>20</v>
      </c>
      <c r="W1438" s="3">
        <v>175</v>
      </c>
      <c r="X1438" s="3" t="s">
        <v>1904</v>
      </c>
      <c r="Y1438" s="6" t="s">
        <v>2010</v>
      </c>
    </row>
    <row r="1439" spans="1:25" ht="15" customHeight="1" x14ac:dyDescent="0.3">
      <c r="A1439" s="5">
        <v>45954</v>
      </c>
      <c r="B1439" s="25">
        <v>28</v>
      </c>
      <c r="C1439" s="3" t="s">
        <v>1839</v>
      </c>
      <c r="D1439" s="3" t="s">
        <v>1962</v>
      </c>
      <c r="E1439" s="3">
        <v>2</v>
      </c>
      <c r="F1439" s="3">
        <v>210</v>
      </c>
      <c r="G1439" s="6" t="s">
        <v>191</v>
      </c>
      <c r="H1439" s="3" t="s">
        <v>2029</v>
      </c>
      <c r="I1439" s="6" t="s">
        <v>111</v>
      </c>
      <c r="J1439" s="3">
        <v>4</v>
      </c>
      <c r="K1439" s="3">
        <v>4</v>
      </c>
      <c r="L1439" s="3">
        <v>20.9</v>
      </c>
      <c r="M1439" s="3">
        <v>7</v>
      </c>
      <c r="N1439" s="3">
        <v>4</v>
      </c>
      <c r="O1439" s="3"/>
      <c r="P1439" s="3"/>
      <c r="Q1439" s="3"/>
      <c r="R1439" s="3" t="s">
        <v>743</v>
      </c>
      <c r="S1439" s="3" t="s">
        <v>447</v>
      </c>
      <c r="T1439" s="3">
        <v>1</v>
      </c>
      <c r="U1439" s="3">
        <v>25</v>
      </c>
      <c r="V1439" s="3">
        <v>35</v>
      </c>
      <c r="W1439" s="3">
        <v>101</v>
      </c>
      <c r="X1439" s="3" t="s">
        <v>2023</v>
      </c>
      <c r="Y1439" s="6" t="s">
        <v>2024</v>
      </c>
    </row>
    <row r="1440" spans="1:25" ht="15" customHeight="1" x14ac:dyDescent="0.3">
      <c r="A1440" s="5">
        <v>45954</v>
      </c>
      <c r="B1440" s="25">
        <v>28</v>
      </c>
      <c r="C1440" s="3" t="s">
        <v>1839</v>
      </c>
      <c r="D1440" s="3" t="s">
        <v>1962</v>
      </c>
      <c r="E1440" s="3">
        <v>2</v>
      </c>
      <c r="F1440" s="3">
        <v>212</v>
      </c>
      <c r="G1440" s="6" t="s">
        <v>24</v>
      </c>
      <c r="H1440" s="3" t="s">
        <v>2006</v>
      </c>
      <c r="I1440" s="6" t="s">
        <v>111</v>
      </c>
      <c r="J1440" s="3">
        <v>12</v>
      </c>
      <c r="K1440" s="3">
        <v>12</v>
      </c>
      <c r="L1440" s="3">
        <v>22.46</v>
      </c>
      <c r="M1440" s="3">
        <v>13</v>
      </c>
      <c r="N1440" s="3">
        <v>2</v>
      </c>
      <c r="O1440" s="3"/>
      <c r="P1440" s="3"/>
      <c r="Q1440" s="3"/>
      <c r="R1440" s="3" t="s">
        <v>2001</v>
      </c>
      <c r="S1440" s="3" t="s">
        <v>2002</v>
      </c>
      <c r="T1440" s="3">
        <v>0.1</v>
      </c>
      <c r="U1440" s="3">
        <v>10</v>
      </c>
      <c r="V1440" s="3">
        <v>20</v>
      </c>
      <c r="W1440" s="3">
        <v>165</v>
      </c>
      <c r="X1440" s="3" t="s">
        <v>2025</v>
      </c>
      <c r="Y1440" s="6" t="s">
        <v>2026</v>
      </c>
    </row>
    <row r="1441" spans="1:25" ht="15" customHeight="1" x14ac:dyDescent="0.3">
      <c r="A1441" s="5">
        <v>45954</v>
      </c>
      <c r="B1441" s="25">
        <v>28</v>
      </c>
      <c r="C1441" s="3" t="s">
        <v>1839</v>
      </c>
      <c r="D1441" s="3" t="s">
        <v>1962</v>
      </c>
      <c r="E1441" s="3">
        <v>2</v>
      </c>
      <c r="F1441" s="3">
        <v>301</v>
      </c>
      <c r="G1441" s="6" t="s">
        <v>2019</v>
      </c>
      <c r="H1441" s="3" t="s">
        <v>2030</v>
      </c>
      <c r="I1441" s="6" t="s">
        <v>5</v>
      </c>
      <c r="J1441" s="3">
        <v>4</v>
      </c>
      <c r="K1441" s="3">
        <v>4</v>
      </c>
      <c r="L1441" s="3">
        <v>28.5</v>
      </c>
      <c r="M1441" s="3">
        <v>14</v>
      </c>
      <c r="N1441" s="3">
        <v>6</v>
      </c>
      <c r="O1441" s="3"/>
      <c r="P1441" s="3"/>
      <c r="Q1441" s="3"/>
      <c r="R1441" s="3" t="s">
        <v>2013</v>
      </c>
      <c r="S1441" s="3" t="s">
        <v>2027</v>
      </c>
      <c r="T1441" s="3">
        <v>1.5</v>
      </c>
      <c r="U1441" s="3">
        <v>25</v>
      </c>
      <c r="V1441" s="3">
        <v>35</v>
      </c>
      <c r="W1441" s="3">
        <v>130</v>
      </c>
      <c r="X1441" s="3" t="s">
        <v>1566</v>
      </c>
      <c r="Y1441" s="6" t="s">
        <v>2028</v>
      </c>
    </row>
    <row r="1442" spans="1:25" ht="15" customHeight="1" x14ac:dyDescent="0.3">
      <c r="A1442" s="5">
        <v>45954</v>
      </c>
      <c r="B1442" s="25">
        <v>28</v>
      </c>
      <c r="C1442" s="3" t="s">
        <v>1839</v>
      </c>
      <c r="D1442" s="3" t="s">
        <v>1962</v>
      </c>
      <c r="E1442" s="3">
        <v>2</v>
      </c>
      <c r="F1442" s="3">
        <v>501</v>
      </c>
      <c r="G1442" s="6" t="s">
        <v>1647</v>
      </c>
      <c r="H1442" s="3" t="s">
        <v>2032</v>
      </c>
      <c r="I1442" s="6" t="s">
        <v>110</v>
      </c>
      <c r="J1442" s="3">
        <v>6</v>
      </c>
      <c r="K1442" s="3">
        <v>6</v>
      </c>
      <c r="L1442" s="3">
        <v>18.02</v>
      </c>
      <c r="M1442" s="3"/>
      <c r="N1442" s="3"/>
      <c r="O1442" s="3">
        <v>12</v>
      </c>
      <c r="P1442" s="3"/>
      <c r="Q1442" s="3"/>
      <c r="R1442" s="3"/>
      <c r="S1442" s="3"/>
      <c r="T1442" s="3"/>
      <c r="U1442" s="3"/>
      <c r="V1442" s="3"/>
      <c r="W1442" s="3"/>
      <c r="X1442" s="3" t="s">
        <v>1662</v>
      </c>
      <c r="Y1442" s="6"/>
    </row>
    <row r="1443" spans="1:25" ht="15" customHeight="1" x14ac:dyDescent="0.3">
      <c r="A1443" s="5">
        <v>45954</v>
      </c>
      <c r="B1443" s="25">
        <v>28</v>
      </c>
      <c r="C1443" s="3" t="s">
        <v>1839</v>
      </c>
      <c r="D1443" s="3" t="s">
        <v>1962</v>
      </c>
      <c r="E1443" s="3">
        <v>2</v>
      </c>
      <c r="F1443" s="3">
        <v>503</v>
      </c>
      <c r="G1443" s="6" t="s">
        <v>2031</v>
      </c>
      <c r="H1443" s="3" t="s">
        <v>2033</v>
      </c>
      <c r="I1443" s="6" t="s">
        <v>110</v>
      </c>
      <c r="J1443" s="3">
        <v>1</v>
      </c>
      <c r="K1443" s="3">
        <v>1</v>
      </c>
      <c r="L1443" s="3">
        <v>15</v>
      </c>
      <c r="M1443" s="3"/>
      <c r="N1443" s="3"/>
      <c r="O1443" s="3">
        <v>18</v>
      </c>
      <c r="P1443" s="3"/>
      <c r="Q1443" s="3"/>
      <c r="R1443" s="3"/>
      <c r="S1443" s="3"/>
      <c r="T1443" s="3"/>
      <c r="U1443" s="3"/>
      <c r="V1443" s="3"/>
      <c r="W1443" s="3"/>
      <c r="X1443" s="3" t="s">
        <v>618</v>
      </c>
      <c r="Y1443" s="6"/>
    </row>
    <row r="1444" spans="1:25" ht="15" customHeight="1" x14ac:dyDescent="0.3">
      <c r="A1444" s="5">
        <v>45957</v>
      </c>
      <c r="B1444" s="25">
        <v>28</v>
      </c>
      <c r="C1444" s="3" t="s">
        <v>1839</v>
      </c>
      <c r="D1444" s="3" t="s">
        <v>2034</v>
      </c>
      <c r="E1444" s="3">
        <v>2</v>
      </c>
      <c r="F1444" s="3">
        <v>203</v>
      </c>
      <c r="G1444" s="6" t="s">
        <v>23</v>
      </c>
      <c r="H1444" s="3" t="s">
        <v>1882</v>
      </c>
      <c r="I1444" s="6" t="s">
        <v>111</v>
      </c>
      <c r="J1444" s="3">
        <v>8</v>
      </c>
      <c r="K1444" s="3">
        <v>8</v>
      </c>
      <c r="L1444" s="3">
        <v>19.3</v>
      </c>
      <c r="M1444" s="3">
        <v>4</v>
      </c>
      <c r="N1444" s="3">
        <v>3</v>
      </c>
      <c r="O1444" s="3"/>
      <c r="P1444" s="3"/>
      <c r="Q1444" s="3"/>
      <c r="R1444" s="3" t="s">
        <v>200</v>
      </c>
      <c r="S1444" s="3" t="s">
        <v>64</v>
      </c>
      <c r="T1444" s="3">
        <v>1.3</v>
      </c>
      <c r="U1444" s="3">
        <v>15</v>
      </c>
      <c r="V1444" s="3">
        <v>20</v>
      </c>
      <c r="W1444" s="3">
        <v>90</v>
      </c>
      <c r="X1444" s="3" t="s">
        <v>1966</v>
      </c>
      <c r="Y1444" s="6" t="s">
        <v>2035</v>
      </c>
    </row>
    <row r="1445" spans="1:25" ht="15" customHeight="1" x14ac:dyDescent="0.3">
      <c r="A1445" s="5">
        <v>45957</v>
      </c>
      <c r="B1445" s="25">
        <v>28</v>
      </c>
      <c r="C1445" s="3" t="s">
        <v>1839</v>
      </c>
      <c r="D1445" s="3" t="s">
        <v>2034</v>
      </c>
      <c r="E1445" s="3">
        <v>2</v>
      </c>
      <c r="F1445" s="3">
        <v>204</v>
      </c>
      <c r="G1445" s="6" t="s">
        <v>1908</v>
      </c>
      <c r="H1445" s="3" t="s">
        <v>1909</v>
      </c>
      <c r="I1445" s="6" t="s">
        <v>111</v>
      </c>
      <c r="J1445" s="3">
        <v>4</v>
      </c>
      <c r="K1445" s="3">
        <v>2</v>
      </c>
      <c r="L1445" s="3">
        <v>16.600000000000001</v>
      </c>
      <c r="M1445" s="3">
        <v>4</v>
      </c>
      <c r="N1445" s="3">
        <v>4</v>
      </c>
      <c r="O1445" s="3"/>
      <c r="P1445" s="3"/>
      <c r="Q1445" s="3"/>
      <c r="R1445" s="3" t="s">
        <v>2036</v>
      </c>
      <c r="S1445" s="3" t="s">
        <v>1397</v>
      </c>
      <c r="T1445" s="3">
        <v>1</v>
      </c>
      <c r="U1445" s="3">
        <v>15</v>
      </c>
      <c r="V1445" s="3">
        <v>20</v>
      </c>
      <c r="W1445" s="3">
        <v>140</v>
      </c>
      <c r="X1445" s="3" t="s">
        <v>2037</v>
      </c>
      <c r="Y1445" s="6"/>
    </row>
    <row r="1446" spans="1:25" ht="15" customHeight="1" x14ac:dyDescent="0.3">
      <c r="A1446" s="5">
        <v>45957</v>
      </c>
      <c r="B1446" s="25">
        <v>28</v>
      </c>
      <c r="C1446" s="3" t="s">
        <v>1839</v>
      </c>
      <c r="D1446" s="3" t="s">
        <v>2034</v>
      </c>
      <c r="E1446" s="3">
        <v>2</v>
      </c>
      <c r="F1446" s="3">
        <v>205</v>
      </c>
      <c r="G1446" s="6" t="s">
        <v>2048</v>
      </c>
      <c r="H1446" s="3" t="s">
        <v>2049</v>
      </c>
      <c r="I1446" s="6" t="s">
        <v>111</v>
      </c>
      <c r="J1446" s="3">
        <v>12</v>
      </c>
      <c r="K1446" s="3">
        <v>9</v>
      </c>
      <c r="L1446" s="3">
        <v>22.3</v>
      </c>
      <c r="M1446" s="3">
        <v>11</v>
      </c>
      <c r="N1446" s="3">
        <v>3</v>
      </c>
      <c r="O1446" s="3"/>
      <c r="P1446" s="3"/>
      <c r="Q1446" s="3"/>
      <c r="R1446" s="3" t="s">
        <v>2038</v>
      </c>
      <c r="S1446" s="3" t="s">
        <v>523</v>
      </c>
      <c r="T1446" s="3">
        <v>1</v>
      </c>
      <c r="U1446" s="3">
        <v>15</v>
      </c>
      <c r="V1446" s="3">
        <v>20</v>
      </c>
      <c r="W1446" s="3">
        <v>90</v>
      </c>
      <c r="X1446" s="3" t="s">
        <v>2039</v>
      </c>
      <c r="Y1446" s="6"/>
    </row>
    <row r="1447" spans="1:25" ht="15" customHeight="1" x14ac:dyDescent="0.3">
      <c r="A1447" s="5">
        <v>45957</v>
      </c>
      <c r="B1447" s="25">
        <v>28</v>
      </c>
      <c r="C1447" s="3" t="s">
        <v>1839</v>
      </c>
      <c r="D1447" s="3" t="s">
        <v>2034</v>
      </c>
      <c r="E1447" s="3">
        <v>2</v>
      </c>
      <c r="F1447" s="3">
        <v>207</v>
      </c>
      <c r="G1447" s="6" t="s">
        <v>476</v>
      </c>
      <c r="H1447" s="3" t="s">
        <v>1959</v>
      </c>
      <c r="I1447" s="6" t="s">
        <v>111</v>
      </c>
      <c r="J1447" s="3">
        <v>12</v>
      </c>
      <c r="K1447" s="3">
        <v>9</v>
      </c>
      <c r="L1447" s="3">
        <v>27.09</v>
      </c>
      <c r="M1447" s="3">
        <v>11</v>
      </c>
      <c r="N1447" s="3">
        <v>2.85</v>
      </c>
      <c r="O1447" s="3"/>
      <c r="P1447" s="3"/>
      <c r="Q1447" s="3"/>
      <c r="R1447" s="3" t="s">
        <v>135</v>
      </c>
      <c r="S1447" s="3" t="s">
        <v>523</v>
      </c>
      <c r="T1447" s="3">
        <v>1.25</v>
      </c>
      <c r="U1447" s="3">
        <v>15</v>
      </c>
      <c r="V1447" s="3">
        <v>20</v>
      </c>
      <c r="W1447" s="3">
        <v>100</v>
      </c>
      <c r="X1447" s="3" t="s">
        <v>1660</v>
      </c>
      <c r="Y1447" s="6" t="s">
        <v>2040</v>
      </c>
    </row>
    <row r="1448" spans="1:25" ht="15" customHeight="1" x14ac:dyDescent="0.3">
      <c r="A1448" s="5">
        <v>45957</v>
      </c>
      <c r="B1448" s="25">
        <v>28</v>
      </c>
      <c r="C1448" s="3" t="s">
        <v>1839</v>
      </c>
      <c r="D1448" s="3" t="s">
        <v>2034</v>
      </c>
      <c r="E1448" s="3">
        <v>2</v>
      </c>
      <c r="F1448" s="3">
        <v>209</v>
      </c>
      <c r="G1448" s="6" t="s">
        <v>439</v>
      </c>
      <c r="H1448" s="3" t="s">
        <v>1910</v>
      </c>
      <c r="I1448" s="6" t="s">
        <v>111</v>
      </c>
      <c r="J1448" s="3">
        <v>4</v>
      </c>
      <c r="K1448" s="3">
        <v>3</v>
      </c>
      <c r="L1448" s="3">
        <v>24</v>
      </c>
      <c r="M1448" s="3">
        <v>11</v>
      </c>
      <c r="N1448" s="3">
        <v>3.2</v>
      </c>
      <c r="O1448" s="3"/>
      <c r="P1448" s="3"/>
      <c r="Q1448" s="3"/>
      <c r="R1448" s="3" t="s">
        <v>2041</v>
      </c>
      <c r="S1448" s="3" t="s">
        <v>1553</v>
      </c>
      <c r="T1448" s="3">
        <v>2</v>
      </c>
      <c r="U1448" s="3">
        <v>10</v>
      </c>
      <c r="V1448" s="3">
        <v>20</v>
      </c>
      <c r="W1448" s="3">
        <v>175</v>
      </c>
      <c r="X1448" s="3" t="s">
        <v>1904</v>
      </c>
      <c r="Y1448" s="6" t="s">
        <v>2042</v>
      </c>
    </row>
    <row r="1449" spans="1:25" ht="15" customHeight="1" x14ac:dyDescent="0.3">
      <c r="A1449" s="5">
        <v>45957</v>
      </c>
      <c r="B1449" s="25">
        <v>28</v>
      </c>
      <c r="C1449" s="3" t="s">
        <v>1839</v>
      </c>
      <c r="D1449" s="3" t="s">
        <v>2034</v>
      </c>
      <c r="E1449" s="3">
        <v>2</v>
      </c>
      <c r="F1449" s="3">
        <v>210</v>
      </c>
      <c r="G1449" s="6" t="s">
        <v>191</v>
      </c>
      <c r="H1449" s="3" t="s">
        <v>2029</v>
      </c>
      <c r="I1449" s="6" t="s">
        <v>111</v>
      </c>
      <c r="J1449" s="3">
        <v>4</v>
      </c>
      <c r="K1449" s="3">
        <v>3</v>
      </c>
      <c r="L1449" s="3">
        <v>17</v>
      </c>
      <c r="M1449" s="3">
        <v>3</v>
      </c>
      <c r="N1449" s="3">
        <v>4</v>
      </c>
      <c r="O1449" s="3"/>
      <c r="P1449" s="3"/>
      <c r="Q1449" s="3"/>
      <c r="R1449" s="3" t="s">
        <v>1609</v>
      </c>
      <c r="S1449" s="3" t="s">
        <v>447</v>
      </c>
      <c r="T1449" s="3">
        <v>1</v>
      </c>
      <c r="U1449" s="3">
        <v>25</v>
      </c>
      <c r="V1449" s="3">
        <v>35</v>
      </c>
      <c r="W1449" s="3">
        <v>101</v>
      </c>
      <c r="X1449" s="3" t="s">
        <v>2023</v>
      </c>
      <c r="Y1449" s="6" t="s">
        <v>2043</v>
      </c>
    </row>
    <row r="1450" spans="1:25" ht="15" customHeight="1" x14ac:dyDescent="0.3">
      <c r="A1450" s="5">
        <v>45957</v>
      </c>
      <c r="B1450" s="25">
        <v>28</v>
      </c>
      <c r="C1450" s="3" t="s">
        <v>1839</v>
      </c>
      <c r="D1450" s="3" t="s">
        <v>2034</v>
      </c>
      <c r="E1450" s="3">
        <v>2</v>
      </c>
      <c r="F1450" s="3">
        <v>212</v>
      </c>
      <c r="G1450" s="6" t="s">
        <v>24</v>
      </c>
      <c r="H1450" s="3" t="s">
        <v>2006</v>
      </c>
      <c r="I1450" s="6" t="s">
        <v>111</v>
      </c>
      <c r="J1450" s="3">
        <v>12</v>
      </c>
      <c r="K1450" s="3">
        <v>12</v>
      </c>
      <c r="L1450" s="3">
        <v>22.85</v>
      </c>
      <c r="M1450" s="3">
        <v>13</v>
      </c>
      <c r="N1450" s="3">
        <v>2</v>
      </c>
      <c r="O1450" s="3"/>
      <c r="P1450" s="3"/>
      <c r="Q1450" s="3"/>
      <c r="R1450" s="3" t="s">
        <v>2001</v>
      </c>
      <c r="S1450" s="3" t="s">
        <v>2044</v>
      </c>
      <c r="T1450" s="3">
        <v>0.1</v>
      </c>
      <c r="U1450" s="3">
        <v>10</v>
      </c>
      <c r="V1450" s="3">
        <v>20</v>
      </c>
      <c r="W1450" s="3">
        <v>165</v>
      </c>
      <c r="X1450" s="3" t="s">
        <v>2003</v>
      </c>
      <c r="Y1450" s="6" t="s">
        <v>2045</v>
      </c>
    </row>
    <row r="1451" spans="1:25" ht="15" customHeight="1" x14ac:dyDescent="0.3">
      <c r="A1451" s="5">
        <v>45957</v>
      </c>
      <c r="B1451" s="25">
        <v>28</v>
      </c>
      <c r="C1451" s="3" t="s">
        <v>1839</v>
      </c>
      <c r="D1451" s="3" t="s">
        <v>2034</v>
      </c>
      <c r="E1451" s="3">
        <v>2</v>
      </c>
      <c r="F1451" s="3">
        <v>302</v>
      </c>
      <c r="G1451" s="6" t="s">
        <v>31</v>
      </c>
      <c r="H1451" s="3"/>
      <c r="I1451" s="6" t="s">
        <v>5</v>
      </c>
      <c r="J1451" s="3">
        <v>12</v>
      </c>
      <c r="K1451" s="3">
        <v>10</v>
      </c>
      <c r="L1451" s="3">
        <v>48.24</v>
      </c>
      <c r="M1451" s="3">
        <v>12</v>
      </c>
      <c r="N1451" s="3">
        <v>17</v>
      </c>
      <c r="O1451" s="3"/>
      <c r="P1451" s="3"/>
      <c r="Q1451" s="3"/>
      <c r="R1451" s="3" t="s">
        <v>130</v>
      </c>
      <c r="S1451" s="3" t="s">
        <v>1898</v>
      </c>
      <c r="T1451" s="3">
        <v>3</v>
      </c>
      <c r="U1451" s="3">
        <v>40</v>
      </c>
      <c r="V1451" s="3">
        <v>40</v>
      </c>
      <c r="W1451" s="3">
        <v>150</v>
      </c>
      <c r="X1451" s="3" t="s">
        <v>1105</v>
      </c>
      <c r="Y1451" s="6" t="s">
        <v>2046</v>
      </c>
    </row>
    <row r="1452" spans="1:25" ht="15" customHeight="1" x14ac:dyDescent="0.3">
      <c r="A1452" s="5">
        <v>45957</v>
      </c>
      <c r="B1452" s="25">
        <v>28</v>
      </c>
      <c r="C1452" s="3" t="s">
        <v>1839</v>
      </c>
      <c r="D1452" s="3" t="s">
        <v>2034</v>
      </c>
      <c r="E1452" s="3">
        <v>2</v>
      </c>
      <c r="F1452" s="3">
        <v>501</v>
      </c>
      <c r="G1452" s="6" t="s">
        <v>1647</v>
      </c>
      <c r="H1452" s="3" t="s">
        <v>2032</v>
      </c>
      <c r="I1452" s="6" t="s">
        <v>110</v>
      </c>
      <c r="J1452" s="3">
        <v>6</v>
      </c>
      <c r="K1452" s="3">
        <v>6</v>
      </c>
      <c r="L1452" s="3">
        <v>18.02</v>
      </c>
      <c r="M1452" s="3"/>
      <c r="N1452" s="3"/>
      <c r="O1452" s="3">
        <v>12</v>
      </c>
      <c r="P1452" s="3"/>
      <c r="Q1452" s="3"/>
      <c r="R1452" s="3"/>
      <c r="S1452" s="3"/>
      <c r="T1452" s="3"/>
      <c r="U1452" s="3"/>
      <c r="V1452" s="3"/>
      <c r="W1452" s="3"/>
      <c r="X1452" s="3" t="s">
        <v>1662</v>
      </c>
      <c r="Y1452" s="6"/>
    </row>
    <row r="1453" spans="1:25" ht="15" customHeight="1" x14ac:dyDescent="0.3">
      <c r="A1453" s="5">
        <v>45957</v>
      </c>
      <c r="B1453" s="25">
        <v>28</v>
      </c>
      <c r="C1453" s="3" t="s">
        <v>1839</v>
      </c>
      <c r="D1453" s="3" t="s">
        <v>2034</v>
      </c>
      <c r="E1453" s="3">
        <v>2</v>
      </c>
      <c r="F1453" s="3">
        <v>401</v>
      </c>
      <c r="G1453" s="6" t="s">
        <v>1880</v>
      </c>
      <c r="H1453" s="3" t="s">
        <v>2050</v>
      </c>
      <c r="I1453" s="6" t="s">
        <v>5</v>
      </c>
      <c r="J1453" s="3">
        <v>1</v>
      </c>
      <c r="K1453" s="3">
        <v>1</v>
      </c>
      <c r="L1453" s="3">
        <v>9.58</v>
      </c>
      <c r="M1453" s="3"/>
      <c r="N1453" s="3"/>
      <c r="O1453" s="3">
        <v>3</v>
      </c>
      <c r="P1453" s="3"/>
      <c r="Q1453" s="3"/>
      <c r="R1453" s="3"/>
      <c r="S1453" s="3"/>
      <c r="T1453" s="3"/>
      <c r="U1453" s="3"/>
      <c r="V1453" s="3"/>
      <c r="W1453" s="3"/>
      <c r="X1453" s="3" t="s">
        <v>2047</v>
      </c>
      <c r="Y1453" s="6"/>
    </row>
    <row r="1454" spans="1:25" ht="15" customHeight="1" x14ac:dyDescent="0.3">
      <c r="A1454" s="5">
        <v>45957</v>
      </c>
      <c r="B1454" s="25">
        <v>28</v>
      </c>
      <c r="C1454" s="3" t="s">
        <v>1839</v>
      </c>
      <c r="D1454" s="3" t="s">
        <v>2034</v>
      </c>
      <c r="E1454" s="3">
        <v>2</v>
      </c>
      <c r="F1454" s="3">
        <v>402</v>
      </c>
      <c r="G1454" s="6" t="s">
        <v>2051</v>
      </c>
      <c r="H1454" s="3" t="s">
        <v>2052</v>
      </c>
      <c r="I1454" s="6" t="s">
        <v>5</v>
      </c>
      <c r="J1454" s="3">
        <v>2</v>
      </c>
      <c r="K1454" s="3">
        <v>2</v>
      </c>
      <c r="L1454" s="3">
        <v>8.6999999999999993</v>
      </c>
      <c r="M1454" s="3"/>
      <c r="N1454" s="3"/>
      <c r="O1454" s="3">
        <v>3.5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6"/>
    </row>
    <row r="1455" spans="1:25" ht="15" customHeight="1" x14ac:dyDescent="0.3">
      <c r="A1455" s="5">
        <v>45957</v>
      </c>
      <c r="B1455" s="25">
        <v>28</v>
      </c>
      <c r="C1455" s="3" t="s">
        <v>1839</v>
      </c>
      <c r="D1455" s="3" t="s">
        <v>2034</v>
      </c>
      <c r="E1455" s="3">
        <v>2</v>
      </c>
      <c r="F1455" s="3">
        <v>405</v>
      </c>
      <c r="G1455" s="6" t="s">
        <v>1991</v>
      </c>
      <c r="H1455" s="3" t="s">
        <v>1992</v>
      </c>
      <c r="I1455" s="6" t="s">
        <v>5</v>
      </c>
      <c r="J1455" s="3">
        <v>2</v>
      </c>
      <c r="K1455" s="3">
        <v>2</v>
      </c>
      <c r="L1455" s="3">
        <v>8.9</v>
      </c>
      <c r="M1455" s="3"/>
      <c r="N1455" s="3"/>
      <c r="O1455" s="3">
        <v>3</v>
      </c>
      <c r="P1455" s="3"/>
      <c r="Q1455" s="3"/>
      <c r="R1455" s="3"/>
      <c r="S1455" s="3"/>
      <c r="T1455" s="3"/>
      <c r="U1455" s="3"/>
      <c r="V1455" s="3"/>
      <c r="W1455" s="3"/>
      <c r="X1455" s="3" t="s">
        <v>2018</v>
      </c>
      <c r="Y1455" s="6"/>
    </row>
    <row r="1456" spans="1:25" ht="15" customHeight="1" x14ac:dyDescent="0.3">
      <c r="A1456" s="5">
        <v>45958</v>
      </c>
      <c r="B1456" s="25">
        <v>28</v>
      </c>
      <c r="C1456" s="3" t="s">
        <v>1839</v>
      </c>
      <c r="D1456" s="3" t="s">
        <v>2034</v>
      </c>
      <c r="E1456" s="3">
        <v>2</v>
      </c>
      <c r="F1456" s="3">
        <v>203</v>
      </c>
      <c r="G1456" s="6" t="s">
        <v>23</v>
      </c>
      <c r="H1456" s="3" t="s">
        <v>1882</v>
      </c>
      <c r="I1456" s="6" t="s">
        <v>111</v>
      </c>
      <c r="J1456" s="3">
        <v>8</v>
      </c>
      <c r="K1456" s="3">
        <v>8</v>
      </c>
      <c r="L1456" s="3">
        <v>19.100000000000001</v>
      </c>
      <c r="M1456" s="3">
        <v>4</v>
      </c>
      <c r="N1456" s="3">
        <v>3</v>
      </c>
      <c r="O1456" s="3"/>
      <c r="P1456" s="3"/>
      <c r="Q1456" s="3"/>
      <c r="R1456" s="3" t="s">
        <v>200</v>
      </c>
      <c r="S1456" s="3" t="s">
        <v>64</v>
      </c>
      <c r="T1456" s="3">
        <v>1.3</v>
      </c>
      <c r="U1456" s="3">
        <v>15</v>
      </c>
      <c r="V1456" s="3">
        <v>20</v>
      </c>
      <c r="W1456" s="3">
        <v>90</v>
      </c>
      <c r="X1456" s="3" t="s">
        <v>1966</v>
      </c>
      <c r="Y1456" s="6" t="s">
        <v>2053</v>
      </c>
    </row>
    <row r="1457" spans="1:25" ht="15" customHeight="1" x14ac:dyDescent="0.3">
      <c r="A1457" s="5">
        <v>45958</v>
      </c>
      <c r="B1457" s="25">
        <v>28</v>
      </c>
      <c r="C1457" s="3" t="s">
        <v>1839</v>
      </c>
      <c r="D1457" s="3" t="s">
        <v>2034</v>
      </c>
      <c r="E1457" s="3">
        <v>2</v>
      </c>
      <c r="F1457" s="3">
        <v>204</v>
      </c>
      <c r="G1457" s="6" t="s">
        <v>1908</v>
      </c>
      <c r="H1457" s="3" t="s">
        <v>1909</v>
      </c>
      <c r="I1457" s="6" t="s">
        <v>111</v>
      </c>
      <c r="J1457" s="3">
        <v>4</v>
      </c>
      <c r="K1457" s="3">
        <v>2</v>
      </c>
      <c r="L1457" s="3">
        <v>16.600000000000001</v>
      </c>
      <c r="M1457" s="3">
        <v>4</v>
      </c>
      <c r="N1457" s="3">
        <v>4</v>
      </c>
      <c r="O1457" s="3"/>
      <c r="P1457" s="3"/>
      <c r="Q1457" s="3"/>
      <c r="R1457" s="3" t="s">
        <v>676</v>
      </c>
      <c r="S1457" s="3" t="s">
        <v>1232</v>
      </c>
      <c r="T1457" s="3">
        <v>1</v>
      </c>
      <c r="U1457" s="3">
        <v>15</v>
      </c>
      <c r="V1457" s="3">
        <v>20</v>
      </c>
      <c r="W1457" s="3">
        <v>140</v>
      </c>
      <c r="X1457" s="3" t="s">
        <v>2054</v>
      </c>
      <c r="Y1457" s="6"/>
    </row>
    <row r="1458" spans="1:25" ht="15" customHeight="1" x14ac:dyDescent="0.3">
      <c r="A1458" s="5">
        <v>45958</v>
      </c>
      <c r="B1458" s="25">
        <v>28</v>
      </c>
      <c r="C1458" s="3" t="s">
        <v>1839</v>
      </c>
      <c r="D1458" s="3" t="s">
        <v>2034</v>
      </c>
      <c r="E1458" s="3">
        <v>2</v>
      </c>
      <c r="F1458" s="3">
        <v>205</v>
      </c>
      <c r="G1458" s="6" t="s">
        <v>2048</v>
      </c>
      <c r="H1458" s="3" t="s">
        <v>2049</v>
      </c>
      <c r="I1458" s="6" t="s">
        <v>111</v>
      </c>
      <c r="J1458" s="3">
        <v>12</v>
      </c>
      <c r="K1458" s="3">
        <v>9</v>
      </c>
      <c r="L1458" s="3">
        <v>22.3</v>
      </c>
      <c r="M1458" s="3">
        <v>11</v>
      </c>
      <c r="N1458" s="3">
        <v>3</v>
      </c>
      <c r="O1458" s="3"/>
      <c r="P1458" s="3"/>
      <c r="Q1458" s="3"/>
      <c r="R1458" s="3" t="s">
        <v>386</v>
      </c>
      <c r="S1458" s="3" t="s">
        <v>523</v>
      </c>
      <c r="T1458" s="3">
        <v>1</v>
      </c>
      <c r="U1458" s="3">
        <v>15</v>
      </c>
      <c r="V1458" s="3">
        <v>20</v>
      </c>
      <c r="W1458" s="3">
        <v>90</v>
      </c>
      <c r="X1458" s="3" t="s">
        <v>2039</v>
      </c>
      <c r="Y1458" s="6"/>
    </row>
    <row r="1459" spans="1:25" ht="15" customHeight="1" x14ac:dyDescent="0.3">
      <c r="A1459" s="5">
        <v>45958</v>
      </c>
      <c r="B1459" s="25">
        <v>28</v>
      </c>
      <c r="C1459" s="3" t="s">
        <v>1839</v>
      </c>
      <c r="D1459" s="3" t="s">
        <v>2034</v>
      </c>
      <c r="E1459" s="3">
        <v>2</v>
      </c>
      <c r="F1459" s="3">
        <v>207</v>
      </c>
      <c r="G1459" s="6" t="s">
        <v>476</v>
      </c>
      <c r="H1459" s="3" t="s">
        <v>1959</v>
      </c>
      <c r="I1459" s="6" t="s">
        <v>111</v>
      </c>
      <c r="J1459" s="3">
        <v>12</v>
      </c>
      <c r="K1459" s="3">
        <v>9</v>
      </c>
      <c r="L1459" s="3">
        <v>26.92</v>
      </c>
      <c r="M1459" s="3">
        <v>11</v>
      </c>
      <c r="N1459" s="3">
        <v>2.85</v>
      </c>
      <c r="O1459" s="3"/>
      <c r="P1459" s="3"/>
      <c r="Q1459" s="3"/>
      <c r="R1459" s="3" t="s">
        <v>135</v>
      </c>
      <c r="S1459" s="3" t="s">
        <v>523</v>
      </c>
      <c r="T1459" s="3">
        <v>1.25</v>
      </c>
      <c r="U1459" s="3">
        <v>15</v>
      </c>
      <c r="V1459" s="3">
        <v>20</v>
      </c>
      <c r="W1459" s="3">
        <v>100</v>
      </c>
      <c r="X1459" s="3" t="s">
        <v>1660</v>
      </c>
      <c r="Y1459" s="6" t="s">
        <v>2055</v>
      </c>
    </row>
    <row r="1460" spans="1:25" ht="15" customHeight="1" x14ac:dyDescent="0.3">
      <c r="A1460" s="5">
        <v>45958</v>
      </c>
      <c r="B1460" s="25">
        <v>28</v>
      </c>
      <c r="C1460" s="3" t="s">
        <v>1839</v>
      </c>
      <c r="D1460" s="3" t="s">
        <v>2034</v>
      </c>
      <c r="E1460" s="3">
        <v>2</v>
      </c>
      <c r="F1460" s="3">
        <v>212</v>
      </c>
      <c r="G1460" s="4" t="s">
        <v>2064</v>
      </c>
      <c r="H1460" s="4" t="s">
        <v>2065</v>
      </c>
      <c r="I1460" s="6" t="s">
        <v>111</v>
      </c>
      <c r="J1460" s="3">
        <v>12</v>
      </c>
      <c r="K1460" s="3">
        <v>12</v>
      </c>
      <c r="L1460" s="3">
        <v>22.26</v>
      </c>
      <c r="M1460" s="3">
        <v>13</v>
      </c>
      <c r="N1460" s="3">
        <v>2</v>
      </c>
      <c r="O1460" s="3"/>
      <c r="P1460" s="3"/>
      <c r="Q1460" s="3"/>
      <c r="R1460" s="3" t="s">
        <v>2056</v>
      </c>
      <c r="S1460" s="3" t="s">
        <v>2002</v>
      </c>
      <c r="T1460" s="3">
        <v>0.1</v>
      </c>
      <c r="U1460" s="3">
        <v>10</v>
      </c>
      <c r="V1460" s="3">
        <v>20</v>
      </c>
      <c r="W1460" s="3">
        <v>165</v>
      </c>
      <c r="X1460" s="3" t="s">
        <v>2057</v>
      </c>
      <c r="Y1460" s="6" t="s">
        <v>2058</v>
      </c>
    </row>
    <row r="1461" spans="1:25" ht="15" customHeight="1" x14ac:dyDescent="0.3">
      <c r="A1461" s="5">
        <v>45958</v>
      </c>
      <c r="B1461" s="25">
        <v>28</v>
      </c>
      <c r="C1461" s="3" t="s">
        <v>1839</v>
      </c>
      <c r="D1461" s="3" t="s">
        <v>2034</v>
      </c>
      <c r="E1461" s="3">
        <v>2</v>
      </c>
      <c r="F1461" s="3">
        <v>302</v>
      </c>
      <c r="G1461" s="6" t="s">
        <v>31</v>
      </c>
      <c r="H1461" s="3"/>
      <c r="I1461" s="6" t="s">
        <v>5</v>
      </c>
      <c r="J1461" s="3">
        <v>12</v>
      </c>
      <c r="K1461" s="3">
        <v>10</v>
      </c>
      <c r="L1461" s="3">
        <v>48.23</v>
      </c>
      <c r="M1461" s="3">
        <v>12</v>
      </c>
      <c r="N1461" s="3">
        <v>17</v>
      </c>
      <c r="O1461" s="3"/>
      <c r="P1461" s="3"/>
      <c r="Q1461" s="3"/>
      <c r="R1461" s="3" t="s">
        <v>2059</v>
      </c>
      <c r="S1461" s="3" t="s">
        <v>2060</v>
      </c>
      <c r="T1461" s="3">
        <v>3</v>
      </c>
      <c r="U1461" s="3">
        <v>40</v>
      </c>
      <c r="V1461" s="3">
        <v>40</v>
      </c>
      <c r="W1461" s="3">
        <v>150</v>
      </c>
      <c r="X1461" s="3" t="s">
        <v>2061</v>
      </c>
      <c r="Y1461" s="6" t="s">
        <v>2062</v>
      </c>
    </row>
    <row r="1462" spans="1:25" ht="15" customHeight="1" x14ac:dyDescent="0.3">
      <c r="A1462" s="5">
        <v>45958</v>
      </c>
      <c r="B1462" s="25">
        <v>28</v>
      </c>
      <c r="C1462" s="3" t="s">
        <v>1839</v>
      </c>
      <c r="D1462" s="3" t="s">
        <v>2034</v>
      </c>
      <c r="E1462" s="3">
        <v>2</v>
      </c>
      <c r="F1462" s="3">
        <v>401</v>
      </c>
      <c r="G1462" s="6" t="s">
        <v>1880</v>
      </c>
      <c r="H1462" s="3" t="s">
        <v>2050</v>
      </c>
      <c r="I1462" s="6" t="s">
        <v>5</v>
      </c>
      <c r="J1462" s="3">
        <v>1</v>
      </c>
      <c r="K1462" s="3">
        <v>1</v>
      </c>
      <c r="L1462" s="3">
        <v>10.130000000000001</v>
      </c>
      <c r="M1462" s="3"/>
      <c r="N1462" s="3"/>
      <c r="O1462" s="3">
        <v>2.5</v>
      </c>
      <c r="P1462" s="3"/>
      <c r="Q1462" s="3"/>
      <c r="R1462" s="3"/>
      <c r="S1462" s="3"/>
      <c r="T1462" s="3"/>
      <c r="U1462" s="3"/>
      <c r="V1462" s="3"/>
      <c r="W1462" s="3"/>
      <c r="X1462" s="3" t="s">
        <v>2063</v>
      </c>
      <c r="Y1462" s="6"/>
    </row>
    <row r="1463" spans="1:25" ht="15" customHeight="1" x14ac:dyDescent="0.3">
      <c r="A1463" s="5">
        <v>45958</v>
      </c>
      <c r="B1463" s="25">
        <v>28</v>
      </c>
      <c r="C1463" s="3" t="s">
        <v>1839</v>
      </c>
      <c r="D1463" s="3" t="s">
        <v>2034</v>
      </c>
      <c r="E1463" s="3">
        <v>2</v>
      </c>
      <c r="F1463" s="3">
        <v>402</v>
      </c>
      <c r="G1463" s="6" t="s">
        <v>2051</v>
      </c>
      <c r="H1463" s="3" t="s">
        <v>2052</v>
      </c>
      <c r="I1463" s="6" t="s">
        <v>5</v>
      </c>
      <c r="J1463" s="3">
        <v>2</v>
      </c>
      <c r="K1463" s="3">
        <v>2</v>
      </c>
      <c r="L1463" s="3">
        <v>9</v>
      </c>
      <c r="M1463" s="3"/>
      <c r="N1463" s="3"/>
      <c r="O1463" s="3">
        <v>3.5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6"/>
    </row>
    <row r="1464" spans="1:25" ht="15" customHeight="1" x14ac:dyDescent="0.3">
      <c r="A1464" s="5">
        <v>45958</v>
      </c>
      <c r="B1464" s="25">
        <v>28</v>
      </c>
      <c r="C1464" s="3" t="s">
        <v>1839</v>
      </c>
      <c r="D1464" s="3" t="s">
        <v>2034</v>
      </c>
      <c r="E1464" s="3">
        <v>2</v>
      </c>
      <c r="F1464" s="3">
        <v>405</v>
      </c>
      <c r="G1464" s="6" t="s">
        <v>14</v>
      </c>
      <c r="H1464" s="3" t="s">
        <v>2066</v>
      </c>
      <c r="I1464" s="6" t="s">
        <v>5</v>
      </c>
      <c r="J1464" s="3">
        <v>2</v>
      </c>
      <c r="K1464" s="3">
        <v>2</v>
      </c>
      <c r="L1464" s="3">
        <v>8.1999999999999993</v>
      </c>
      <c r="M1464" s="3"/>
      <c r="N1464" s="3"/>
      <c r="O1464" s="3">
        <v>3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6"/>
    </row>
    <row r="1465" spans="1:25" ht="15" customHeight="1" x14ac:dyDescent="0.3">
      <c r="A1465" s="5">
        <v>45958</v>
      </c>
      <c r="B1465" s="25">
        <v>28</v>
      </c>
      <c r="C1465" s="3" t="s">
        <v>1839</v>
      </c>
      <c r="D1465" s="3" t="s">
        <v>2034</v>
      </c>
      <c r="E1465" s="3">
        <v>2</v>
      </c>
      <c r="F1465" s="3">
        <v>501</v>
      </c>
      <c r="G1465" s="6" t="s">
        <v>1647</v>
      </c>
      <c r="H1465" s="3" t="s">
        <v>2032</v>
      </c>
      <c r="I1465" s="6" t="s">
        <v>110</v>
      </c>
      <c r="J1465" s="3">
        <v>6</v>
      </c>
      <c r="K1465" s="3">
        <v>6</v>
      </c>
      <c r="L1465" s="3">
        <v>18.02</v>
      </c>
      <c r="M1465" s="3"/>
      <c r="N1465" s="3"/>
      <c r="O1465" s="3">
        <v>12</v>
      </c>
      <c r="P1465" s="3"/>
      <c r="Q1465" s="3"/>
      <c r="R1465" s="3"/>
      <c r="S1465" s="3"/>
      <c r="T1465" s="3"/>
      <c r="U1465" s="3"/>
      <c r="V1465" s="3"/>
      <c r="W1465" s="3"/>
      <c r="X1465" s="3" t="s">
        <v>1662</v>
      </c>
      <c r="Y1465" s="6"/>
    </row>
    <row r="1466" spans="1:25" ht="15" customHeight="1" x14ac:dyDescent="0.3">
      <c r="A1466" s="5"/>
      <c r="B1466" s="25"/>
      <c r="C1466" s="3"/>
      <c r="D1466" s="3"/>
      <c r="E1466" s="3"/>
      <c r="F1466" s="3"/>
      <c r="G1466" s="6"/>
      <c r="H1466" s="3"/>
      <c r="I1466" s="6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6"/>
    </row>
    <row r="1467" spans="1:25" ht="15" customHeight="1" x14ac:dyDescent="0.3">
      <c r="A1467" s="5"/>
      <c r="B1467" s="25"/>
      <c r="C1467" s="3"/>
      <c r="D1467" s="3"/>
      <c r="E1467" s="3"/>
      <c r="F1467" s="3"/>
      <c r="G1467" s="6"/>
      <c r="H1467" s="3"/>
      <c r="I1467" s="6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6"/>
    </row>
    <row r="1468" spans="1:25" ht="15" customHeight="1" x14ac:dyDescent="0.3">
      <c r="A1468" s="5"/>
      <c r="B1468" s="25"/>
      <c r="C1468" s="3"/>
      <c r="D1468" s="3"/>
      <c r="E1468" s="3"/>
      <c r="F1468" s="3"/>
      <c r="G1468" s="6"/>
      <c r="H1468" s="3"/>
      <c r="I1468" s="6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6"/>
    </row>
    <row r="1469" spans="1:25" ht="15" customHeight="1" x14ac:dyDescent="0.3">
      <c r="A1469" s="5"/>
      <c r="B1469" s="25"/>
      <c r="C1469" s="3"/>
      <c r="D1469" s="3"/>
      <c r="E1469" s="3"/>
      <c r="F1469" s="3"/>
      <c r="G1469" s="6"/>
      <c r="H1469" s="3"/>
      <c r="I1469" s="6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6"/>
    </row>
    <row r="1470" spans="1:25" ht="15" customHeight="1" x14ac:dyDescent="0.3">
      <c r="A1470" s="5"/>
      <c r="B1470" s="25"/>
      <c r="C1470" s="3"/>
      <c r="D1470" s="3"/>
      <c r="E1470" s="3"/>
      <c r="F1470" s="3"/>
      <c r="G1470" s="6"/>
      <c r="H1470" s="3"/>
      <c r="I1470" s="6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6"/>
    </row>
    <row r="1471" spans="1:25" ht="15" customHeight="1" x14ac:dyDescent="0.3">
      <c r="A1471" s="5"/>
      <c r="B1471" s="25"/>
      <c r="C1471" s="3"/>
      <c r="D1471" s="3"/>
      <c r="E1471" s="3"/>
      <c r="F1471" s="3"/>
      <c r="G1471" s="6"/>
      <c r="H1471" s="3"/>
      <c r="I1471" s="6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6"/>
    </row>
    <row r="1472" spans="1:25" ht="15" customHeight="1" x14ac:dyDescent="0.3">
      <c r="A1472" s="5"/>
      <c r="B1472" s="25"/>
      <c r="C1472" s="3"/>
      <c r="D1472" s="3"/>
      <c r="E1472" s="3"/>
      <c r="F1472" s="3"/>
      <c r="G1472" s="6"/>
      <c r="H1472" s="3"/>
      <c r="I1472" s="6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6"/>
    </row>
    <row r="1473" spans="1:25" ht="15" customHeight="1" x14ac:dyDescent="0.3">
      <c r="A1473" s="5"/>
      <c r="B1473" s="25"/>
      <c r="C1473" s="3"/>
      <c r="D1473" s="3"/>
      <c r="E1473" s="3"/>
      <c r="F1473" s="3"/>
      <c r="G1473" s="6"/>
      <c r="H1473" s="3"/>
      <c r="I1473" s="6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6"/>
    </row>
    <row r="1474" spans="1:25" ht="15" customHeight="1" x14ac:dyDescent="0.3">
      <c r="A1474" s="5"/>
      <c r="B1474" s="25"/>
      <c r="C1474" s="3"/>
      <c r="D1474" s="3"/>
      <c r="E1474" s="3"/>
      <c r="F1474" s="3"/>
      <c r="G1474" s="6"/>
      <c r="H1474" s="3"/>
      <c r="I1474" s="6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6"/>
    </row>
    <row r="1475" spans="1:25" ht="15" customHeight="1" x14ac:dyDescent="0.3">
      <c r="A1475" s="5"/>
      <c r="B1475" s="25"/>
      <c r="C1475" s="3"/>
      <c r="D1475" s="3"/>
      <c r="E1475" s="3"/>
      <c r="F1475" s="3"/>
      <c r="G1475" s="6"/>
      <c r="H1475" s="3"/>
      <c r="I1475" s="6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6"/>
    </row>
    <row r="1476" spans="1:25" ht="15" customHeight="1" x14ac:dyDescent="0.3">
      <c r="A1476" s="5"/>
      <c r="B1476" s="25"/>
      <c r="C1476" s="3"/>
      <c r="D1476" s="3"/>
      <c r="E1476" s="3"/>
      <c r="F1476" s="3"/>
      <c r="G1476" s="6"/>
      <c r="H1476" s="3"/>
      <c r="I1476" s="6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6"/>
    </row>
    <row r="1477" spans="1:25" ht="15" customHeight="1" x14ac:dyDescent="0.3">
      <c r="A1477" s="5"/>
      <c r="B1477" s="25"/>
      <c r="C1477" s="3"/>
      <c r="D1477" s="3"/>
      <c r="E1477" s="3"/>
      <c r="F1477" s="3"/>
      <c r="G1477" s="6"/>
      <c r="H1477" s="3"/>
      <c r="I1477" s="6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6"/>
    </row>
    <row r="1478" spans="1:25" ht="15" customHeight="1" x14ac:dyDescent="0.3">
      <c r="A1478" s="5"/>
      <c r="B1478" s="25"/>
      <c r="C1478" s="3"/>
      <c r="D1478" s="3"/>
      <c r="E1478" s="3"/>
      <c r="F1478" s="3"/>
      <c r="G1478" s="6"/>
      <c r="H1478" s="3"/>
      <c r="I1478" s="6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6"/>
    </row>
    <row r="1479" spans="1:25" ht="15" customHeight="1" x14ac:dyDescent="0.3">
      <c r="A1479" s="5"/>
      <c r="B1479" s="25"/>
      <c r="C1479" s="3"/>
      <c r="D1479" s="3"/>
      <c r="E1479" s="3"/>
      <c r="F1479" s="3"/>
      <c r="G1479" s="6"/>
      <c r="H1479" s="3"/>
      <c r="I1479" s="6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6"/>
    </row>
    <row r="1480" spans="1:25" ht="15" customHeight="1" x14ac:dyDescent="0.3">
      <c r="A1480" s="5"/>
      <c r="B1480" s="25"/>
      <c r="C1480" s="3"/>
      <c r="D1480" s="3"/>
      <c r="E1480" s="3"/>
      <c r="F1480" s="3"/>
      <c r="G1480" s="6"/>
      <c r="H1480" s="3"/>
      <c r="I1480" s="6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6"/>
    </row>
    <row r="1481" spans="1:25" ht="15" customHeight="1" x14ac:dyDescent="0.3">
      <c r="A1481" s="5"/>
      <c r="B1481" s="25"/>
      <c r="C1481" s="3"/>
      <c r="D1481" s="3"/>
      <c r="E1481" s="3"/>
      <c r="F1481" s="3"/>
      <c r="G1481" s="6"/>
      <c r="H1481" s="3"/>
      <c r="I1481" s="6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6"/>
    </row>
    <row r="1482" spans="1:25" ht="15" customHeight="1" x14ac:dyDescent="0.3">
      <c r="A1482" s="5"/>
      <c r="B1482" s="25"/>
      <c r="C1482" s="3"/>
      <c r="D1482" s="3"/>
      <c r="E1482" s="3"/>
      <c r="F1482" s="3"/>
      <c r="G1482" s="6"/>
      <c r="H1482" s="3"/>
      <c r="I1482" s="6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6"/>
    </row>
  </sheetData>
  <autoFilter ref="A1:Z1465" xr:uid="{E2199E90-F948-4E2E-A5B9-D0AD83A25753}"/>
  <pageMargins left="0.19685039370078741" right="0.31496062992125984" top="0.55118110236220474" bottom="0.55118110236220474" header="0.15748031496062992" footer="0.35433070866141736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8993-E09D-4764-9931-0DB4000298D2}">
  <sheetPr>
    <pageSetUpPr fitToPage="1"/>
  </sheetPr>
  <dimension ref="A1:S46"/>
  <sheetViews>
    <sheetView view="pageBreakPreview" zoomScale="70" zoomScaleNormal="100" zoomScaleSheetLayoutView="70" workbookViewId="0">
      <pane ySplit="1" topLeftCell="A32" activePane="bottomLeft" state="frozen"/>
      <selection pane="bottomLeft" activeCell="A2" sqref="A2:A46"/>
    </sheetView>
  </sheetViews>
  <sheetFormatPr defaultColWidth="8.88671875" defaultRowHeight="13.8" x14ac:dyDescent="0.3"/>
  <cols>
    <col min="1" max="1" width="6.88671875" style="10" bestFit="1" customWidth="1"/>
    <col min="2" max="2" width="10.6640625" style="10" customWidth="1"/>
    <col min="3" max="3" width="11.88671875" style="10" customWidth="1"/>
    <col min="4" max="5" width="11.6640625" style="10" customWidth="1"/>
    <col min="6" max="6" width="11" style="10" customWidth="1"/>
    <col min="7" max="7" width="10.5546875" style="10" customWidth="1"/>
    <col min="8" max="8" width="10.88671875" style="10" customWidth="1"/>
    <col min="9" max="9" width="10.6640625" style="10" customWidth="1"/>
    <col min="10" max="10" width="11.109375" style="10" customWidth="1"/>
    <col min="11" max="11" width="11.88671875" style="10" customWidth="1"/>
    <col min="12" max="12" width="41.44140625" style="10" customWidth="1"/>
    <col min="13" max="13" width="41.33203125" style="10" customWidth="1"/>
    <col min="14" max="14" width="9" style="10" customWidth="1"/>
    <col min="15" max="15" width="10" style="10" customWidth="1"/>
    <col min="16" max="16" width="9" style="10" customWidth="1"/>
    <col min="17" max="17" width="9.33203125" style="10" customWidth="1"/>
    <col min="18" max="18" width="37.33203125" style="10" customWidth="1"/>
    <col min="19" max="19" width="40.6640625" style="11" bestFit="1" customWidth="1"/>
    <col min="20" max="20" width="26.5546875" style="10" bestFit="1" customWidth="1"/>
    <col min="21" max="16384" width="8.88671875" style="10"/>
  </cols>
  <sheetData>
    <row r="1" spans="1:19" ht="30.75" customHeight="1" x14ac:dyDescent="0.3">
      <c r="A1" s="13" t="s">
        <v>3</v>
      </c>
      <c r="B1" s="14" t="s">
        <v>2</v>
      </c>
      <c r="C1" s="15" t="s">
        <v>48</v>
      </c>
      <c r="D1" s="14" t="s">
        <v>119</v>
      </c>
      <c r="E1" s="14" t="s">
        <v>118</v>
      </c>
      <c r="F1" s="14" t="s">
        <v>117</v>
      </c>
      <c r="G1" s="14" t="s">
        <v>116</v>
      </c>
      <c r="H1" s="14" t="s">
        <v>121</v>
      </c>
      <c r="I1" s="14" t="s">
        <v>120</v>
      </c>
      <c r="J1" s="14" t="s">
        <v>122</v>
      </c>
      <c r="K1" s="14" t="s">
        <v>123</v>
      </c>
      <c r="L1" s="14" t="s">
        <v>50</v>
      </c>
      <c r="M1" s="14" t="s">
        <v>51</v>
      </c>
      <c r="N1" s="14" t="s">
        <v>124</v>
      </c>
      <c r="O1" s="14" t="s">
        <v>53</v>
      </c>
      <c r="P1" s="14" t="s">
        <v>54</v>
      </c>
      <c r="Q1" s="14" t="s">
        <v>55</v>
      </c>
      <c r="R1" s="14" t="s">
        <v>46</v>
      </c>
      <c r="S1" s="16" t="s">
        <v>47</v>
      </c>
    </row>
    <row r="2" spans="1:19" ht="27" customHeight="1" x14ac:dyDescent="0.3">
      <c r="A2" s="17">
        <v>101</v>
      </c>
      <c r="B2" s="18"/>
      <c r="C2" s="12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2"/>
    </row>
    <row r="3" spans="1:19" ht="27" customHeight="1" x14ac:dyDescent="0.3">
      <c r="A3" s="17">
        <v>102</v>
      </c>
      <c r="B3" s="18"/>
      <c r="C3" s="12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2"/>
    </row>
    <row r="4" spans="1:19" ht="27" customHeight="1" x14ac:dyDescent="0.3">
      <c r="A4" s="17">
        <v>103</v>
      </c>
      <c r="B4" s="18"/>
      <c r="C4" s="12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2"/>
    </row>
    <row r="5" spans="1:19" ht="27" customHeight="1" x14ac:dyDescent="0.3">
      <c r="A5" s="17">
        <v>104</v>
      </c>
      <c r="B5" s="18"/>
      <c r="C5" s="12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2"/>
    </row>
    <row r="6" spans="1:19" ht="27" customHeight="1" x14ac:dyDescent="0.3">
      <c r="A6" s="17">
        <v>161</v>
      </c>
      <c r="B6" s="18"/>
      <c r="C6" s="12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2"/>
    </row>
    <row r="7" spans="1:19" ht="27" customHeight="1" x14ac:dyDescent="0.3">
      <c r="A7" s="17">
        <v>162</v>
      </c>
      <c r="B7" s="18"/>
      <c r="C7" s="12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2"/>
    </row>
    <row r="8" spans="1:19" ht="27" customHeight="1" x14ac:dyDescent="0.3">
      <c r="A8" s="17">
        <v>163</v>
      </c>
      <c r="B8" s="18"/>
      <c r="C8" s="12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2"/>
    </row>
    <row r="9" spans="1:19" ht="27" customHeight="1" x14ac:dyDescent="0.3">
      <c r="A9" s="17">
        <v>164</v>
      </c>
      <c r="B9" s="18"/>
      <c r="C9" s="12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2"/>
    </row>
    <row r="10" spans="1:19" ht="27" customHeight="1" x14ac:dyDescent="0.3">
      <c r="A10" s="17">
        <v>181</v>
      </c>
      <c r="B10" s="18"/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2"/>
    </row>
    <row r="11" spans="1:19" ht="27" customHeight="1" x14ac:dyDescent="0.3">
      <c r="A11" s="17">
        <v>182</v>
      </c>
      <c r="B11" s="18"/>
      <c r="C11" s="12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2"/>
    </row>
    <row r="12" spans="1:19" ht="27" customHeight="1" x14ac:dyDescent="0.3">
      <c r="A12" s="17">
        <v>401</v>
      </c>
      <c r="B12" s="18"/>
      <c r="C12" s="12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2"/>
    </row>
    <row r="13" spans="1:19" ht="27" customHeight="1" x14ac:dyDescent="0.3">
      <c r="A13" s="17">
        <v>402</v>
      </c>
      <c r="B13" s="18"/>
      <c r="C13" s="12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2"/>
    </row>
    <row r="14" spans="1:19" ht="27" customHeight="1" x14ac:dyDescent="0.3">
      <c r="A14" s="17">
        <v>403</v>
      </c>
      <c r="B14" s="18"/>
      <c r="C14" s="12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2"/>
    </row>
    <row r="15" spans="1:19" ht="27" customHeight="1" x14ac:dyDescent="0.3">
      <c r="A15" s="17">
        <v>404</v>
      </c>
      <c r="B15" s="18"/>
      <c r="C15" s="12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2"/>
    </row>
    <row r="16" spans="1:19" ht="27" customHeight="1" x14ac:dyDescent="0.3">
      <c r="A16" s="17">
        <v>405</v>
      </c>
      <c r="B16" s="18"/>
      <c r="C16" s="12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2"/>
    </row>
    <row r="17" spans="1:19" ht="27" customHeight="1" x14ac:dyDescent="0.3">
      <c r="A17" s="17">
        <v>171</v>
      </c>
      <c r="B17" s="18"/>
      <c r="C17" s="12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2"/>
    </row>
    <row r="18" spans="1:19" ht="27" customHeight="1" x14ac:dyDescent="0.3">
      <c r="A18" s="17">
        <v>172</v>
      </c>
      <c r="B18" s="18"/>
      <c r="C18" s="12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2"/>
    </row>
    <row r="19" spans="1:19" ht="27" customHeight="1" x14ac:dyDescent="0.3">
      <c r="A19" s="17">
        <v>173</v>
      </c>
      <c r="B19" s="18"/>
      <c r="C19" s="12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2"/>
    </row>
    <row r="20" spans="1:19" ht="27" customHeight="1" x14ac:dyDescent="0.3">
      <c r="A20" s="17">
        <v>174</v>
      </c>
      <c r="B20" s="18"/>
      <c r="C20" s="12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2"/>
    </row>
    <row r="21" spans="1:19" ht="27" customHeight="1" x14ac:dyDescent="0.3">
      <c r="A21" s="17">
        <v>175</v>
      </c>
      <c r="B21" s="18"/>
      <c r="C21" s="12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2"/>
    </row>
    <row r="22" spans="1:19" ht="27" customHeight="1" x14ac:dyDescent="0.3">
      <c r="A22" s="17">
        <v>176</v>
      </c>
      <c r="B22" s="18"/>
      <c r="C22" s="12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2"/>
    </row>
    <row r="23" spans="1:19" ht="27" customHeight="1" x14ac:dyDescent="0.3">
      <c r="A23" s="17">
        <v>177</v>
      </c>
      <c r="B23" s="18"/>
      <c r="C23" s="12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2"/>
    </row>
    <row r="24" spans="1:19" ht="27" customHeight="1" x14ac:dyDescent="0.3">
      <c r="A24" s="17">
        <v>178</v>
      </c>
      <c r="B24" s="18"/>
      <c r="C24" s="12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2"/>
    </row>
    <row r="25" spans="1:19" ht="27" customHeight="1" x14ac:dyDescent="0.3">
      <c r="A25" s="17">
        <v>131</v>
      </c>
      <c r="B25" s="18"/>
      <c r="C25" s="12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2"/>
    </row>
    <row r="26" spans="1:19" ht="27" customHeight="1" x14ac:dyDescent="0.3">
      <c r="A26" s="17">
        <v>132</v>
      </c>
      <c r="B26" s="18"/>
      <c r="C26" s="12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2"/>
    </row>
    <row r="27" spans="1:19" ht="27" customHeight="1" x14ac:dyDescent="0.3">
      <c r="A27" s="17">
        <v>133</v>
      </c>
      <c r="B27" s="18"/>
      <c r="C27" s="12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2"/>
    </row>
    <row r="28" spans="1:19" ht="27" customHeight="1" x14ac:dyDescent="0.3">
      <c r="A28" s="17">
        <v>134</v>
      </c>
      <c r="B28" s="18"/>
      <c r="C28" s="12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2"/>
    </row>
    <row r="29" spans="1:19" ht="27" customHeight="1" x14ac:dyDescent="0.3">
      <c r="A29" s="17">
        <v>135</v>
      </c>
      <c r="B29" s="18"/>
      <c r="C29" s="12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2"/>
    </row>
    <row r="30" spans="1:19" ht="27" customHeight="1" x14ac:dyDescent="0.3">
      <c r="A30" s="17">
        <v>201</v>
      </c>
      <c r="B30" s="18"/>
      <c r="C30" s="12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2"/>
    </row>
    <row r="31" spans="1:19" ht="27" customHeight="1" x14ac:dyDescent="0.3">
      <c r="A31" s="17">
        <v>202</v>
      </c>
      <c r="B31" s="18"/>
      <c r="C31" s="12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2"/>
    </row>
    <row r="32" spans="1:19" ht="27" customHeight="1" x14ac:dyDescent="0.3">
      <c r="A32" s="17">
        <v>203</v>
      </c>
      <c r="B32" s="18"/>
      <c r="C32" s="12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2"/>
    </row>
    <row r="33" spans="1:19" ht="27" customHeight="1" x14ac:dyDescent="0.3">
      <c r="A33" s="17">
        <v>204</v>
      </c>
      <c r="B33" s="18"/>
      <c r="C33" s="12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2"/>
    </row>
    <row r="34" spans="1:19" ht="27" customHeight="1" x14ac:dyDescent="0.3">
      <c r="A34" s="17">
        <v>205</v>
      </c>
      <c r="B34" s="18"/>
      <c r="C34" s="12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2"/>
    </row>
    <row r="35" spans="1:19" ht="27" customHeight="1" x14ac:dyDescent="0.3">
      <c r="A35" s="17">
        <v>206</v>
      </c>
      <c r="B35" s="18"/>
      <c r="C35" s="12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2"/>
    </row>
    <row r="36" spans="1:19" ht="27" customHeight="1" x14ac:dyDescent="0.3">
      <c r="A36" s="17">
        <v>207</v>
      </c>
      <c r="B36" s="18"/>
      <c r="C36" s="12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2"/>
    </row>
    <row r="37" spans="1:19" ht="27" customHeight="1" x14ac:dyDescent="0.3">
      <c r="A37" s="17">
        <v>208</v>
      </c>
      <c r="B37" s="18"/>
      <c r="C37" s="12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2"/>
    </row>
    <row r="38" spans="1:19" ht="27" customHeight="1" x14ac:dyDescent="0.3">
      <c r="A38" s="17">
        <v>209</v>
      </c>
      <c r="B38" s="18"/>
      <c r="C38" s="12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2"/>
    </row>
    <row r="39" spans="1:19" ht="27" customHeight="1" x14ac:dyDescent="0.3">
      <c r="A39" s="17">
        <v>210</v>
      </c>
      <c r="B39" s="18"/>
      <c r="C39" s="12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2"/>
    </row>
    <row r="40" spans="1:19" ht="27" customHeight="1" x14ac:dyDescent="0.3">
      <c r="A40" s="17">
        <v>301</v>
      </c>
      <c r="B40" s="18"/>
      <c r="C40" s="12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2"/>
    </row>
    <row r="41" spans="1:19" ht="27" customHeight="1" x14ac:dyDescent="0.3">
      <c r="A41" s="17">
        <v>302</v>
      </c>
      <c r="B41" s="18"/>
      <c r="C41" s="12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2"/>
    </row>
    <row r="42" spans="1:19" ht="27" customHeight="1" x14ac:dyDescent="0.3">
      <c r="A42" s="17">
        <v>303</v>
      </c>
      <c r="B42" s="20"/>
      <c r="C42" s="12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2"/>
    </row>
    <row r="43" spans="1:19" ht="27" customHeight="1" x14ac:dyDescent="0.3">
      <c r="A43" s="17">
        <v>505</v>
      </c>
      <c r="B43" s="18"/>
      <c r="C43" s="12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2"/>
    </row>
    <row r="44" spans="1:19" ht="27" customHeight="1" x14ac:dyDescent="0.3">
      <c r="A44" s="17">
        <v>501</v>
      </c>
      <c r="B44" s="18"/>
      <c r="C44" s="12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2"/>
    </row>
    <row r="45" spans="1:19" ht="27" customHeight="1" x14ac:dyDescent="0.3">
      <c r="A45" s="24">
        <v>502</v>
      </c>
      <c r="B45" s="18"/>
      <c r="C45" s="12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2"/>
    </row>
    <row r="46" spans="1:19" ht="27" customHeight="1" x14ac:dyDescent="0.3">
      <c r="A46" s="21">
        <v>503</v>
      </c>
      <c r="B46" s="20"/>
      <c r="C46" s="12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2"/>
    </row>
  </sheetData>
  <pageMargins left="0.4" right="0.28999999999999998" top="0.41" bottom="0.27" header="0.15748031496062992" footer="0.19"/>
  <pageSetup paperSize="9" scale="4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5F482-1265-4897-846F-0DAB6C79FC13}">
  <dimension ref="B4"/>
  <sheetViews>
    <sheetView workbookViewId="0">
      <selection activeCell="E8" sqref="E8"/>
    </sheetView>
  </sheetViews>
  <sheetFormatPr defaultRowHeight="14.4" x14ac:dyDescent="0.3"/>
  <sheetData>
    <row r="4" spans="2:2" x14ac:dyDescent="0.3">
      <c r="B4">
        <f>251+128+476+357</f>
        <v>1212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A29D0-8DF0-4931-8B51-0AF736F14E00}">
  <dimension ref="A4:L135"/>
  <sheetViews>
    <sheetView tabSelected="1" topLeftCell="A116" zoomScaleNormal="100" workbookViewId="0">
      <selection activeCell="C140" sqref="C140"/>
    </sheetView>
  </sheetViews>
  <sheetFormatPr defaultRowHeight="14.4" x14ac:dyDescent="0.3"/>
  <cols>
    <col min="1" max="1" width="11.6640625" bestFit="1" customWidth="1"/>
    <col min="2" max="2" width="15" customWidth="1"/>
    <col min="3" max="3" width="26.6640625" customWidth="1"/>
    <col min="4" max="4" width="15" customWidth="1"/>
    <col min="5" max="5" width="18" customWidth="1"/>
    <col min="6" max="6" width="27.88671875" customWidth="1"/>
    <col min="7" max="7" width="20.44140625" bestFit="1" customWidth="1"/>
  </cols>
  <sheetData>
    <row r="4" spans="1:7" x14ac:dyDescent="0.3">
      <c r="A4" s="107">
        <v>46041</v>
      </c>
      <c r="B4" s="103" t="s">
        <v>2195</v>
      </c>
      <c r="C4" s="103" t="s">
        <v>2196</v>
      </c>
      <c r="D4" s="103" t="s">
        <v>2197</v>
      </c>
      <c r="E4" s="103" t="s">
        <v>2198</v>
      </c>
      <c r="F4" s="103" t="s">
        <v>2199</v>
      </c>
      <c r="G4" s="103" t="s">
        <v>2200</v>
      </c>
    </row>
    <row r="5" spans="1:7" x14ac:dyDescent="0.3">
      <c r="B5" s="104">
        <v>101</v>
      </c>
      <c r="C5" s="102">
        <v>4</v>
      </c>
      <c r="D5" s="102">
        <v>4</v>
      </c>
      <c r="E5" s="106">
        <v>12.79</v>
      </c>
      <c r="F5" s="102">
        <v>12</v>
      </c>
      <c r="G5" s="105">
        <v>12.16</v>
      </c>
    </row>
    <row r="6" spans="1:7" x14ac:dyDescent="0.3">
      <c r="B6" s="104">
        <v>102</v>
      </c>
      <c r="C6" s="102">
        <v>9</v>
      </c>
      <c r="D6" s="102">
        <v>8</v>
      </c>
      <c r="E6" s="105">
        <v>12.04</v>
      </c>
      <c r="F6" s="102">
        <v>13</v>
      </c>
      <c r="G6" s="105">
        <v>12.23</v>
      </c>
    </row>
    <row r="7" spans="1:7" x14ac:dyDescent="0.3">
      <c r="B7" s="104">
        <v>103</v>
      </c>
      <c r="C7" s="102">
        <v>5</v>
      </c>
      <c r="D7" s="102">
        <v>5</v>
      </c>
      <c r="E7" s="106">
        <v>16.86</v>
      </c>
      <c r="F7" s="102">
        <v>15</v>
      </c>
      <c r="G7" s="106">
        <v>16.47</v>
      </c>
    </row>
    <row r="8" spans="1:7" x14ac:dyDescent="0.3">
      <c r="B8" s="104">
        <v>104</v>
      </c>
      <c r="C8" s="102">
        <v>6</v>
      </c>
      <c r="D8" s="102">
        <v>6</v>
      </c>
      <c r="E8" s="105">
        <v>13.73</v>
      </c>
      <c r="F8" s="102">
        <v>14</v>
      </c>
      <c r="G8" s="105">
        <v>13.73</v>
      </c>
    </row>
    <row r="9" spans="1:7" x14ac:dyDescent="0.3">
      <c r="B9" s="104">
        <v>162</v>
      </c>
      <c r="C9" s="102">
        <v>6</v>
      </c>
      <c r="D9" s="102">
        <v>6</v>
      </c>
      <c r="E9" s="105">
        <v>24</v>
      </c>
      <c r="F9" s="102">
        <v>24</v>
      </c>
      <c r="G9" s="105">
        <v>24</v>
      </c>
    </row>
    <row r="10" spans="1:7" x14ac:dyDescent="0.3">
      <c r="B10" s="104">
        <v>171</v>
      </c>
      <c r="C10" s="102">
        <v>3</v>
      </c>
      <c r="D10" s="102">
        <v>3</v>
      </c>
      <c r="E10" s="105">
        <v>14.64</v>
      </c>
      <c r="F10" s="102">
        <v>16</v>
      </c>
      <c r="G10" s="105">
        <v>14.28</v>
      </c>
    </row>
    <row r="11" spans="1:7" x14ac:dyDescent="0.3">
      <c r="B11" s="104">
        <v>172</v>
      </c>
      <c r="C11" s="102">
        <v>4</v>
      </c>
      <c r="D11" s="102">
        <v>3</v>
      </c>
      <c r="E11" s="105">
        <v>15.97</v>
      </c>
      <c r="F11" s="102">
        <v>16</v>
      </c>
      <c r="G11" s="105">
        <v>15.68</v>
      </c>
    </row>
    <row r="12" spans="1:7" x14ac:dyDescent="0.3">
      <c r="B12" s="104">
        <v>173</v>
      </c>
      <c r="C12" s="102">
        <v>5</v>
      </c>
      <c r="D12" s="102">
        <v>5</v>
      </c>
      <c r="E12" s="106">
        <v>16.34</v>
      </c>
      <c r="F12" s="102">
        <v>14.7</v>
      </c>
      <c r="G12" s="106">
        <v>16.3</v>
      </c>
    </row>
    <row r="13" spans="1:7" x14ac:dyDescent="0.3">
      <c r="B13" s="104">
        <v>175</v>
      </c>
      <c r="C13" s="102">
        <v>5</v>
      </c>
      <c r="D13" s="102">
        <v>5</v>
      </c>
      <c r="E13" s="106">
        <v>14.89</v>
      </c>
      <c r="F13" s="102">
        <v>14</v>
      </c>
      <c r="G13" s="105">
        <v>13.9</v>
      </c>
    </row>
    <row r="14" spans="1:7" x14ac:dyDescent="0.3">
      <c r="B14" s="104">
        <v>176</v>
      </c>
      <c r="C14" s="102">
        <v>5</v>
      </c>
      <c r="D14" s="102">
        <v>5</v>
      </c>
      <c r="E14" s="105">
        <v>17.91</v>
      </c>
      <c r="F14" s="102">
        <v>18</v>
      </c>
      <c r="G14" s="105">
        <v>17.7</v>
      </c>
    </row>
    <row r="15" spans="1:7" x14ac:dyDescent="0.3">
      <c r="B15" s="104">
        <v>131</v>
      </c>
      <c r="C15" s="102">
        <v>3</v>
      </c>
      <c r="D15" s="102">
        <v>3</v>
      </c>
      <c r="E15" s="105">
        <v>18.18</v>
      </c>
      <c r="F15" s="102">
        <v>18</v>
      </c>
      <c r="G15" s="105">
        <v>17.88</v>
      </c>
    </row>
    <row r="16" spans="1:7" x14ac:dyDescent="0.3">
      <c r="B16" s="104">
        <v>132</v>
      </c>
      <c r="C16" s="102">
        <v>3</v>
      </c>
      <c r="D16" s="102">
        <v>3</v>
      </c>
      <c r="E16" s="106">
        <v>24.57</v>
      </c>
      <c r="F16" s="102">
        <v>18</v>
      </c>
      <c r="G16" s="106">
        <v>24.6</v>
      </c>
    </row>
    <row r="17" spans="1:7" x14ac:dyDescent="0.3">
      <c r="B17" s="104">
        <v>138</v>
      </c>
      <c r="C17" s="102">
        <v>3</v>
      </c>
      <c r="D17" s="102">
        <v>3</v>
      </c>
      <c r="E17" s="105">
        <v>12.68</v>
      </c>
      <c r="F17" s="102">
        <v>14</v>
      </c>
      <c r="G17" s="105">
        <v>12.6</v>
      </c>
    </row>
    <row r="19" spans="1:7" x14ac:dyDescent="0.3">
      <c r="A19" s="107">
        <v>46042</v>
      </c>
      <c r="B19" s="103" t="s">
        <v>2208</v>
      </c>
      <c r="C19" s="103" t="s">
        <v>2203</v>
      </c>
      <c r="D19" s="103" t="s">
        <v>2204</v>
      </c>
      <c r="E19" s="103" t="s">
        <v>2205</v>
      </c>
      <c r="F19" s="103" t="s">
        <v>2206</v>
      </c>
      <c r="G19" s="103" t="s">
        <v>2207</v>
      </c>
    </row>
    <row r="20" spans="1:7" x14ac:dyDescent="0.3">
      <c r="B20" s="104">
        <v>101</v>
      </c>
      <c r="C20" s="102">
        <v>4</v>
      </c>
      <c r="D20" s="102">
        <v>4</v>
      </c>
      <c r="E20" s="108">
        <v>12.96</v>
      </c>
      <c r="F20" s="102">
        <v>12</v>
      </c>
      <c r="G20" s="109">
        <v>12.16</v>
      </c>
    </row>
    <row r="21" spans="1:7" x14ac:dyDescent="0.3">
      <c r="B21" s="104">
        <v>102</v>
      </c>
      <c r="C21" s="102">
        <v>9</v>
      </c>
      <c r="D21" s="102">
        <v>8</v>
      </c>
      <c r="E21" s="105">
        <v>12.17</v>
      </c>
      <c r="F21" s="102">
        <v>13</v>
      </c>
      <c r="G21" s="102" t="s">
        <v>2202</v>
      </c>
    </row>
    <row r="22" spans="1:7" ht="16.95" customHeight="1" x14ac:dyDescent="0.3">
      <c r="B22" s="104">
        <v>103</v>
      </c>
      <c r="C22" s="102">
        <v>5</v>
      </c>
      <c r="D22" s="102">
        <v>5</v>
      </c>
      <c r="E22" s="106">
        <v>16.920000000000002</v>
      </c>
      <c r="F22" s="102">
        <v>15</v>
      </c>
      <c r="G22" s="110" t="s">
        <v>2201</v>
      </c>
    </row>
    <row r="23" spans="1:7" x14ac:dyDescent="0.3">
      <c r="B23" s="104">
        <v>104</v>
      </c>
      <c r="C23" s="102">
        <v>6</v>
      </c>
      <c r="D23" s="102">
        <v>6</v>
      </c>
      <c r="E23" s="105">
        <v>13.72</v>
      </c>
      <c r="F23" s="102">
        <v>14</v>
      </c>
      <c r="G23" s="102" t="s">
        <v>2202</v>
      </c>
    </row>
    <row r="24" spans="1:7" x14ac:dyDescent="0.3">
      <c r="B24" s="104">
        <v>162</v>
      </c>
      <c r="C24" s="102">
        <v>6</v>
      </c>
      <c r="D24" s="102">
        <v>6</v>
      </c>
      <c r="E24" s="105">
        <v>24</v>
      </c>
      <c r="F24" s="102">
        <v>24</v>
      </c>
      <c r="G24" s="102" t="s">
        <v>2202</v>
      </c>
    </row>
    <row r="25" spans="1:7" x14ac:dyDescent="0.3">
      <c r="B25" s="104">
        <v>164</v>
      </c>
      <c r="C25" s="102">
        <v>6</v>
      </c>
      <c r="D25" s="102">
        <v>6</v>
      </c>
      <c r="E25" s="105">
        <v>23.99</v>
      </c>
      <c r="F25" s="102">
        <v>24</v>
      </c>
      <c r="G25" s="102" t="s">
        <v>2202</v>
      </c>
    </row>
    <row r="26" spans="1:7" x14ac:dyDescent="0.3">
      <c r="B26" s="104">
        <v>182</v>
      </c>
      <c r="C26" s="102">
        <v>8</v>
      </c>
      <c r="D26" s="102">
        <v>8</v>
      </c>
      <c r="E26" s="105">
        <v>15</v>
      </c>
      <c r="F26" s="102">
        <v>15</v>
      </c>
      <c r="G26" s="102" t="s">
        <v>2202</v>
      </c>
    </row>
    <row r="27" spans="1:7" x14ac:dyDescent="0.3">
      <c r="B27" s="104">
        <v>171</v>
      </c>
      <c r="C27" s="102">
        <v>3</v>
      </c>
      <c r="D27" s="102">
        <v>3</v>
      </c>
      <c r="E27" s="105">
        <v>14.47</v>
      </c>
      <c r="F27" s="102">
        <v>16</v>
      </c>
      <c r="G27" s="102" t="s">
        <v>2202</v>
      </c>
    </row>
    <row r="28" spans="1:7" x14ac:dyDescent="0.3">
      <c r="B28" s="104">
        <v>172</v>
      </c>
      <c r="C28" s="102">
        <v>4</v>
      </c>
      <c r="D28" s="102">
        <v>3</v>
      </c>
      <c r="E28" s="105">
        <v>15.71</v>
      </c>
      <c r="F28" s="102">
        <v>16</v>
      </c>
      <c r="G28" s="102" t="s">
        <v>2202</v>
      </c>
    </row>
    <row r="29" spans="1:7" ht="18" customHeight="1" x14ac:dyDescent="0.3">
      <c r="B29" s="104">
        <v>173</v>
      </c>
      <c r="C29" s="102">
        <v>5</v>
      </c>
      <c r="D29" s="102">
        <v>5</v>
      </c>
      <c r="E29" s="106">
        <v>16.38</v>
      </c>
      <c r="F29" s="102">
        <v>14.7</v>
      </c>
      <c r="G29" s="110" t="s">
        <v>2201</v>
      </c>
    </row>
    <row r="30" spans="1:7" x14ac:dyDescent="0.3">
      <c r="B30" s="104">
        <v>175</v>
      </c>
      <c r="C30" s="102">
        <v>5</v>
      </c>
      <c r="D30" s="102">
        <v>5</v>
      </c>
      <c r="E30" s="105">
        <v>13.91</v>
      </c>
      <c r="F30" s="102">
        <v>14</v>
      </c>
      <c r="G30" s="102" t="s">
        <v>2202</v>
      </c>
    </row>
    <row r="31" spans="1:7" x14ac:dyDescent="0.3">
      <c r="B31" s="104">
        <v>176</v>
      </c>
      <c r="C31" s="102">
        <v>5</v>
      </c>
      <c r="D31" s="102">
        <v>5</v>
      </c>
      <c r="E31" s="105">
        <v>17.97</v>
      </c>
      <c r="F31" s="102">
        <v>18</v>
      </c>
      <c r="G31" s="102" t="s">
        <v>2202</v>
      </c>
    </row>
    <row r="32" spans="1:7" x14ac:dyDescent="0.3">
      <c r="B32" s="104">
        <v>177</v>
      </c>
      <c r="C32" s="102">
        <v>4</v>
      </c>
      <c r="D32" s="102">
        <v>3</v>
      </c>
      <c r="E32" s="105">
        <v>17.12</v>
      </c>
      <c r="F32" s="102">
        <v>17</v>
      </c>
      <c r="G32" s="102" t="s">
        <v>2202</v>
      </c>
    </row>
    <row r="33" spans="1:7" x14ac:dyDescent="0.3">
      <c r="B33" s="104">
        <v>131</v>
      </c>
      <c r="C33" s="102">
        <v>3</v>
      </c>
      <c r="D33" s="102">
        <v>3</v>
      </c>
      <c r="E33" s="105">
        <v>17.88</v>
      </c>
      <c r="F33" s="102">
        <v>18</v>
      </c>
      <c r="G33" s="102" t="s">
        <v>2202</v>
      </c>
    </row>
    <row r="34" spans="1:7" ht="18.600000000000001" customHeight="1" x14ac:dyDescent="0.3">
      <c r="B34" s="104">
        <v>132</v>
      </c>
      <c r="C34" s="102">
        <v>3</v>
      </c>
      <c r="D34" s="102">
        <v>3</v>
      </c>
      <c r="E34" s="106">
        <v>24.87</v>
      </c>
      <c r="F34" s="102">
        <v>18</v>
      </c>
      <c r="G34" s="110" t="s">
        <v>2201</v>
      </c>
    </row>
    <row r="35" spans="1:7" x14ac:dyDescent="0.3">
      <c r="B35" s="104">
        <v>133</v>
      </c>
      <c r="C35" s="102">
        <v>3</v>
      </c>
      <c r="D35" s="102">
        <v>3</v>
      </c>
      <c r="E35" s="106">
        <v>17.059999999999999</v>
      </c>
      <c r="F35" s="102">
        <v>15</v>
      </c>
      <c r="G35" s="109">
        <v>16.48</v>
      </c>
    </row>
    <row r="36" spans="1:7" ht="17.399999999999999" customHeight="1" x14ac:dyDescent="0.3">
      <c r="B36" s="104">
        <v>135</v>
      </c>
      <c r="C36" s="102">
        <v>2</v>
      </c>
      <c r="D36" s="102">
        <v>2</v>
      </c>
      <c r="E36" s="105">
        <v>15.16</v>
      </c>
      <c r="F36" s="102">
        <v>18</v>
      </c>
      <c r="G36" s="102" t="s">
        <v>2202</v>
      </c>
    </row>
    <row r="37" spans="1:7" ht="15.6" customHeight="1" x14ac:dyDescent="0.3"/>
    <row r="38" spans="1:7" x14ac:dyDescent="0.3">
      <c r="A38" s="107">
        <v>46043</v>
      </c>
      <c r="B38" s="103" t="s">
        <v>2208</v>
      </c>
      <c r="C38" s="103" t="s">
        <v>2203</v>
      </c>
      <c r="D38" s="103" t="s">
        <v>2204</v>
      </c>
      <c r="E38" s="103" t="s">
        <v>2205</v>
      </c>
      <c r="F38" s="103" t="s">
        <v>2206</v>
      </c>
      <c r="G38" s="103" t="s">
        <v>2207</v>
      </c>
    </row>
    <row r="39" spans="1:7" x14ac:dyDescent="0.3">
      <c r="B39" s="104">
        <v>101</v>
      </c>
      <c r="C39" s="102">
        <v>4</v>
      </c>
      <c r="D39" s="102">
        <v>4</v>
      </c>
      <c r="E39" s="108">
        <v>12.72</v>
      </c>
      <c r="F39" s="102">
        <v>12</v>
      </c>
      <c r="G39" s="109">
        <v>12.37</v>
      </c>
    </row>
    <row r="40" spans="1:7" x14ac:dyDescent="0.3">
      <c r="B40" s="104">
        <v>102</v>
      </c>
      <c r="C40" s="102">
        <v>9</v>
      </c>
      <c r="D40" s="102">
        <v>8</v>
      </c>
      <c r="E40" s="105">
        <v>12.09</v>
      </c>
      <c r="F40" s="102">
        <v>13</v>
      </c>
      <c r="G40" s="102" t="s">
        <v>2202</v>
      </c>
    </row>
    <row r="41" spans="1:7" ht="16.95" customHeight="1" x14ac:dyDescent="0.3">
      <c r="B41" s="104">
        <v>103</v>
      </c>
      <c r="C41" s="102">
        <v>5</v>
      </c>
      <c r="D41" s="102">
        <v>5</v>
      </c>
      <c r="E41" s="106">
        <v>16.91</v>
      </c>
      <c r="F41" s="102">
        <v>15</v>
      </c>
      <c r="G41" s="102" t="s">
        <v>2201</v>
      </c>
    </row>
    <row r="42" spans="1:7" x14ac:dyDescent="0.3">
      <c r="B42" s="104">
        <v>104</v>
      </c>
      <c r="C42" s="102">
        <v>6</v>
      </c>
      <c r="D42" s="102">
        <v>6</v>
      </c>
      <c r="E42" s="105">
        <v>13.84</v>
      </c>
      <c r="F42" s="102">
        <v>14</v>
      </c>
      <c r="G42" s="102" t="s">
        <v>2202</v>
      </c>
    </row>
    <row r="43" spans="1:7" x14ac:dyDescent="0.3">
      <c r="B43" s="104">
        <v>164</v>
      </c>
      <c r="C43" s="102">
        <v>6</v>
      </c>
      <c r="D43" s="102">
        <v>6</v>
      </c>
      <c r="E43" s="105">
        <v>23.99</v>
      </c>
      <c r="F43" s="102">
        <v>24</v>
      </c>
      <c r="G43" s="102" t="s">
        <v>2202</v>
      </c>
    </row>
    <row r="44" spans="1:7" x14ac:dyDescent="0.3">
      <c r="B44" s="104">
        <v>141</v>
      </c>
      <c r="C44" s="102">
        <v>4</v>
      </c>
      <c r="D44" s="102">
        <v>4</v>
      </c>
      <c r="E44" s="105">
        <v>28</v>
      </c>
      <c r="F44" s="102">
        <v>30</v>
      </c>
      <c r="G44" s="102" t="s">
        <v>2202</v>
      </c>
    </row>
    <row r="45" spans="1:7" x14ac:dyDescent="0.3">
      <c r="B45" s="104">
        <v>182</v>
      </c>
      <c r="C45" s="102">
        <v>8</v>
      </c>
      <c r="D45" s="102">
        <v>8</v>
      </c>
      <c r="E45" s="105">
        <v>14</v>
      </c>
      <c r="F45" s="102">
        <v>15</v>
      </c>
      <c r="G45" s="102" t="s">
        <v>2202</v>
      </c>
    </row>
    <row r="46" spans="1:7" x14ac:dyDescent="0.3">
      <c r="B46" s="104">
        <v>171</v>
      </c>
      <c r="C46" s="102">
        <v>3</v>
      </c>
      <c r="D46" s="102">
        <v>3</v>
      </c>
      <c r="E46" s="105">
        <v>14.22</v>
      </c>
      <c r="F46" s="102">
        <v>16</v>
      </c>
      <c r="G46" s="102" t="s">
        <v>2202</v>
      </c>
    </row>
    <row r="47" spans="1:7" x14ac:dyDescent="0.3">
      <c r="B47" s="104">
        <v>172</v>
      </c>
      <c r="C47" s="102">
        <v>4</v>
      </c>
      <c r="D47" s="102">
        <v>4</v>
      </c>
      <c r="E47" s="105">
        <v>15.65</v>
      </c>
      <c r="F47" s="102">
        <v>16</v>
      </c>
      <c r="G47" s="102" t="s">
        <v>2202</v>
      </c>
    </row>
    <row r="48" spans="1:7" ht="18" customHeight="1" x14ac:dyDescent="0.3">
      <c r="B48" s="104">
        <v>173</v>
      </c>
      <c r="C48" s="102">
        <v>5</v>
      </c>
      <c r="D48" s="102">
        <v>5</v>
      </c>
      <c r="E48" s="106">
        <v>16.329999999999998</v>
      </c>
      <c r="F48" s="102">
        <v>14.7</v>
      </c>
      <c r="G48" s="102" t="s">
        <v>2201</v>
      </c>
    </row>
    <row r="49" spans="1:7" ht="18" customHeight="1" x14ac:dyDescent="0.3">
      <c r="B49" s="104">
        <v>174</v>
      </c>
      <c r="C49" s="102">
        <v>3</v>
      </c>
      <c r="D49" s="102">
        <v>3</v>
      </c>
      <c r="E49" s="106">
        <v>16.98</v>
      </c>
      <c r="F49" s="102">
        <v>13.5</v>
      </c>
      <c r="G49" s="109">
        <v>15.41</v>
      </c>
    </row>
    <row r="50" spans="1:7" x14ac:dyDescent="0.3">
      <c r="B50" s="104">
        <v>175</v>
      </c>
      <c r="C50" s="102">
        <v>5</v>
      </c>
      <c r="D50" s="102">
        <v>5</v>
      </c>
      <c r="E50" s="105">
        <v>14.22</v>
      </c>
      <c r="F50" s="102">
        <v>14</v>
      </c>
      <c r="G50" s="102" t="s">
        <v>2202</v>
      </c>
    </row>
    <row r="51" spans="1:7" x14ac:dyDescent="0.3">
      <c r="B51" s="104">
        <v>176</v>
      </c>
      <c r="C51" s="102">
        <v>5</v>
      </c>
      <c r="D51" s="102">
        <v>5</v>
      </c>
      <c r="E51" s="106">
        <v>18.989999999999998</v>
      </c>
      <c r="F51" s="102">
        <v>18</v>
      </c>
      <c r="G51" s="109">
        <v>17.97</v>
      </c>
    </row>
    <row r="52" spans="1:7" x14ac:dyDescent="0.3">
      <c r="B52" s="104">
        <v>177</v>
      </c>
      <c r="C52" s="102">
        <v>4</v>
      </c>
      <c r="D52" s="102">
        <v>3</v>
      </c>
      <c r="E52" s="105">
        <v>17.03</v>
      </c>
      <c r="F52" s="102">
        <v>17</v>
      </c>
      <c r="G52" s="102" t="s">
        <v>2202</v>
      </c>
    </row>
    <row r="53" spans="1:7" x14ac:dyDescent="0.3">
      <c r="B53" s="104">
        <v>131</v>
      </c>
      <c r="C53" s="102">
        <v>3</v>
      </c>
      <c r="D53" s="102">
        <v>3</v>
      </c>
      <c r="E53" s="106">
        <v>19.670000000000002</v>
      </c>
      <c r="F53" s="102">
        <v>18</v>
      </c>
      <c r="G53" s="109">
        <v>18.579999999999998</v>
      </c>
    </row>
    <row r="54" spans="1:7" ht="18.600000000000001" customHeight="1" x14ac:dyDescent="0.3">
      <c r="B54" s="104">
        <v>132</v>
      </c>
      <c r="C54" s="102">
        <v>3</v>
      </c>
      <c r="D54" s="102">
        <v>3</v>
      </c>
      <c r="E54" s="106">
        <v>23.77</v>
      </c>
      <c r="F54" s="102">
        <v>18</v>
      </c>
      <c r="G54" s="102" t="s">
        <v>2201</v>
      </c>
    </row>
    <row r="55" spans="1:7" x14ac:dyDescent="0.3">
      <c r="B55" s="104">
        <v>133</v>
      </c>
      <c r="C55" s="102">
        <v>3</v>
      </c>
      <c r="D55" s="102">
        <v>2</v>
      </c>
      <c r="E55" s="106">
        <v>16.57</v>
      </c>
      <c r="F55" s="102">
        <v>15</v>
      </c>
      <c r="G55" s="109">
        <v>16.55</v>
      </c>
    </row>
    <row r="56" spans="1:7" ht="17.399999999999999" customHeight="1" x14ac:dyDescent="0.3">
      <c r="B56" s="104">
        <v>135</v>
      </c>
      <c r="C56" s="102">
        <v>2</v>
      </c>
      <c r="D56" s="102">
        <v>2</v>
      </c>
      <c r="E56" s="105">
        <v>15.18</v>
      </c>
      <c r="F56" s="102">
        <v>18</v>
      </c>
      <c r="G56" s="102" t="s">
        <v>2202</v>
      </c>
    </row>
    <row r="58" spans="1:7" x14ac:dyDescent="0.3">
      <c r="A58" s="107">
        <v>46044</v>
      </c>
      <c r="B58" s="103" t="s">
        <v>2208</v>
      </c>
      <c r="C58" s="103" t="s">
        <v>2203</v>
      </c>
      <c r="D58" s="103" t="s">
        <v>2204</v>
      </c>
      <c r="E58" s="103" t="s">
        <v>2205</v>
      </c>
      <c r="F58" s="103" t="s">
        <v>2206</v>
      </c>
      <c r="G58" s="103" t="s">
        <v>2207</v>
      </c>
    </row>
    <row r="59" spans="1:7" x14ac:dyDescent="0.3">
      <c r="B59" s="104">
        <v>101</v>
      </c>
      <c r="C59" s="102">
        <v>4</v>
      </c>
      <c r="D59" s="102">
        <v>4</v>
      </c>
      <c r="E59" s="108">
        <v>13.26</v>
      </c>
      <c r="F59" s="102">
        <v>12</v>
      </c>
      <c r="G59" s="109" t="s">
        <v>2209</v>
      </c>
    </row>
    <row r="60" spans="1:7" x14ac:dyDescent="0.3">
      <c r="B60" s="104">
        <v>102</v>
      </c>
      <c r="C60" s="102">
        <v>9</v>
      </c>
      <c r="D60" s="102">
        <v>8</v>
      </c>
      <c r="E60" s="105">
        <v>12.07</v>
      </c>
      <c r="F60" s="102">
        <v>13</v>
      </c>
      <c r="G60" s="102" t="s">
        <v>2202</v>
      </c>
    </row>
    <row r="61" spans="1:7" x14ac:dyDescent="0.3">
      <c r="B61" s="104">
        <v>161</v>
      </c>
      <c r="C61" s="102">
        <v>6</v>
      </c>
      <c r="D61" s="102">
        <v>6</v>
      </c>
      <c r="E61" s="105">
        <v>22.51</v>
      </c>
      <c r="F61" s="102">
        <v>22.5</v>
      </c>
      <c r="G61" s="102" t="s">
        <v>2202</v>
      </c>
    </row>
    <row r="62" spans="1:7" x14ac:dyDescent="0.3">
      <c r="B62" s="104">
        <v>162</v>
      </c>
      <c r="C62" s="102">
        <v>6</v>
      </c>
      <c r="D62" s="102">
        <v>6</v>
      </c>
      <c r="E62" s="105">
        <v>24</v>
      </c>
      <c r="F62" s="102">
        <v>24</v>
      </c>
      <c r="G62" s="102" t="s">
        <v>2202</v>
      </c>
    </row>
    <row r="63" spans="1:7" x14ac:dyDescent="0.3">
      <c r="B63" s="104">
        <v>164</v>
      </c>
      <c r="C63" s="102">
        <v>6</v>
      </c>
      <c r="D63" s="102">
        <v>6</v>
      </c>
      <c r="E63" s="105">
        <v>23.99</v>
      </c>
      <c r="F63" s="102">
        <v>24</v>
      </c>
      <c r="G63" s="102" t="s">
        <v>2202</v>
      </c>
    </row>
    <row r="64" spans="1:7" x14ac:dyDescent="0.3">
      <c r="B64" s="104">
        <v>141</v>
      </c>
      <c r="C64" s="102">
        <v>4</v>
      </c>
      <c r="D64" s="102">
        <v>4</v>
      </c>
      <c r="E64" s="105">
        <v>30</v>
      </c>
      <c r="F64" s="102">
        <v>30</v>
      </c>
      <c r="G64" s="102" t="s">
        <v>2202</v>
      </c>
    </row>
    <row r="65" spans="1:7" x14ac:dyDescent="0.3">
      <c r="B65" s="104">
        <v>182</v>
      </c>
      <c r="C65" s="102">
        <v>8</v>
      </c>
      <c r="D65" s="102">
        <v>8</v>
      </c>
      <c r="E65" s="105">
        <v>14</v>
      </c>
      <c r="F65" s="102">
        <v>15</v>
      </c>
      <c r="G65" s="102" t="s">
        <v>2202</v>
      </c>
    </row>
    <row r="66" spans="1:7" x14ac:dyDescent="0.3">
      <c r="B66" s="104">
        <v>171</v>
      </c>
      <c r="C66" s="102">
        <v>3</v>
      </c>
      <c r="D66" s="102">
        <v>3</v>
      </c>
      <c r="E66" s="105">
        <v>14.58</v>
      </c>
      <c r="F66" s="102">
        <v>16</v>
      </c>
      <c r="G66" s="102" t="s">
        <v>2202</v>
      </c>
    </row>
    <row r="67" spans="1:7" x14ac:dyDescent="0.3">
      <c r="B67" s="104">
        <v>172</v>
      </c>
      <c r="C67" s="102">
        <v>4</v>
      </c>
      <c r="D67" s="102">
        <v>4</v>
      </c>
      <c r="E67" s="105">
        <v>15.64</v>
      </c>
      <c r="F67" s="102">
        <v>16</v>
      </c>
      <c r="G67" s="102" t="s">
        <v>2202</v>
      </c>
    </row>
    <row r="68" spans="1:7" x14ac:dyDescent="0.3">
      <c r="B68" s="104">
        <v>174</v>
      </c>
      <c r="C68" s="102">
        <v>3</v>
      </c>
      <c r="D68" s="102">
        <v>3</v>
      </c>
      <c r="E68" s="105">
        <v>15.41</v>
      </c>
      <c r="F68" s="102">
        <v>13.5</v>
      </c>
      <c r="G68" s="102" t="s">
        <v>2202</v>
      </c>
    </row>
    <row r="69" spans="1:7" x14ac:dyDescent="0.3">
      <c r="B69" s="104">
        <v>175</v>
      </c>
      <c r="C69" s="102">
        <v>5</v>
      </c>
      <c r="D69" s="102">
        <v>5</v>
      </c>
      <c r="E69" s="105">
        <v>14.13</v>
      </c>
      <c r="F69" s="102">
        <v>14</v>
      </c>
      <c r="G69" s="102" t="s">
        <v>2202</v>
      </c>
    </row>
    <row r="70" spans="1:7" x14ac:dyDescent="0.3">
      <c r="B70" s="104">
        <v>176</v>
      </c>
      <c r="C70" s="102">
        <v>5</v>
      </c>
      <c r="D70" s="102">
        <v>5</v>
      </c>
      <c r="E70" s="105">
        <v>16.5</v>
      </c>
      <c r="F70" s="102">
        <v>18</v>
      </c>
      <c r="G70" s="102" t="s">
        <v>2202</v>
      </c>
    </row>
    <row r="71" spans="1:7" x14ac:dyDescent="0.3">
      <c r="B71" s="104">
        <v>177</v>
      </c>
      <c r="C71" s="102">
        <v>4</v>
      </c>
      <c r="D71" s="102">
        <v>4</v>
      </c>
      <c r="E71" s="105">
        <v>17.010000000000002</v>
      </c>
      <c r="F71" s="102">
        <v>17</v>
      </c>
      <c r="G71" s="102" t="s">
        <v>2202</v>
      </c>
    </row>
    <row r="72" spans="1:7" x14ac:dyDescent="0.3">
      <c r="B72" s="104">
        <v>131</v>
      </c>
      <c r="C72" s="102">
        <v>3</v>
      </c>
      <c r="D72" s="102">
        <v>3</v>
      </c>
      <c r="E72" s="106">
        <v>20.059999999999999</v>
      </c>
      <c r="F72" s="102">
        <v>18</v>
      </c>
      <c r="G72" s="109" t="s">
        <v>2209</v>
      </c>
    </row>
    <row r="73" spans="1:7" x14ac:dyDescent="0.3">
      <c r="B73" s="104">
        <v>132</v>
      </c>
      <c r="C73" s="102">
        <v>3</v>
      </c>
      <c r="D73" s="102">
        <v>3</v>
      </c>
      <c r="E73" s="105">
        <v>23.88</v>
      </c>
      <c r="F73" s="102">
        <v>18</v>
      </c>
      <c r="G73" s="102" t="s">
        <v>2202</v>
      </c>
    </row>
    <row r="74" spans="1:7" x14ac:dyDescent="0.3">
      <c r="B74" s="104">
        <v>133</v>
      </c>
      <c r="C74" s="102">
        <v>3</v>
      </c>
      <c r="D74" s="106">
        <v>2</v>
      </c>
      <c r="E74" s="105">
        <v>16.47</v>
      </c>
      <c r="F74" s="102">
        <v>15</v>
      </c>
      <c r="G74" s="102" t="s">
        <v>2202</v>
      </c>
    </row>
    <row r="75" spans="1:7" x14ac:dyDescent="0.3">
      <c r="B75" s="104">
        <v>135</v>
      </c>
      <c r="C75" s="102">
        <v>2</v>
      </c>
      <c r="D75" s="102">
        <v>2</v>
      </c>
      <c r="E75" s="105">
        <v>15.17</v>
      </c>
      <c r="F75" s="102">
        <v>18</v>
      </c>
      <c r="G75" s="102" t="s">
        <v>2202</v>
      </c>
    </row>
    <row r="77" spans="1:7" x14ac:dyDescent="0.3">
      <c r="A77" s="107">
        <v>46048</v>
      </c>
      <c r="B77" s="103" t="s">
        <v>2208</v>
      </c>
      <c r="C77" s="103" t="s">
        <v>2203</v>
      </c>
      <c r="D77" s="103" t="s">
        <v>2204</v>
      </c>
      <c r="E77" s="103" t="s">
        <v>2205</v>
      </c>
      <c r="F77" s="103" t="s">
        <v>2206</v>
      </c>
      <c r="G77" s="103" t="s">
        <v>2207</v>
      </c>
    </row>
    <row r="78" spans="1:7" x14ac:dyDescent="0.3">
      <c r="B78" s="104">
        <v>101</v>
      </c>
      <c r="C78" s="102">
        <v>4</v>
      </c>
      <c r="D78" s="102">
        <v>4</v>
      </c>
      <c r="E78" s="106">
        <v>17.13</v>
      </c>
      <c r="F78" s="102">
        <v>12</v>
      </c>
      <c r="G78" s="109" t="s">
        <v>2209</v>
      </c>
    </row>
    <row r="79" spans="1:7" x14ac:dyDescent="0.3">
      <c r="B79" s="104">
        <v>103</v>
      </c>
      <c r="C79" s="102">
        <v>5</v>
      </c>
      <c r="D79" s="102">
        <v>5</v>
      </c>
      <c r="E79" s="106">
        <v>15.56</v>
      </c>
      <c r="F79" s="102">
        <v>15</v>
      </c>
      <c r="G79" s="109" t="s">
        <v>2209</v>
      </c>
    </row>
    <row r="80" spans="1:7" x14ac:dyDescent="0.3">
      <c r="B80" s="104">
        <v>104</v>
      </c>
      <c r="C80" s="102">
        <v>6</v>
      </c>
      <c r="D80" s="102">
        <v>6</v>
      </c>
      <c r="E80" s="105">
        <v>13.14</v>
      </c>
      <c r="F80" s="102">
        <v>13</v>
      </c>
      <c r="G80" s="102" t="s">
        <v>2202</v>
      </c>
    </row>
    <row r="81" spans="2:12" x14ac:dyDescent="0.3">
      <c r="B81" s="104">
        <v>162</v>
      </c>
      <c r="C81" s="102">
        <v>6</v>
      </c>
      <c r="D81" s="102">
        <v>6</v>
      </c>
      <c r="E81" s="105">
        <v>24</v>
      </c>
      <c r="F81" s="102">
        <v>24</v>
      </c>
      <c r="G81" s="102" t="s">
        <v>2202</v>
      </c>
    </row>
    <row r="82" spans="2:12" x14ac:dyDescent="0.3">
      <c r="B82" s="104">
        <v>164</v>
      </c>
      <c r="C82" s="102">
        <v>6</v>
      </c>
      <c r="D82" s="102">
        <v>6</v>
      </c>
      <c r="E82" s="105">
        <v>23.99</v>
      </c>
      <c r="F82" s="102">
        <v>24</v>
      </c>
      <c r="G82" s="102" t="s">
        <v>2202</v>
      </c>
    </row>
    <row r="83" spans="2:12" x14ac:dyDescent="0.3">
      <c r="B83" s="104">
        <v>141</v>
      </c>
      <c r="C83" s="102">
        <v>4</v>
      </c>
      <c r="D83" s="102">
        <v>4</v>
      </c>
      <c r="E83" s="105">
        <v>30</v>
      </c>
      <c r="F83" s="102">
        <v>30</v>
      </c>
      <c r="G83" s="102" t="s">
        <v>2202</v>
      </c>
      <c r="L83" t="s">
        <v>2210</v>
      </c>
    </row>
    <row r="84" spans="2:12" x14ac:dyDescent="0.3">
      <c r="B84" s="104">
        <v>182</v>
      </c>
      <c r="C84" s="102">
        <v>8</v>
      </c>
      <c r="D84" s="102">
        <v>8</v>
      </c>
      <c r="E84" s="105">
        <v>14</v>
      </c>
      <c r="F84" s="102">
        <v>15</v>
      </c>
      <c r="G84" s="102" t="s">
        <v>2202</v>
      </c>
    </row>
    <row r="85" spans="2:12" x14ac:dyDescent="0.3">
      <c r="B85" s="104">
        <v>171</v>
      </c>
      <c r="C85" s="102">
        <v>3</v>
      </c>
      <c r="D85" s="102">
        <v>3</v>
      </c>
      <c r="E85" s="105">
        <v>14.8</v>
      </c>
      <c r="F85" s="102">
        <v>16</v>
      </c>
      <c r="G85" s="102" t="s">
        <v>2202</v>
      </c>
    </row>
    <row r="86" spans="2:12" x14ac:dyDescent="0.3">
      <c r="B86" s="104">
        <v>172</v>
      </c>
      <c r="C86" s="102">
        <v>7</v>
      </c>
      <c r="D86" s="102">
        <v>7</v>
      </c>
      <c r="E86" s="105">
        <v>17.03</v>
      </c>
      <c r="F86" s="102">
        <v>18</v>
      </c>
      <c r="G86" s="102" t="s">
        <v>2202</v>
      </c>
    </row>
    <row r="87" spans="2:12" x14ac:dyDescent="0.3">
      <c r="B87" s="104">
        <v>173</v>
      </c>
      <c r="C87" s="102">
        <v>5</v>
      </c>
      <c r="D87" s="102">
        <v>5</v>
      </c>
      <c r="E87" s="105">
        <v>16.32</v>
      </c>
      <c r="F87" s="102">
        <v>14.7</v>
      </c>
      <c r="G87" s="102" t="s">
        <v>2202</v>
      </c>
    </row>
    <row r="88" spans="2:12" x14ac:dyDescent="0.3">
      <c r="B88" s="104">
        <v>174</v>
      </c>
      <c r="C88" s="102">
        <v>3</v>
      </c>
      <c r="D88" s="102">
        <v>3</v>
      </c>
      <c r="E88" s="106">
        <v>16.93</v>
      </c>
      <c r="F88" s="102">
        <v>13.5</v>
      </c>
      <c r="G88" s="109" t="s">
        <v>2209</v>
      </c>
    </row>
    <row r="89" spans="2:12" x14ac:dyDescent="0.3">
      <c r="B89" s="104">
        <v>175</v>
      </c>
      <c r="C89" s="102">
        <v>5</v>
      </c>
      <c r="D89" s="102">
        <v>5</v>
      </c>
      <c r="E89" s="106">
        <v>14.29</v>
      </c>
      <c r="F89" s="102">
        <v>14</v>
      </c>
      <c r="G89" s="109" t="s">
        <v>2209</v>
      </c>
    </row>
    <row r="90" spans="2:12" x14ac:dyDescent="0.3">
      <c r="B90" s="104">
        <v>176</v>
      </c>
      <c r="C90" s="102">
        <v>5</v>
      </c>
      <c r="D90" s="102">
        <v>5</v>
      </c>
      <c r="E90" s="105">
        <v>16.63</v>
      </c>
      <c r="F90" s="102">
        <v>18</v>
      </c>
      <c r="G90" s="102" t="s">
        <v>2202</v>
      </c>
    </row>
    <row r="91" spans="2:12" x14ac:dyDescent="0.3">
      <c r="B91" s="104">
        <v>177</v>
      </c>
      <c r="C91" s="102">
        <v>4</v>
      </c>
      <c r="D91" s="102">
        <v>4</v>
      </c>
      <c r="E91" s="106">
        <v>18.190000000000001</v>
      </c>
      <c r="F91" s="102">
        <v>17</v>
      </c>
      <c r="G91" s="109" t="s">
        <v>2209</v>
      </c>
    </row>
    <row r="92" spans="2:12" x14ac:dyDescent="0.3">
      <c r="B92" s="104">
        <v>131</v>
      </c>
      <c r="C92" s="102">
        <v>3</v>
      </c>
      <c r="D92" s="102">
        <v>3</v>
      </c>
      <c r="E92" s="105">
        <v>17.97</v>
      </c>
      <c r="F92" s="102">
        <v>18</v>
      </c>
      <c r="G92" s="102" t="s">
        <v>2202</v>
      </c>
    </row>
    <row r="93" spans="2:12" x14ac:dyDescent="0.3">
      <c r="B93" s="104">
        <v>132</v>
      </c>
      <c r="C93" s="102">
        <v>3</v>
      </c>
      <c r="D93" s="102">
        <v>3</v>
      </c>
      <c r="E93" s="106">
        <v>23.78</v>
      </c>
      <c r="F93" s="102">
        <v>18</v>
      </c>
      <c r="G93" s="109" t="s">
        <v>2209</v>
      </c>
    </row>
    <row r="94" spans="2:12" x14ac:dyDescent="0.3">
      <c r="B94" s="113"/>
      <c r="C94" s="114"/>
      <c r="D94" s="114"/>
      <c r="E94" s="114"/>
      <c r="F94" s="114"/>
      <c r="G94" s="114"/>
    </row>
    <row r="95" spans="2:12" x14ac:dyDescent="0.3">
      <c r="B95" s="113"/>
      <c r="C95" s="114"/>
      <c r="D95" s="114"/>
      <c r="E95" s="114"/>
      <c r="F95" s="114"/>
      <c r="G95" s="114"/>
    </row>
    <row r="96" spans="2:12" x14ac:dyDescent="0.3">
      <c r="B96" s="113"/>
      <c r="C96" s="114"/>
      <c r="D96" s="114"/>
      <c r="E96" s="114"/>
      <c r="F96" s="114"/>
      <c r="G96" s="114"/>
    </row>
    <row r="98" spans="1:12" x14ac:dyDescent="0.3">
      <c r="A98" s="107">
        <v>46051</v>
      </c>
      <c r="B98" s="103" t="s">
        <v>2208</v>
      </c>
      <c r="C98" s="103" t="s">
        <v>2203</v>
      </c>
      <c r="D98" s="103" t="s">
        <v>2204</v>
      </c>
      <c r="E98" s="103" t="s">
        <v>2205</v>
      </c>
      <c r="F98" s="103" t="s">
        <v>2206</v>
      </c>
      <c r="G98" s="103" t="s">
        <v>2207</v>
      </c>
    </row>
    <row r="99" spans="1:12" x14ac:dyDescent="0.3">
      <c r="B99" s="104">
        <v>101</v>
      </c>
      <c r="C99" s="102">
        <v>4</v>
      </c>
      <c r="D99" s="102">
        <v>4</v>
      </c>
      <c r="E99" s="106">
        <v>16.87</v>
      </c>
      <c r="F99" s="102">
        <v>12</v>
      </c>
      <c r="G99" s="105">
        <v>16.57</v>
      </c>
    </row>
    <row r="100" spans="1:12" x14ac:dyDescent="0.3">
      <c r="B100" s="104">
        <v>102</v>
      </c>
      <c r="C100" s="102">
        <v>9</v>
      </c>
      <c r="D100" s="102">
        <v>8</v>
      </c>
      <c r="E100" s="105">
        <v>12.8</v>
      </c>
      <c r="F100" s="102">
        <v>13</v>
      </c>
      <c r="G100" s="102" t="s">
        <v>2202</v>
      </c>
    </row>
    <row r="101" spans="1:12" x14ac:dyDescent="0.3">
      <c r="B101" s="104">
        <v>103</v>
      </c>
      <c r="C101" s="102">
        <v>5</v>
      </c>
      <c r="D101" s="102">
        <v>5</v>
      </c>
      <c r="E101" s="106">
        <v>16.05</v>
      </c>
      <c r="F101" s="102">
        <v>15</v>
      </c>
      <c r="G101" s="109" t="s">
        <v>2209</v>
      </c>
    </row>
    <row r="102" spans="1:12" x14ac:dyDescent="0.3">
      <c r="B102" s="104">
        <v>162</v>
      </c>
      <c r="C102" s="102">
        <v>6</v>
      </c>
      <c r="D102" s="102">
        <v>6</v>
      </c>
      <c r="E102" s="105">
        <v>24</v>
      </c>
      <c r="F102" s="102">
        <v>24</v>
      </c>
      <c r="G102" s="102" t="s">
        <v>2202</v>
      </c>
    </row>
    <row r="103" spans="1:12" x14ac:dyDescent="0.3">
      <c r="B103" s="104">
        <v>163</v>
      </c>
      <c r="C103" s="102">
        <v>6</v>
      </c>
      <c r="D103" s="102">
        <v>6</v>
      </c>
      <c r="E103" s="105">
        <v>20.99</v>
      </c>
      <c r="F103" s="102">
        <v>19.5</v>
      </c>
      <c r="G103" s="102" t="s">
        <v>2202</v>
      </c>
    </row>
    <row r="104" spans="1:12" x14ac:dyDescent="0.3">
      <c r="B104" s="104">
        <v>164</v>
      </c>
      <c r="C104" s="102">
        <v>6</v>
      </c>
      <c r="D104" s="102">
        <v>6</v>
      </c>
      <c r="E104" s="105">
        <v>23.99</v>
      </c>
      <c r="F104" s="102">
        <v>24</v>
      </c>
      <c r="G104" s="102" t="s">
        <v>2202</v>
      </c>
      <c r="L104" t="s">
        <v>2210</v>
      </c>
    </row>
    <row r="105" spans="1:12" x14ac:dyDescent="0.3">
      <c r="B105" s="104">
        <v>141</v>
      </c>
      <c r="C105" s="102">
        <v>4</v>
      </c>
      <c r="D105" s="102">
        <v>4</v>
      </c>
      <c r="E105" s="105">
        <v>30</v>
      </c>
      <c r="F105" s="102">
        <v>30</v>
      </c>
      <c r="G105" s="102" t="s">
        <v>2202</v>
      </c>
    </row>
    <row r="106" spans="1:12" x14ac:dyDescent="0.3">
      <c r="B106" s="104">
        <v>182</v>
      </c>
      <c r="C106" s="102">
        <v>8</v>
      </c>
      <c r="D106" s="102">
        <v>8</v>
      </c>
      <c r="E106" s="105">
        <v>13</v>
      </c>
      <c r="F106" s="102">
        <v>15</v>
      </c>
      <c r="G106" s="102" t="s">
        <v>2202</v>
      </c>
    </row>
    <row r="107" spans="1:12" x14ac:dyDescent="0.3">
      <c r="B107" s="104">
        <v>171</v>
      </c>
      <c r="C107" s="102">
        <v>3</v>
      </c>
      <c r="D107" s="102">
        <v>3</v>
      </c>
      <c r="E107" s="105">
        <v>14.75</v>
      </c>
      <c r="F107" s="102">
        <v>16</v>
      </c>
      <c r="G107" s="102" t="s">
        <v>2202</v>
      </c>
    </row>
    <row r="108" spans="1:12" x14ac:dyDescent="0.3">
      <c r="B108" s="104">
        <v>172</v>
      </c>
      <c r="C108" s="102">
        <v>7</v>
      </c>
      <c r="D108" s="102">
        <v>6</v>
      </c>
      <c r="E108" s="105">
        <v>17.04</v>
      </c>
      <c r="F108" s="102">
        <v>18</v>
      </c>
      <c r="G108" s="102" t="s">
        <v>2202</v>
      </c>
    </row>
    <row r="109" spans="1:12" hidden="1" x14ac:dyDescent="0.3">
      <c r="B109" s="104">
        <v>174</v>
      </c>
      <c r="C109" s="102"/>
      <c r="D109" s="102"/>
      <c r="E109" s="102"/>
      <c r="F109" s="102">
        <v>13</v>
      </c>
      <c r="G109" s="102"/>
    </row>
    <row r="110" spans="1:12" x14ac:dyDescent="0.3">
      <c r="B110" s="104">
        <v>175</v>
      </c>
      <c r="C110" s="102">
        <v>5</v>
      </c>
      <c r="D110" s="102">
        <v>5</v>
      </c>
      <c r="E110" s="106">
        <v>15.2</v>
      </c>
      <c r="F110" s="102">
        <v>14</v>
      </c>
      <c r="G110" s="105">
        <v>14.84</v>
      </c>
    </row>
    <row r="111" spans="1:12" x14ac:dyDescent="0.3">
      <c r="B111" s="104">
        <v>176</v>
      </c>
      <c r="C111" s="102">
        <v>5</v>
      </c>
      <c r="D111" s="102">
        <v>5</v>
      </c>
      <c r="E111" s="106">
        <v>18.53</v>
      </c>
      <c r="F111" s="102">
        <v>18</v>
      </c>
      <c r="G111" s="105">
        <v>18.010000000000002</v>
      </c>
    </row>
    <row r="112" spans="1:12" x14ac:dyDescent="0.3">
      <c r="B112" s="104">
        <v>177</v>
      </c>
      <c r="C112" s="102">
        <v>4</v>
      </c>
      <c r="D112" s="102">
        <v>4</v>
      </c>
      <c r="E112" s="105">
        <v>16.149999999999999</v>
      </c>
      <c r="F112" s="102">
        <v>16</v>
      </c>
      <c r="G112" s="102" t="s">
        <v>2202</v>
      </c>
    </row>
    <row r="113" spans="1:12" x14ac:dyDescent="0.3">
      <c r="B113" s="104">
        <v>131</v>
      </c>
      <c r="C113" s="102">
        <v>3</v>
      </c>
      <c r="D113" s="102">
        <v>3</v>
      </c>
      <c r="E113" s="106">
        <v>19.48</v>
      </c>
      <c r="F113" s="102">
        <v>18</v>
      </c>
      <c r="G113" s="109" t="s">
        <v>2209</v>
      </c>
    </row>
    <row r="114" spans="1:12" x14ac:dyDescent="0.3">
      <c r="B114" s="104">
        <v>132</v>
      </c>
      <c r="C114" s="102">
        <v>3</v>
      </c>
      <c r="D114" s="102">
        <v>3</v>
      </c>
      <c r="E114" s="105">
        <v>17.77</v>
      </c>
      <c r="F114" s="102">
        <v>18</v>
      </c>
      <c r="G114" s="102" t="s">
        <v>2202</v>
      </c>
    </row>
    <row r="117" spans="1:12" ht="15.6" x14ac:dyDescent="0.3">
      <c r="A117" s="116">
        <v>46052</v>
      </c>
      <c r="B117" s="103" t="s">
        <v>2208</v>
      </c>
      <c r="C117" s="103" t="s">
        <v>2203</v>
      </c>
      <c r="D117" s="103" t="s">
        <v>2204</v>
      </c>
      <c r="E117" s="103" t="s">
        <v>2205</v>
      </c>
      <c r="F117" s="103" t="s">
        <v>2206</v>
      </c>
      <c r="G117" s="103" t="s">
        <v>2207</v>
      </c>
    </row>
    <row r="118" spans="1:12" x14ac:dyDescent="0.3">
      <c r="B118" s="104">
        <v>101</v>
      </c>
      <c r="C118" s="102">
        <v>4</v>
      </c>
      <c r="D118" s="102">
        <v>4</v>
      </c>
      <c r="E118" s="106">
        <v>16.95</v>
      </c>
      <c r="F118" s="115">
        <v>12</v>
      </c>
      <c r="G118" s="109">
        <v>16.95</v>
      </c>
    </row>
    <row r="119" spans="1:12" x14ac:dyDescent="0.3">
      <c r="B119" s="104">
        <v>102</v>
      </c>
      <c r="C119" s="102">
        <v>9</v>
      </c>
      <c r="D119" s="102">
        <v>7</v>
      </c>
      <c r="E119" s="105">
        <v>13.38</v>
      </c>
      <c r="F119" s="115">
        <v>13</v>
      </c>
      <c r="G119" s="102" t="s">
        <v>2202</v>
      </c>
    </row>
    <row r="120" spans="1:12" x14ac:dyDescent="0.3">
      <c r="B120" s="104">
        <v>103</v>
      </c>
      <c r="C120" s="102">
        <v>5</v>
      </c>
      <c r="D120" s="102">
        <v>5</v>
      </c>
      <c r="E120" s="106">
        <v>16.05</v>
      </c>
      <c r="F120" s="115">
        <v>15</v>
      </c>
      <c r="G120" s="109">
        <v>16.05</v>
      </c>
    </row>
    <row r="121" spans="1:12" x14ac:dyDescent="0.3">
      <c r="B121" s="104">
        <v>104</v>
      </c>
      <c r="C121" s="102">
        <v>6</v>
      </c>
      <c r="D121" s="102">
        <v>6</v>
      </c>
      <c r="E121" s="105">
        <v>13.71</v>
      </c>
      <c r="F121" s="115">
        <v>14</v>
      </c>
      <c r="G121" s="102" t="s">
        <v>2202</v>
      </c>
    </row>
    <row r="122" spans="1:12" x14ac:dyDescent="0.3">
      <c r="B122" s="104">
        <v>162</v>
      </c>
      <c r="C122" s="102">
        <v>6</v>
      </c>
      <c r="D122" s="102">
        <v>6</v>
      </c>
      <c r="E122" s="105">
        <v>24</v>
      </c>
      <c r="F122" s="115">
        <v>24</v>
      </c>
      <c r="G122" s="102" t="s">
        <v>2202</v>
      </c>
    </row>
    <row r="123" spans="1:12" x14ac:dyDescent="0.3">
      <c r="B123" s="104">
        <v>163</v>
      </c>
      <c r="C123" s="102">
        <v>6</v>
      </c>
      <c r="D123" s="102">
        <v>6</v>
      </c>
      <c r="E123" s="106">
        <v>20.99</v>
      </c>
      <c r="F123" s="115">
        <v>19.5</v>
      </c>
      <c r="G123" s="105">
        <v>19.5</v>
      </c>
    </row>
    <row r="124" spans="1:12" x14ac:dyDescent="0.3">
      <c r="B124" s="104">
        <v>164</v>
      </c>
      <c r="C124" s="102">
        <v>6</v>
      </c>
      <c r="D124" s="102">
        <v>6</v>
      </c>
      <c r="E124" s="105">
        <v>23.99</v>
      </c>
      <c r="F124" s="115">
        <v>24</v>
      </c>
      <c r="G124" s="102" t="s">
        <v>2202</v>
      </c>
      <c r="L124" t="s">
        <v>2210</v>
      </c>
    </row>
    <row r="125" spans="1:12" x14ac:dyDescent="0.3">
      <c r="B125" s="104">
        <v>182</v>
      </c>
      <c r="C125" s="102">
        <v>8</v>
      </c>
      <c r="D125" s="102">
        <v>8</v>
      </c>
      <c r="E125" s="105">
        <v>13</v>
      </c>
      <c r="F125" s="115">
        <v>15</v>
      </c>
      <c r="G125" s="102" t="s">
        <v>2202</v>
      </c>
    </row>
    <row r="126" spans="1:12" x14ac:dyDescent="0.3">
      <c r="B126" s="104">
        <v>171</v>
      </c>
      <c r="C126" s="102">
        <v>3</v>
      </c>
      <c r="D126" s="102">
        <v>3</v>
      </c>
      <c r="E126" s="105">
        <v>14.68</v>
      </c>
      <c r="F126" s="115">
        <v>16</v>
      </c>
      <c r="G126" s="102" t="s">
        <v>2202</v>
      </c>
    </row>
    <row r="127" spans="1:12" x14ac:dyDescent="0.3">
      <c r="B127" s="104">
        <v>172</v>
      </c>
      <c r="C127" s="102">
        <v>7</v>
      </c>
      <c r="D127" s="102">
        <v>6</v>
      </c>
      <c r="E127" s="105">
        <v>17.04</v>
      </c>
      <c r="F127" s="115">
        <v>18</v>
      </c>
      <c r="G127" s="102" t="s">
        <v>2202</v>
      </c>
    </row>
    <row r="128" spans="1:12" x14ac:dyDescent="0.3">
      <c r="B128" s="104">
        <v>173</v>
      </c>
      <c r="C128" s="102">
        <v>5</v>
      </c>
      <c r="D128" s="102">
        <v>5</v>
      </c>
      <c r="E128" s="106">
        <v>17.93</v>
      </c>
      <c r="F128" s="115">
        <v>14.7</v>
      </c>
      <c r="G128" s="109">
        <v>17.93</v>
      </c>
    </row>
    <row r="129" spans="2:7" hidden="1" x14ac:dyDescent="0.3">
      <c r="B129" s="104">
        <v>174</v>
      </c>
      <c r="C129" s="102"/>
      <c r="D129" s="102"/>
      <c r="E129" s="106"/>
      <c r="F129" s="115"/>
      <c r="G129" s="109" t="s">
        <v>2209</v>
      </c>
    </row>
    <row r="130" spans="2:7" x14ac:dyDescent="0.3">
      <c r="B130" s="104">
        <v>174</v>
      </c>
      <c r="C130" s="102">
        <v>3</v>
      </c>
      <c r="D130" s="102">
        <v>3</v>
      </c>
      <c r="E130" s="106">
        <v>17.07</v>
      </c>
      <c r="F130" s="115">
        <v>13</v>
      </c>
      <c r="G130" s="109">
        <v>17.07</v>
      </c>
    </row>
    <row r="131" spans="2:7" x14ac:dyDescent="0.3">
      <c r="B131" s="104">
        <v>175</v>
      </c>
      <c r="C131" s="102">
        <v>5</v>
      </c>
      <c r="D131" s="102">
        <v>5</v>
      </c>
      <c r="E131" s="106">
        <v>14.9</v>
      </c>
      <c r="F131" s="115">
        <v>14</v>
      </c>
      <c r="G131" s="109">
        <v>14.9</v>
      </c>
    </row>
    <row r="132" spans="2:7" x14ac:dyDescent="0.3">
      <c r="B132" s="104">
        <v>176</v>
      </c>
      <c r="C132" s="102">
        <v>5</v>
      </c>
      <c r="D132" s="102">
        <v>5</v>
      </c>
      <c r="E132" s="105">
        <v>18.04</v>
      </c>
      <c r="F132" s="115">
        <v>18</v>
      </c>
      <c r="G132" s="102" t="s">
        <v>2202</v>
      </c>
    </row>
    <row r="133" spans="2:7" x14ac:dyDescent="0.3">
      <c r="B133" s="104">
        <v>177</v>
      </c>
      <c r="C133" s="102">
        <v>4</v>
      </c>
      <c r="D133" s="102">
        <v>4</v>
      </c>
      <c r="E133" s="105">
        <v>15.8</v>
      </c>
      <c r="F133" s="115">
        <v>16</v>
      </c>
      <c r="G133" s="102" t="s">
        <v>2202</v>
      </c>
    </row>
    <row r="134" spans="2:7" x14ac:dyDescent="0.3">
      <c r="B134" s="104">
        <v>131</v>
      </c>
      <c r="C134" s="102">
        <v>3</v>
      </c>
      <c r="D134" s="102">
        <v>3</v>
      </c>
      <c r="E134" s="106">
        <v>19.57</v>
      </c>
      <c r="F134" s="115">
        <v>18</v>
      </c>
      <c r="G134" s="109">
        <v>19.57</v>
      </c>
    </row>
    <row r="135" spans="2:7" x14ac:dyDescent="0.3">
      <c r="B135" s="104">
        <v>132</v>
      </c>
      <c r="C135" s="102">
        <v>3</v>
      </c>
      <c r="D135" s="102">
        <v>3</v>
      </c>
      <c r="E135" s="105">
        <v>17.78</v>
      </c>
      <c r="F135" s="115">
        <v>18</v>
      </c>
      <c r="G135" s="102" t="s">
        <v>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Çalışma Sayfaları</vt:lpstr>
      </vt:variant>
      <vt:variant>
        <vt:i4>10</vt:i4>
      </vt:variant>
      <vt:variant>
        <vt:lpstr>Grafikler</vt:lpstr>
      </vt:variant>
      <vt:variant>
        <vt:i4>1</vt:i4>
      </vt:variant>
      <vt:variant>
        <vt:lpstr>Adlandırılmış Aralıklar</vt:lpstr>
      </vt:variant>
      <vt:variant>
        <vt:i4>10</vt:i4>
      </vt:variant>
    </vt:vector>
  </HeadingPairs>
  <TitlesOfParts>
    <vt:vector size="21" baseType="lpstr">
      <vt:lpstr>FK_ÜRÜN_ÇEVRİM _DETAY</vt:lpstr>
      <vt:lpstr>PROSES ENJEKSİYON</vt:lpstr>
      <vt:lpstr>FK_ÜRÜN_ÇEVRİM</vt:lpstr>
      <vt:lpstr>salon 2</vt:lpstr>
      <vt:lpstr>salon 1</vt:lpstr>
      <vt:lpstr>FK_ÇEVRİM </vt:lpstr>
      <vt:lpstr>ESKİ</vt:lpstr>
      <vt:lpstr>Form</vt:lpstr>
      <vt:lpstr>Sayfa1</vt:lpstr>
      <vt:lpstr>Sayfa2</vt:lpstr>
      <vt:lpstr>Grafik1</vt:lpstr>
      <vt:lpstr>ESKİ!Yazdırma_Alanı</vt:lpstr>
      <vt:lpstr>Form!Yazdırma_Alanı</vt:lpstr>
      <vt:lpstr>'PROSES ENJEKSİYON'!Yazdırma_Alanı</vt:lpstr>
      <vt:lpstr>'salon 1'!Yazdırma_Alanı</vt:lpstr>
      <vt:lpstr>'salon 2'!Yazdırma_Alanı</vt:lpstr>
      <vt:lpstr>ESKİ!Yazdırma_Başlıkları</vt:lpstr>
      <vt:lpstr>Form!Yazdırma_Başlıkları</vt:lpstr>
      <vt:lpstr>'PROSES ENJEKSİYON'!Yazdırma_Başlıkları</vt:lpstr>
      <vt:lpstr>'salon 1'!Yazdırma_Başlıkları</vt:lpstr>
      <vt:lpstr>'salon 2'!Yazdırma_Başlıkları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simsek plastik</cp:lastModifiedBy>
  <cp:lastPrinted>2026-01-29T07:23:19Z</cp:lastPrinted>
  <dcterms:created xsi:type="dcterms:W3CDTF">2015-06-05T18:19:34Z</dcterms:created>
  <dcterms:modified xsi:type="dcterms:W3CDTF">2026-01-30T14:55:06Z</dcterms:modified>
</cp:coreProperties>
</file>